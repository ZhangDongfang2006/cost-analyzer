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B (2)" sheetId="1" state="visible" r:id="rId3"/>
    <sheet name="库" sheetId="2" state="visible" r:id="rId4"/>
  </sheets>
  <definedNames>
    <definedName function="false" hidden="false" name="_xlfn_CONCAT" vbProcedure="false">#NAME?</definedName>
    <definedName function="false" hidden="false" localSheetId="0" name="Excel_BuiltIn__FilterDatabase" vbProcedure="false">'ABB (2)'!$A$1:$T$90</definedName>
    <definedName function="false" hidden="false" localSheetId="0" name="Print_Area" vbProcedure="false">'ABB (2)'!$A$1:$G$89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<sst xmlns="http://schemas.openxmlformats.org/spreadsheetml/2006/main" count="7227" uniqueCount="2719">
  <si>
    <t xml:space="preserve">宁波海越电器制造有限公司</t>
  </si>
  <si>
    <t xml:space="preserve">产 品 报 价 单</t>
  </si>
  <si>
    <t xml:space="preserve">项目名称：南岸服务区电力改造工程</t>
  </si>
  <si>
    <r>
      <rPr>
        <sz val="14"/>
        <rFont val="宋体"/>
        <family val="0"/>
        <charset val="134"/>
      </rPr>
      <t xml:space="preserve">产品名称：配电设备</t>
    </r>
    <r>
      <rPr>
        <sz val="11"/>
        <rFont val="宋体"/>
        <family val="0"/>
      </rPr>
      <t xml:space="preserve">                </t>
    </r>
    <r>
      <rPr>
        <sz val="14"/>
        <rFont val="宋体"/>
        <family val="0"/>
      </rPr>
      <t xml:space="preserve">电话：           报价单号：HY2601-0029</t>
    </r>
  </si>
  <si>
    <t xml:space="preserve">产品型号：                     传真：           联系人：</t>
  </si>
  <si>
    <t xml:space="preserve">序号</t>
  </si>
  <si>
    <t xml:space="preserve">名    称</t>
  </si>
  <si>
    <t xml:space="preserve">型    号</t>
  </si>
  <si>
    <t xml:space="preserve">单位</t>
  </si>
  <si>
    <t xml:space="preserve">数量</t>
  </si>
  <si>
    <r>
      <rPr>
        <sz val="12"/>
        <rFont val="宋体"/>
        <family val="0"/>
        <charset val="134"/>
      </rPr>
      <t xml:space="preserve">单价</t>
    </r>
    <r>
      <rPr>
        <sz val="12"/>
        <rFont val="宋体"/>
        <family val="0"/>
      </rPr>
      <t xml:space="preserve">(</t>
    </r>
    <r>
      <rPr>
        <sz val="12"/>
        <rFont val="宋体"/>
        <family val="0"/>
        <charset val="134"/>
      </rPr>
      <t xml:space="preserve">元</t>
    </r>
    <r>
      <rPr>
        <sz val="12"/>
        <rFont val="宋体"/>
        <family val="0"/>
      </rPr>
      <t xml:space="preserve">)</t>
    </r>
  </si>
  <si>
    <r>
      <rPr>
        <sz val="12"/>
        <rFont val="宋体"/>
        <family val="0"/>
        <charset val="134"/>
      </rPr>
      <t xml:space="preserve">金额</t>
    </r>
    <r>
      <rPr>
        <sz val="12"/>
        <rFont val="宋体"/>
        <family val="0"/>
      </rPr>
      <t xml:space="preserve">(</t>
    </r>
    <r>
      <rPr>
        <sz val="12"/>
        <rFont val="宋体"/>
        <family val="0"/>
        <charset val="134"/>
      </rPr>
      <t xml:space="preserve">元</t>
    </r>
    <r>
      <rPr>
        <sz val="12"/>
        <rFont val="宋体"/>
        <family val="0"/>
      </rPr>
      <t xml:space="preserve">)</t>
    </r>
  </si>
  <si>
    <r>
      <rPr>
        <sz val="12"/>
        <rFont val="宋体"/>
        <family val="0"/>
        <charset val="134"/>
      </rPr>
      <t xml:space="preserve">低压出线柜</t>
    </r>
    <r>
      <rPr>
        <sz val="12"/>
        <rFont val="宋体"/>
        <family val="0"/>
      </rPr>
      <t xml:space="preserve">3D4 3D5 4D3 4D4 4D6 4D7 5D4 5D5 6D3 6D4 6D6 6D7</t>
    </r>
  </si>
  <si>
    <t xml:space="preserve">GCS</t>
  </si>
  <si>
    <t xml:space="preserve">台</t>
  </si>
  <si>
    <t xml:space="preserve">合计</t>
  </si>
  <si>
    <t xml:space="preserve">报价备注</t>
  </si>
  <si>
    <r>
      <rPr>
        <sz val="12"/>
        <rFont val="宋体"/>
        <family val="0"/>
      </rPr>
      <t xml:space="preserve">1</t>
    </r>
    <r>
      <rPr>
        <sz val="12"/>
        <rFont val="宋体"/>
        <family val="0"/>
        <charset val="134"/>
      </rPr>
      <t xml:space="preserve">、以上报价含</t>
    </r>
    <r>
      <rPr>
        <sz val="12"/>
        <rFont val="宋体"/>
        <family val="0"/>
      </rPr>
      <t xml:space="preserve">13%</t>
    </r>
    <r>
      <rPr>
        <sz val="12"/>
        <rFont val="宋体"/>
        <family val="0"/>
        <charset val="134"/>
      </rPr>
      <t xml:space="preserve">增值税，含运费；</t>
    </r>
  </si>
  <si>
    <r>
      <rPr>
        <sz val="12"/>
        <rFont val="宋体"/>
        <family val="0"/>
      </rPr>
      <t xml:space="preserve">2</t>
    </r>
    <r>
      <rPr>
        <sz val="12"/>
        <rFont val="宋体"/>
        <family val="0"/>
        <charset val="134"/>
      </rPr>
      <t xml:space="preserve">、气体绝缘环网柜采用施耐德公司产品；</t>
    </r>
  </si>
  <si>
    <r>
      <rPr>
        <sz val="12"/>
        <rFont val="宋体"/>
        <family val="0"/>
      </rPr>
      <t xml:space="preserve">3</t>
    </r>
    <r>
      <rPr>
        <sz val="12"/>
        <rFont val="宋体"/>
        <family val="0"/>
        <charset val="134"/>
      </rPr>
      <t xml:space="preserve">、高压真空断路器、低压断路器均采用</t>
    </r>
    <r>
      <rPr>
        <sz val="12"/>
        <rFont val="宋体"/>
        <family val="0"/>
      </rPr>
      <t xml:space="preserve">ABB</t>
    </r>
    <r>
      <rPr>
        <sz val="12"/>
        <rFont val="宋体"/>
        <family val="0"/>
        <charset val="134"/>
      </rPr>
      <t xml:space="preserve">公司产品；</t>
    </r>
  </si>
  <si>
    <r>
      <rPr>
        <sz val="12"/>
        <rFont val="宋体"/>
        <family val="0"/>
      </rPr>
      <t xml:space="preserve">4</t>
    </r>
    <r>
      <rPr>
        <sz val="12"/>
        <rFont val="宋体"/>
        <family val="0"/>
        <charset val="134"/>
      </rPr>
      <t xml:space="preserve">、微机保护装置、数显仪表均采用宁波美格电力自动化工程有限公司产品；</t>
    </r>
  </si>
  <si>
    <r>
      <rPr>
        <sz val="12"/>
        <rFont val="宋体"/>
        <family val="0"/>
      </rPr>
      <t xml:space="preserve">5</t>
    </r>
    <r>
      <rPr>
        <sz val="12"/>
        <rFont val="宋体"/>
        <family val="0"/>
        <charset val="134"/>
      </rPr>
      <t xml:space="preserve">、电容电抗器采用台州安耐杰电力设备有限公司产品；</t>
    </r>
  </si>
  <si>
    <r>
      <rPr>
        <sz val="12"/>
        <rFont val="宋体"/>
        <family val="0"/>
      </rPr>
      <t xml:space="preserve">6</t>
    </r>
    <r>
      <rPr>
        <sz val="12"/>
        <rFont val="宋体"/>
        <family val="0"/>
        <charset val="134"/>
      </rPr>
      <t xml:space="preserve">、所有电器连接均采用含铜</t>
    </r>
    <r>
      <rPr>
        <sz val="12"/>
        <rFont val="宋体"/>
        <family val="0"/>
      </rPr>
      <t xml:space="preserve">99.9%</t>
    </r>
    <r>
      <rPr>
        <sz val="12"/>
        <rFont val="宋体"/>
        <family val="0"/>
        <charset val="134"/>
      </rPr>
      <t xml:space="preserve">的纯铜连接；</t>
    </r>
  </si>
  <si>
    <r>
      <rPr>
        <sz val="12"/>
        <rFont val="宋体"/>
        <family val="0"/>
      </rPr>
      <t xml:space="preserve">7</t>
    </r>
    <r>
      <rPr>
        <sz val="12"/>
        <rFont val="宋体"/>
        <family val="0"/>
        <charset val="134"/>
      </rPr>
      <t xml:space="preserve">、产品质量免费保修壹年，终身服务。</t>
    </r>
  </si>
  <si>
    <r>
      <rPr>
        <sz val="12"/>
        <rFont val="宋体"/>
        <family val="0"/>
        <charset val="134"/>
      </rPr>
      <t xml:space="preserve">报价日期：</t>
    </r>
    <r>
      <rPr>
        <sz val="12"/>
        <rFont val="宋体"/>
        <family val="0"/>
      </rPr>
      <t xml:space="preserve">2026</t>
    </r>
    <r>
      <rPr>
        <sz val="12"/>
        <rFont val="宋体"/>
        <family val="0"/>
        <charset val="134"/>
      </rPr>
      <t xml:space="preserve">年</t>
    </r>
    <r>
      <rPr>
        <sz val="12"/>
        <rFont val="宋体"/>
        <family val="0"/>
      </rPr>
      <t xml:space="preserve">1</t>
    </r>
    <r>
      <rPr>
        <sz val="12"/>
        <rFont val="宋体"/>
        <family val="0"/>
        <charset val="134"/>
      </rPr>
      <t xml:space="preserve">月</t>
    </r>
    <r>
      <rPr>
        <sz val="12"/>
        <rFont val="宋体"/>
        <family val="0"/>
      </rPr>
      <t xml:space="preserve">28</t>
    </r>
    <r>
      <rPr>
        <sz val="12"/>
        <rFont val="宋体"/>
        <family val="0"/>
        <charset val="134"/>
      </rPr>
      <t xml:space="preserve">日       有效期：</t>
    </r>
    <r>
      <rPr>
        <sz val="12"/>
        <rFont val="宋体"/>
        <family val="0"/>
      </rPr>
      <t xml:space="preserve">30</t>
    </r>
    <r>
      <rPr>
        <sz val="12"/>
        <rFont val="宋体"/>
        <family val="0"/>
        <charset val="134"/>
      </rPr>
      <t xml:space="preserve">天       报价：洪辉        审核</t>
    </r>
    <r>
      <rPr>
        <sz val="12"/>
        <rFont val="宋体"/>
        <family val="0"/>
      </rPr>
      <t xml:space="preserve">:</t>
    </r>
    <r>
      <rPr>
        <sz val="12"/>
        <rFont val="宋体"/>
        <family val="0"/>
        <charset val="134"/>
      </rPr>
      <t xml:space="preserve">袁剑幸</t>
    </r>
  </si>
  <si>
    <r>
      <rPr>
        <sz val="12"/>
        <rFont val="宋体"/>
        <family val="0"/>
        <charset val="134"/>
      </rPr>
      <t xml:space="preserve">地址：宁波市镇海骆驼机电园区盛兴路</t>
    </r>
    <r>
      <rPr>
        <sz val="12"/>
        <rFont val="宋体"/>
        <family val="0"/>
      </rPr>
      <t xml:space="preserve">348</t>
    </r>
    <r>
      <rPr>
        <sz val="12"/>
        <rFont val="宋体"/>
        <family val="0"/>
        <charset val="134"/>
      </rPr>
      <t xml:space="preserve">号</t>
    </r>
  </si>
  <si>
    <r>
      <rPr>
        <sz val="12"/>
        <rFont val="宋体"/>
        <family val="0"/>
        <charset val="134"/>
      </rPr>
      <t xml:space="preserve">电话：</t>
    </r>
    <r>
      <rPr>
        <sz val="12"/>
        <rFont val="宋体"/>
        <family val="0"/>
      </rPr>
      <t xml:space="preserve">0574-86595601</t>
    </r>
    <r>
      <rPr>
        <sz val="12"/>
        <rFont val="宋体"/>
        <family val="0"/>
        <charset val="134"/>
      </rPr>
      <t xml:space="preserve">、</t>
    </r>
    <r>
      <rPr>
        <sz val="12"/>
        <rFont val="宋体"/>
        <family val="0"/>
      </rPr>
      <t xml:space="preserve">86595616</t>
    </r>
  </si>
  <si>
    <r>
      <rPr>
        <sz val="12"/>
        <rFont val="宋体"/>
        <family val="0"/>
        <charset val="134"/>
      </rPr>
      <t xml:space="preserve">传真：</t>
    </r>
    <r>
      <rPr>
        <sz val="12"/>
        <rFont val="宋体"/>
        <family val="0"/>
      </rPr>
      <t xml:space="preserve">0574-86595600  </t>
    </r>
    <r>
      <rPr>
        <sz val="12"/>
        <rFont val="宋体"/>
        <family val="0"/>
        <charset val="134"/>
      </rPr>
      <t xml:space="preserve">联系人</t>
    </r>
    <r>
      <rPr>
        <sz val="12"/>
        <rFont val="宋体"/>
        <family val="0"/>
      </rPr>
      <t xml:space="preserve">:</t>
    </r>
    <r>
      <rPr>
        <sz val="12"/>
        <rFont val="宋体"/>
        <family val="0"/>
        <charset val="134"/>
      </rPr>
      <t xml:space="preserve">陆建德   </t>
    </r>
    <r>
      <rPr>
        <sz val="12"/>
        <rFont val="宋体"/>
        <family val="0"/>
      </rPr>
      <t xml:space="preserve">13884410385</t>
    </r>
  </si>
  <si>
    <r>
      <rPr>
        <sz val="12"/>
        <rFont val="宋体"/>
        <family val="0"/>
      </rPr>
      <t xml:space="preserve">E-mail</t>
    </r>
    <r>
      <rPr>
        <sz val="12"/>
        <rFont val="宋体"/>
        <family val="0"/>
        <charset val="134"/>
      </rPr>
      <t xml:space="preserve">：</t>
    </r>
    <r>
      <rPr>
        <sz val="12"/>
        <rFont val="宋体"/>
        <family val="0"/>
      </rPr>
      <t xml:space="preserve">info@nbhaiyue.com</t>
    </r>
  </si>
  <si>
    <t xml:space="preserve">报 价 明 细 表</t>
  </si>
  <si>
    <t xml:space="preserve">名      称</t>
  </si>
  <si>
    <t xml:space="preserve">型      号</t>
  </si>
  <si>
    <r>
      <rPr>
        <sz val="11"/>
        <rFont val="宋体"/>
        <family val="0"/>
        <charset val="134"/>
      </rPr>
      <t xml:space="preserve">数量</t>
    </r>
    <r>
      <rPr>
        <sz val="11"/>
        <rFont val="宋体"/>
        <family val="0"/>
      </rPr>
      <t xml:space="preserve">(</t>
    </r>
    <r>
      <rPr>
        <sz val="11"/>
        <rFont val="宋体"/>
        <family val="0"/>
        <charset val="134"/>
      </rPr>
      <t xml:space="preserve">只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</si>
  <si>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单价</t>
    </r>
    <r>
      <rPr>
        <sz val="11"/>
        <rFont val="宋体"/>
        <family val="0"/>
      </rPr>
      <t xml:space="preserve">(</t>
    </r>
    <r>
      <rPr>
        <sz val="11"/>
        <rFont val="宋体"/>
        <family val="0"/>
        <charset val="134"/>
      </rPr>
      <t xml:space="preserve">元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</si>
  <si>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金额</t>
    </r>
    <r>
      <rPr>
        <sz val="11"/>
        <rFont val="宋体"/>
        <family val="0"/>
      </rPr>
      <t xml:space="preserve">(</t>
    </r>
    <r>
      <rPr>
        <sz val="11"/>
        <rFont val="宋体"/>
        <family val="0"/>
        <charset val="134"/>
      </rPr>
      <t xml:space="preserve">元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</si>
  <si>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产地</t>
    </r>
    <r>
      <rPr>
        <sz val="11"/>
        <rFont val="宋体"/>
        <family val="0"/>
      </rPr>
      <t xml:space="preserve">/</t>
    </r>
    <r>
      <rPr>
        <sz val="11"/>
        <rFont val="宋体"/>
        <family val="0"/>
        <charset val="134"/>
      </rPr>
      <t xml:space="preserve">品牌</t>
    </r>
  </si>
  <si>
    <t xml:space="preserve">电流</t>
  </si>
  <si>
    <t xml:space="preserve">总电缆费用</t>
  </si>
  <si>
    <t xml:space="preserve">柜宽</t>
  </si>
  <si>
    <t xml:space="preserve">铜排规格</t>
  </si>
  <si>
    <t xml:space="preserve">塑壳断路器</t>
  </si>
  <si>
    <t xml:space="preserve">XT1N160 TMD 63 3P FF</t>
  </si>
  <si>
    <t xml:space="preserve">XT1N160 TMD 100 3P FF</t>
  </si>
  <si>
    <t xml:space="preserve">铜价</t>
  </si>
  <si>
    <t xml:space="preserve">XT1N160 TMD 160 3P FF</t>
  </si>
  <si>
    <t xml:space="preserve">XT3N250 TMD 250 3P FF</t>
  </si>
  <si>
    <t xml:space="preserve">XT5N400 TMA 400 3P FF</t>
  </si>
  <si>
    <t xml:space="preserve">XT5N630 TMA 500 3P FF</t>
  </si>
  <si>
    <t xml:space="preserve">XT5N630 TMA 630 3P FF</t>
  </si>
  <si>
    <t xml:space="preserve">框架断路器</t>
  </si>
  <si>
    <t xml:space="preserve">E1C630 T LSI 3P WHR</t>
  </si>
  <si>
    <t xml:space="preserve">E1C800 T LSI 3P WHR</t>
  </si>
  <si>
    <t xml:space="preserve">E1C1000 T LSI 3P WHR</t>
  </si>
  <si>
    <t xml:space="preserve">电流互感器 </t>
  </si>
  <si>
    <r>
      <rPr>
        <sz val="11"/>
        <rFont val="宋体"/>
        <family val="0"/>
      </rPr>
      <t xml:space="preserve">SDH-0.66 600/5</t>
    </r>
    <r>
      <rPr>
        <sz val="11"/>
        <rFont val="宋体"/>
        <family val="0"/>
        <charset val="134"/>
      </rPr>
      <t xml:space="preserve">及以下</t>
    </r>
  </si>
  <si>
    <t xml:space="preserve">SDH-0.66 800/5</t>
  </si>
  <si>
    <t xml:space="preserve">SDH-0.66 1000/5</t>
  </si>
  <si>
    <t xml:space="preserve">数显仪表</t>
  </si>
  <si>
    <t xml:space="preserve">MC7200</t>
  </si>
  <si>
    <t xml:space="preserve">铜排</t>
  </si>
  <si>
    <t xml:space="preserve">TMY-4*(100*10)+(100*8)</t>
  </si>
  <si>
    <t xml:space="preserve">辅助材料（出线柜，</t>
  </si>
  <si>
    <t xml:space="preserve">路出线）</t>
  </si>
  <si>
    <t xml:space="preserve">成套费（组装费、企业管理费、税收、利润等）</t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</si>
  <si>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:GCS(出线抽屉柜、</t>
    </r>
  </si>
  <si>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</si>
  <si>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t xml:space="preserve">型号</t>
  </si>
  <si>
    <t xml:space="preserve">名称</t>
  </si>
  <si>
    <t xml:space="preserve">单价</t>
  </si>
  <si>
    <r>
      <rPr>
        <sz val="12"/>
        <rFont val="黑体"/>
        <family val="3"/>
        <charset val="134"/>
      </rPr>
      <t xml:space="preserve">产地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厂家</t>
    </r>
  </si>
  <si>
    <t xml:space="preserve">面价</t>
  </si>
  <si>
    <t xml:space="preserve">附件</t>
  </si>
  <si>
    <t xml:space="preserve">折扣</t>
  </si>
  <si>
    <t xml:space="preserve">板前</t>
  </si>
  <si>
    <t xml:space="preserve">分励</t>
  </si>
  <si>
    <t xml:space="preserve">辅助</t>
  </si>
  <si>
    <t xml:space="preserve">报警</t>
  </si>
  <si>
    <t xml:space="preserve">电动机保护</t>
  </si>
  <si>
    <t xml:space="preserve">插入式板后</t>
  </si>
  <si>
    <t xml:space="preserve">2*Mkk480-D-01/B44066D7050</t>
  </si>
  <si>
    <t xml:space="preserve">电容电抗</t>
  </si>
  <si>
    <t xml:space="preserve">爱普科斯</t>
  </si>
  <si>
    <t xml:space="preserve">SJ2206HA2BAL</t>
  </si>
  <si>
    <t xml:space="preserve">风机</t>
  </si>
  <si>
    <r>
      <rPr>
        <sz val="12"/>
        <rFont val="黑体"/>
        <family val="3"/>
        <charset val="134"/>
      </rPr>
      <t xml:space="preserve">台湾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三巨</t>
    </r>
  </si>
  <si>
    <r>
      <rPr>
        <sz val="11"/>
        <rFont val="宋体"/>
        <family val="0"/>
      </rPr>
      <t xml:space="preserve">3AE-EP 12KV-630A-31.5KA </t>
    </r>
    <r>
      <rPr>
        <sz val="11"/>
        <rFont val="宋体"/>
        <family val="0"/>
        <charset val="134"/>
      </rPr>
      <t xml:space="preserve">手车式</t>
    </r>
  </si>
  <si>
    <t xml:space="preserve">真空断路器</t>
  </si>
  <si>
    <t xml:space="preserve">西门子</t>
  </si>
  <si>
    <r>
      <rPr>
        <sz val="11"/>
        <rFont val="宋体"/>
        <family val="0"/>
      </rPr>
      <t xml:space="preserve">3AJ1-12 630A-25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</si>
  <si>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3AS4-12 1250-31.5</t>
    </r>
    <r>
      <rPr>
        <sz val="11"/>
        <rFont val="宋体"/>
        <family val="0"/>
        <charset val="134"/>
      </rPr>
      <t xml:space="preserve">手车式</t>
    </r>
  </si>
  <si>
    <t xml:space="preserve">伊顿</t>
  </si>
  <si>
    <r>
      <rPr>
        <sz val="11"/>
        <rFont val="宋体"/>
        <family val="0"/>
      </rPr>
      <t xml:space="preserve">3AS4-12 630-25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</si>
  <si>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3VL400N400 TM PB/3340 </t>
    </r>
    <r>
      <rPr>
        <sz val="11"/>
        <rFont val="宋体"/>
        <family val="0"/>
        <charset val="134"/>
      </rPr>
      <t xml:space="preserve">螺钉端子</t>
    </r>
  </si>
  <si>
    <r>
      <rPr>
        <sz val="11"/>
        <rFont val="宋体"/>
        <family val="0"/>
      </rPr>
      <t xml:space="preserve">3VL630H630 TM PB/3340 </t>
    </r>
    <r>
      <rPr>
        <sz val="11"/>
        <rFont val="宋体"/>
        <family val="0"/>
        <charset val="134"/>
      </rPr>
      <t xml:space="preserve">螺钉端子</t>
    </r>
  </si>
  <si>
    <r>
      <rPr>
        <sz val="11"/>
        <rFont val="宋体"/>
        <family val="0"/>
      </rPr>
      <t xml:space="preserve">3VL630H630 TM PB/3P </t>
    </r>
    <r>
      <rPr>
        <sz val="11"/>
        <rFont val="宋体"/>
        <family val="0"/>
        <charset val="134"/>
      </rPr>
      <t xml:space="preserve">螺钉端子</t>
    </r>
  </si>
  <si>
    <r>
      <rPr>
        <sz val="11"/>
        <rFont val="宋体"/>
        <family val="0"/>
      </rPr>
      <t xml:space="preserve">3WL1N08 ETU45B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</si>
  <si>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3WL1N10 ETU45B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</si>
  <si>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3WL1N12 ETU45B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</si>
  <si>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3WL2N20 ETU45B </t>
    </r>
    <r>
      <rPr>
        <sz val="11"/>
        <rFont val="宋体"/>
        <family val="0"/>
        <charset val="134"/>
      </rPr>
      <t xml:space="preserve">抽屉电动</t>
    </r>
  </si>
  <si>
    <t xml:space="preserve">42L6-A</t>
  </si>
  <si>
    <t xml:space="preserve">电流表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</si>
  <si>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电子</t>
    </r>
  </si>
  <si>
    <t xml:space="preserve">42L6-COS</t>
  </si>
  <si>
    <t xml:space="preserve">功率因数表</t>
  </si>
  <si>
    <t xml:space="preserve">42L6-V</t>
  </si>
  <si>
    <t xml:space="preserve">电压表</t>
  </si>
  <si>
    <t xml:space="preserve">42L6-V 10/0.1KV</t>
  </si>
  <si>
    <t xml:space="preserve">42L6-W</t>
  </si>
  <si>
    <t xml:space="preserve">功率表</t>
  </si>
  <si>
    <t xml:space="preserve">6L2-A</t>
  </si>
  <si>
    <t xml:space="preserve">6L2-COS</t>
  </si>
  <si>
    <t xml:space="preserve">功率因素表</t>
  </si>
  <si>
    <t xml:space="preserve">6L2-V</t>
  </si>
  <si>
    <t xml:space="preserve">6L2-W</t>
  </si>
  <si>
    <t xml:space="preserve">99T1-A</t>
  </si>
  <si>
    <t xml:space="preserve">A1-270#</t>
  </si>
  <si>
    <t xml:space="preserve">计量表架</t>
  </si>
  <si>
    <r>
      <rPr>
        <sz val="12"/>
        <rFont val="黑体"/>
        <family val="3"/>
        <charset val="134"/>
      </rPr>
      <t xml:space="preserve">海盐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同安</t>
    </r>
  </si>
  <si>
    <t xml:space="preserve">A-APF/4L-100A C</t>
  </si>
  <si>
    <t xml:space="preserve">有源滤波器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</si>
  <si>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亚派</t>
    </r>
  </si>
  <si>
    <t xml:space="preserve">A-APF/4L-150A C</t>
  </si>
  <si>
    <t xml:space="preserve">ACR120EL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</si>
  <si>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安科瑞</t>
    </r>
  </si>
  <si>
    <t xml:space="preserve">ACR210EL</t>
  </si>
  <si>
    <t xml:space="preserve">ACR220EL</t>
  </si>
  <si>
    <t xml:space="preserve">ACR220ELH</t>
  </si>
  <si>
    <t xml:space="preserve">ACR230ELH</t>
  </si>
  <si>
    <t xml:space="preserve">ACR330ELH</t>
  </si>
  <si>
    <t xml:space="preserve">Acuvim387</t>
  </si>
  <si>
    <r>
      <rPr>
        <sz val="12"/>
        <rFont val="黑体"/>
        <family val="3"/>
        <charset val="134"/>
      </rPr>
      <t xml:space="preserve">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爱博</t>
    </r>
  </si>
  <si>
    <t xml:space="preserve">Acuvim-390</t>
  </si>
  <si>
    <t xml:space="preserve">Acuvim-CL</t>
  </si>
  <si>
    <t xml:space="preserve">AcuvimII</t>
  </si>
  <si>
    <t xml:space="preserve">AL2D 480V 100KVAR+XKIB 74/400/6-50</t>
  </si>
  <si>
    <t xml:space="preserve">电容器</t>
  </si>
  <si>
    <r>
      <rPr>
        <sz val="12"/>
        <rFont val="黑体"/>
        <family val="3"/>
        <charset val="134"/>
      </rPr>
      <t xml:space="preserve">芬兰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诺基亚</t>
    </r>
  </si>
  <si>
    <t xml:space="preserve">AL2D 480V 50KVAR+XKIB 37/400/6-50</t>
  </si>
  <si>
    <t xml:space="preserve">ALP08</t>
  </si>
  <si>
    <t xml:space="preserve">阿尔卑斯</t>
  </si>
  <si>
    <t xml:space="preserve">ALP12</t>
  </si>
  <si>
    <r>
      <rPr>
        <sz val="11"/>
        <rFont val="宋体"/>
        <family val="0"/>
      </rPr>
      <t xml:space="preserve">AN-13D4-13A AG5</t>
    </r>
    <r>
      <rPr>
        <sz val="11"/>
        <rFont val="宋体"/>
        <family val="0"/>
        <charset val="134"/>
      </rPr>
      <t xml:space="preserve">抽屉电动失压</t>
    </r>
  </si>
  <si>
    <r>
      <rPr>
        <sz val="12"/>
        <rFont val="黑体"/>
        <family val="3"/>
      </rPr>
      <t xml:space="preserve">LS</t>
    </r>
    <r>
      <rPr>
        <sz val="12"/>
        <rFont val="黑体"/>
        <family val="3"/>
        <charset val="134"/>
      </rPr>
      <t xml:space="preserve">产电</t>
    </r>
  </si>
  <si>
    <r>
      <rPr>
        <sz val="11"/>
        <rFont val="宋体"/>
        <family val="0"/>
      </rPr>
      <t xml:space="preserve">AN-16D4-16A AG5</t>
    </r>
    <r>
      <rPr>
        <sz val="11"/>
        <rFont val="宋体"/>
        <family val="0"/>
        <charset val="134"/>
      </rPr>
      <t xml:space="preserve">抽屉电动失压</t>
    </r>
  </si>
  <si>
    <t xml:space="preserve">ANJ-BCY8</t>
  </si>
  <si>
    <t xml:space="preserve">状态显示器</t>
  </si>
  <si>
    <r>
      <rPr>
        <sz val="12"/>
        <rFont val="黑体"/>
        <family val="3"/>
        <charset val="134"/>
      </rPr>
      <t xml:space="preserve">台州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安耐杰</t>
    </r>
  </si>
  <si>
    <t xml:space="preserve">ANJ-GB/450-10.10</t>
  </si>
  <si>
    <t xml:space="preserve">智能电容器</t>
  </si>
  <si>
    <t xml:space="preserve">ANJ-GB/480(XL)-40-7%</t>
  </si>
  <si>
    <t xml:space="preserve">电容电抗器</t>
  </si>
  <si>
    <r>
      <rPr>
        <sz val="10.5"/>
        <rFont val="宋体"/>
        <family val="0"/>
        <charset val="134"/>
      </rPr>
      <t xml:space="preserve">台州</t>
    </r>
    <r>
      <rPr>
        <sz val="10.5"/>
        <rFont val="Times New Roman"/>
        <family val="0"/>
        <charset val="1"/>
      </rPr>
      <t xml:space="preserve">/</t>
    </r>
    <r>
      <rPr>
        <sz val="10.5"/>
        <rFont val="宋体"/>
        <family val="0"/>
        <charset val="134"/>
      </rPr>
      <t xml:space="preserve">安耐杰</t>
    </r>
  </si>
  <si>
    <t xml:space="preserve">ANJ-GB/480-40-7%</t>
  </si>
  <si>
    <t xml:space="preserve">APK440-3-45</t>
  </si>
  <si>
    <r>
      <rPr>
        <sz val="12"/>
        <rFont val="黑体"/>
        <family val="3"/>
        <charset val="134"/>
      </rPr>
      <t xml:space="preserve">美国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电能设备</t>
    </r>
  </si>
  <si>
    <t xml:space="preserve">ARC PROTECTION VAMP 120</t>
  </si>
  <si>
    <t xml:space="preserve">弧光报警装置</t>
  </si>
  <si>
    <t xml:space="preserve">ATNSX-250F/4P</t>
  </si>
  <si>
    <t xml:space="preserve">双电源转换开关</t>
  </si>
  <si>
    <t xml:space="preserve">施耐德</t>
  </si>
  <si>
    <t xml:space="preserve">ATNSX-400F/4P</t>
  </si>
  <si>
    <t xml:space="preserve">B105</t>
  </si>
  <si>
    <t xml:space="preserve">接触器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</si>
  <si>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人民</t>
    </r>
  </si>
  <si>
    <t xml:space="preserve">B16</t>
  </si>
  <si>
    <t xml:space="preserve">B170</t>
  </si>
  <si>
    <t xml:space="preserve">B25</t>
  </si>
  <si>
    <t xml:space="preserve">B250</t>
  </si>
  <si>
    <t xml:space="preserve">B25C</t>
  </si>
  <si>
    <t xml:space="preserve">B30</t>
  </si>
  <si>
    <t xml:space="preserve">B30C</t>
  </si>
  <si>
    <t xml:space="preserve">B370</t>
  </si>
  <si>
    <t xml:space="preserve">B45</t>
  </si>
  <si>
    <t xml:space="preserve">B50C</t>
  </si>
  <si>
    <t xml:space="preserve">B63C</t>
  </si>
  <si>
    <t xml:space="preserve">B75C</t>
  </si>
  <si>
    <t xml:space="preserve">BCMJ-0.25-15-3Y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</si>
  <si>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新容</t>
    </r>
  </si>
  <si>
    <t xml:space="preserve">BCMJ-0.25-20-3Y</t>
  </si>
  <si>
    <t xml:space="preserve">BCMJ-0.25-6-3Y</t>
  </si>
  <si>
    <t xml:space="preserve">BCMJ0.415-35-3</t>
  </si>
  <si>
    <t xml:space="preserve">BCMJ0.4-20-3</t>
  </si>
  <si>
    <t xml:space="preserve">BCMJ0.4-25-3</t>
  </si>
  <si>
    <t xml:space="preserve">BCMJ0.4-30-3</t>
  </si>
  <si>
    <t xml:space="preserve">BCMJ0.4-40-3</t>
  </si>
  <si>
    <t xml:space="preserve">BK-500VA</t>
  </si>
  <si>
    <t xml:space="preserve">中间变压器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</si>
  <si>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正泰</t>
    </r>
  </si>
  <si>
    <t xml:space="preserve">BKMJ0.4-20-3</t>
  </si>
  <si>
    <t xml:space="preserve">BKMJ0.4-40-3</t>
  </si>
  <si>
    <t xml:space="preserve">BKPF X12-T-3A</t>
  </si>
  <si>
    <t xml:space="preserve">补偿控制器</t>
  </si>
  <si>
    <t xml:space="preserve">博鲁克</t>
  </si>
  <si>
    <t xml:space="preserve">BKPL-25-480-7S</t>
  </si>
  <si>
    <t xml:space="preserve">电容电抗组合</t>
  </si>
  <si>
    <t xml:space="preserve">BKPL-50-440-7S</t>
  </si>
  <si>
    <t xml:space="preserve">BKTS</t>
  </si>
  <si>
    <t xml:space="preserve">晶闸管开关</t>
  </si>
  <si>
    <t xml:space="preserve">CB125N/25A/3P</t>
  </si>
  <si>
    <r>
      <rPr>
        <sz val="12"/>
        <rFont val="黑体"/>
        <family val="3"/>
        <charset val="134"/>
      </rPr>
      <t xml:space="preserve">美国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通用</t>
    </r>
  </si>
  <si>
    <r>
      <rPr>
        <sz val="11"/>
        <rFont val="宋体"/>
        <family val="0"/>
      </rPr>
      <t xml:space="preserve">CB125N/50A/3P </t>
    </r>
    <r>
      <rPr>
        <sz val="11"/>
        <rFont val="宋体"/>
        <family val="0"/>
        <charset val="134"/>
      </rPr>
      <t xml:space="preserve">插拔</t>
    </r>
  </si>
  <si>
    <r>
      <rPr>
        <sz val="11"/>
        <rFont val="宋体"/>
        <family val="0"/>
      </rPr>
      <t xml:space="preserve">CB125N/80A/3P </t>
    </r>
    <r>
      <rPr>
        <sz val="11"/>
        <rFont val="宋体"/>
        <family val="0"/>
        <charset val="134"/>
      </rPr>
      <t xml:space="preserve">插拔</t>
    </r>
  </si>
  <si>
    <t xml:space="preserve">CB125N4TM100</t>
  </si>
  <si>
    <t xml:space="preserve">FEN-160/4P TM100A</t>
  </si>
  <si>
    <r>
      <rPr>
        <sz val="11"/>
        <rFont val="宋体"/>
        <family val="0"/>
      </rPr>
      <t xml:space="preserve">CB125S3TM100 </t>
    </r>
    <r>
      <rPr>
        <sz val="11"/>
        <rFont val="宋体"/>
        <family val="0"/>
        <charset val="134"/>
      </rPr>
      <t xml:space="preserve">插拔</t>
    </r>
  </si>
  <si>
    <r>
      <rPr>
        <sz val="12"/>
        <rFont val="黑体"/>
        <family val="3"/>
      </rPr>
      <t xml:space="preserve">FDS160/3P TD100A </t>
    </r>
    <r>
      <rPr>
        <sz val="12"/>
        <rFont val="黑体"/>
        <family val="3"/>
        <charset val="134"/>
      </rPr>
      <t xml:space="preserve">插拔</t>
    </r>
  </si>
  <si>
    <r>
      <rPr>
        <sz val="11"/>
        <rFont val="宋体"/>
        <family val="0"/>
      </rPr>
      <t xml:space="preserve">CB125S3TM100</t>
    </r>
    <r>
      <rPr>
        <sz val="11"/>
        <rFont val="宋体"/>
        <family val="0"/>
        <charset val="134"/>
      </rPr>
      <t xml:space="preserve">分励 插拔</t>
    </r>
  </si>
  <si>
    <r>
      <rPr>
        <sz val="12"/>
        <rFont val="黑体"/>
        <family val="3"/>
      </rPr>
      <t xml:space="preserve">FDS160/3P TD100A</t>
    </r>
    <r>
      <rPr>
        <sz val="12"/>
        <rFont val="黑体"/>
        <family val="3"/>
        <charset val="134"/>
      </rPr>
      <t xml:space="preserve">分励 插拔</t>
    </r>
  </si>
  <si>
    <r>
      <rPr>
        <sz val="11"/>
        <rFont val="宋体"/>
        <family val="0"/>
      </rPr>
      <t xml:space="preserve">CB125S3TM125 </t>
    </r>
    <r>
      <rPr>
        <sz val="11"/>
        <rFont val="宋体"/>
        <family val="0"/>
        <charset val="134"/>
      </rPr>
      <t xml:space="preserve">插拔</t>
    </r>
  </si>
  <si>
    <r>
      <rPr>
        <sz val="12"/>
        <rFont val="黑体"/>
        <family val="3"/>
      </rPr>
      <t xml:space="preserve">FDS160/3P TD125A </t>
    </r>
    <r>
      <rPr>
        <sz val="12"/>
        <rFont val="黑体"/>
        <family val="3"/>
        <charset val="134"/>
      </rPr>
      <t xml:space="preserve">插拔</t>
    </r>
  </si>
  <si>
    <r>
      <rPr>
        <sz val="11"/>
        <rFont val="宋体"/>
        <family val="0"/>
      </rPr>
      <t xml:space="preserve">CB125S3TM125A</t>
    </r>
    <r>
      <rPr>
        <sz val="11"/>
        <rFont val="宋体"/>
        <family val="0"/>
        <charset val="134"/>
      </rPr>
      <t xml:space="preserve">分励 插拔</t>
    </r>
  </si>
  <si>
    <r>
      <rPr>
        <sz val="12"/>
        <rFont val="黑体"/>
        <family val="3"/>
      </rPr>
      <t xml:space="preserve">FDS160/3P TD125A</t>
    </r>
    <r>
      <rPr>
        <sz val="12"/>
        <rFont val="黑体"/>
        <family val="3"/>
        <charset val="134"/>
      </rPr>
      <t xml:space="preserve">分励 插拔</t>
    </r>
  </si>
  <si>
    <t xml:space="preserve">CB125S3TM63</t>
  </si>
  <si>
    <t xml:space="preserve">CB125S3TM80</t>
  </si>
  <si>
    <r>
      <rPr>
        <sz val="11"/>
        <rFont val="宋体"/>
        <family val="0"/>
      </rPr>
      <t xml:space="preserve">CB250N/160A/3P </t>
    </r>
    <r>
      <rPr>
        <sz val="11"/>
        <rFont val="宋体"/>
        <family val="0"/>
        <charset val="134"/>
      </rPr>
      <t xml:space="preserve">插拔</t>
    </r>
  </si>
  <si>
    <r>
      <rPr>
        <sz val="11"/>
        <rFont val="宋体"/>
        <family val="0"/>
      </rPr>
      <t xml:space="preserve">CB250N/200A/3P </t>
    </r>
    <r>
      <rPr>
        <sz val="11"/>
        <rFont val="宋体"/>
        <family val="0"/>
        <charset val="134"/>
      </rPr>
      <t xml:space="preserve">插拔</t>
    </r>
  </si>
  <si>
    <r>
      <rPr>
        <sz val="11"/>
        <rFont val="宋体"/>
        <family val="0"/>
      </rPr>
      <t xml:space="preserve">CB250N/250A/3P </t>
    </r>
    <r>
      <rPr>
        <sz val="11"/>
        <rFont val="宋体"/>
        <family val="0"/>
        <charset val="134"/>
      </rPr>
      <t xml:space="preserve">插拔</t>
    </r>
  </si>
  <si>
    <t xml:space="preserve">CB250S3TM125</t>
  </si>
  <si>
    <t xml:space="preserve">CB250S3TM160</t>
  </si>
  <si>
    <r>
      <rPr>
        <sz val="11"/>
        <rFont val="宋体"/>
        <family val="0"/>
      </rPr>
      <t xml:space="preserve">CB250S3TM160</t>
    </r>
    <r>
      <rPr>
        <sz val="11"/>
        <rFont val="宋体"/>
        <family val="0"/>
        <charset val="134"/>
      </rPr>
      <t xml:space="preserve">分励 插拔</t>
    </r>
  </si>
  <si>
    <r>
      <rPr>
        <sz val="12"/>
        <rFont val="黑体"/>
        <family val="3"/>
      </rPr>
      <t xml:space="preserve">FDS160/3P TM160A</t>
    </r>
    <r>
      <rPr>
        <sz val="12"/>
        <rFont val="黑体"/>
        <family val="3"/>
        <charset val="134"/>
      </rPr>
      <t xml:space="preserve">分励 插拔</t>
    </r>
  </si>
  <si>
    <t xml:space="preserve">CB250S3TM200</t>
  </si>
  <si>
    <t xml:space="preserve">CB250S3TM250</t>
  </si>
  <si>
    <r>
      <rPr>
        <sz val="11"/>
        <rFont val="宋体"/>
        <family val="0"/>
      </rPr>
      <t xml:space="preserve">CB250S3TM250</t>
    </r>
    <r>
      <rPr>
        <sz val="11"/>
        <rFont val="宋体"/>
        <family val="0"/>
        <charset val="134"/>
      </rPr>
      <t xml:space="preserve">分励 插拔</t>
    </r>
  </si>
  <si>
    <r>
      <rPr>
        <sz val="12"/>
        <rFont val="黑体"/>
        <family val="3"/>
      </rPr>
      <t xml:space="preserve">FEV250/3P TMD250A</t>
    </r>
    <r>
      <rPr>
        <sz val="12"/>
        <rFont val="黑体"/>
        <family val="3"/>
        <charset val="134"/>
      </rPr>
      <t xml:space="preserve">分励 插拔</t>
    </r>
  </si>
  <si>
    <r>
      <rPr>
        <sz val="11"/>
        <rFont val="宋体"/>
        <family val="0"/>
      </rPr>
      <t xml:space="preserve">CB400N/400A/3P </t>
    </r>
    <r>
      <rPr>
        <sz val="11"/>
        <rFont val="宋体"/>
        <family val="0"/>
        <charset val="134"/>
      </rPr>
      <t xml:space="preserve">插拔</t>
    </r>
  </si>
  <si>
    <r>
      <rPr>
        <sz val="11"/>
        <rFont val="宋体"/>
        <family val="0"/>
      </rPr>
      <t xml:space="preserve">CB400N3TM400</t>
    </r>
    <r>
      <rPr>
        <sz val="11"/>
        <rFont val="宋体"/>
        <family val="0"/>
        <charset val="134"/>
      </rPr>
      <t xml:space="preserve">分励 插拔</t>
    </r>
  </si>
  <si>
    <r>
      <rPr>
        <sz val="12"/>
        <rFont val="黑体"/>
        <family val="3"/>
      </rPr>
      <t xml:space="preserve">FGN400/3P AA400</t>
    </r>
    <r>
      <rPr>
        <sz val="12"/>
        <rFont val="黑体"/>
        <family val="3"/>
        <charset val="134"/>
      </rPr>
      <t xml:space="preserve">分励 插拔</t>
    </r>
  </si>
  <si>
    <t xml:space="preserve">CB400S3TM315</t>
  </si>
  <si>
    <t xml:space="preserve">CBZ-6311</t>
  </si>
  <si>
    <t xml:space="preserve">微机保护装置</t>
  </si>
  <si>
    <t xml:space="preserve">上海继电器</t>
  </si>
  <si>
    <t xml:space="preserve">CBZ-6316</t>
  </si>
  <si>
    <t xml:space="preserve">CGM-11  40W  AC220V</t>
  </si>
  <si>
    <t xml:space="preserve">照明灯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</si>
  <si>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西湖</t>
    </r>
  </si>
  <si>
    <t xml:space="preserve">CH2-63A/4P</t>
  </si>
  <si>
    <t xml:space="preserve">微型断路器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</si>
  <si>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常熟</t>
    </r>
  </si>
  <si>
    <t xml:space="preserve">CJ19-63A</t>
  </si>
  <si>
    <t xml:space="preserve">CJ39-40</t>
  </si>
  <si>
    <t xml:space="preserve">CJ39-63</t>
  </si>
  <si>
    <t xml:space="preserve">CJX4-110d</t>
  </si>
  <si>
    <r>
      <rPr>
        <sz val="12"/>
        <rFont val="黑体"/>
        <family val="3"/>
        <charset val="134"/>
      </rPr>
      <t xml:space="preserve">天水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二一三</t>
    </r>
  </si>
  <si>
    <t xml:space="preserve">CL06A</t>
  </si>
  <si>
    <r>
      <rPr>
        <sz val="11"/>
        <rFont val="宋体"/>
        <family val="0"/>
      </rPr>
      <t xml:space="preserve">CM1-100C/3300(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</si>
  <si>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</si>
  <si>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</si>
  <si>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</si>
  <si>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</si>
  <si>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</si>
  <si>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</si>
  <si>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</si>
  <si>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</si>
  <si>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</si>
  <si>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</si>
  <si>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</si>
  <si>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</si>
  <si>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</si>
  <si>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CM1-100C/3340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</si>
  <si>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</si>
  <si>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</si>
  <si>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</si>
  <si>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</si>
  <si>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</si>
  <si>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</si>
  <si>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</si>
  <si>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</si>
  <si>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</si>
  <si>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</si>
  <si>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</si>
  <si>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</si>
  <si>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</si>
  <si>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</si>
  <si>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</si>
  <si>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</si>
  <si>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</si>
  <si>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</si>
  <si>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</si>
  <si>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</si>
  <si>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</si>
  <si>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</si>
  <si>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</si>
  <si>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</si>
  <si>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</si>
  <si>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</si>
  <si>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</si>
  <si>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</si>
  <si>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</si>
  <si>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</si>
  <si>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</si>
  <si>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</si>
  <si>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</si>
  <si>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</si>
  <si>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</si>
  <si>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</si>
  <si>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</si>
  <si>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</si>
  <si>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</si>
  <si>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</si>
  <si>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</si>
  <si>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</si>
  <si>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CM1-100M/3340(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</si>
  <si>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</si>
  <si>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CM1-100M/3340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</si>
  <si>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</si>
  <si>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</si>
  <si>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</si>
  <si>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</si>
  <si>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</si>
  <si>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</si>
  <si>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</si>
  <si>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</si>
  <si>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</si>
  <si>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</si>
  <si>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</si>
  <si>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</si>
  <si>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</si>
  <si>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</si>
  <si>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CM1-160C/3340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</si>
  <si>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</si>
  <si>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</si>
  <si>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</si>
  <si>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</si>
  <si>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</si>
  <si>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</si>
  <si>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</si>
  <si>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</si>
  <si>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</si>
  <si>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</si>
  <si>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</si>
  <si>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</si>
  <si>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</si>
  <si>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</si>
  <si>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</si>
  <si>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</si>
  <si>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</si>
  <si>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</si>
  <si>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</si>
  <si>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</si>
  <si>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</si>
  <si>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</si>
  <si>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</si>
  <si>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</si>
  <si>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</si>
  <si>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</si>
  <si>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</si>
  <si>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</si>
  <si>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</si>
  <si>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</si>
  <si>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</si>
  <si>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</si>
  <si>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</si>
  <si>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</si>
  <si>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</si>
  <si>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</si>
  <si>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</si>
  <si>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</si>
  <si>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</si>
  <si>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</si>
  <si>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</si>
  <si>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</si>
  <si>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CM1-160M/3340(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</si>
  <si>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</si>
  <si>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CM1-160M/3340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</si>
  <si>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</si>
  <si>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</si>
  <si>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</si>
  <si>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</si>
  <si>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</si>
  <si>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</si>
  <si>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</si>
  <si>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</si>
  <si>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</si>
  <si>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</si>
  <si>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</si>
  <si>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</si>
  <si>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</si>
  <si>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</si>
  <si>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CM1-225C/3340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</si>
  <si>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</si>
  <si>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</si>
  <si>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</si>
  <si>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</si>
  <si>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</si>
  <si>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</si>
  <si>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</si>
  <si>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</si>
  <si>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</si>
  <si>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</si>
  <si>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</si>
  <si>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</si>
  <si>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</si>
  <si>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</si>
  <si>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CM1-225H/3340</t>
    </r>
    <r>
      <rPr>
        <sz val="11"/>
        <rFont val="宋体"/>
        <family val="0"/>
        <charset val="134"/>
      </rPr>
      <t xml:space="preserve">插入式</t>
    </r>
  </si>
  <si>
    <t xml:space="preserve">CM1-225L/3300</t>
  </si>
  <si>
    <t xml:space="preserve">常熟开关厂</t>
  </si>
  <si>
    <r>
      <rPr>
        <sz val="11"/>
        <rFont val="宋体"/>
        <family val="0"/>
      </rPr>
      <t xml:space="preserve">CM1-225L/3300(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</si>
  <si>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</si>
  <si>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</si>
  <si>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</si>
  <si>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</si>
  <si>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</si>
  <si>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</si>
  <si>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</si>
  <si>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</si>
  <si>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</si>
  <si>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</si>
  <si>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</si>
  <si>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</si>
  <si>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</si>
  <si>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</si>
  <si>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</si>
  <si>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</si>
  <si>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</si>
  <si>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</si>
  <si>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</si>
  <si>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</si>
  <si>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</si>
  <si>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</si>
  <si>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</si>
  <si>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</si>
  <si>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</si>
  <si>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</si>
  <si>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CM1-225M/3340(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</si>
  <si>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</si>
  <si>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CM1-225M/3340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</si>
  <si>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</si>
  <si>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</si>
  <si>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</si>
  <si>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</si>
  <si>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</si>
  <si>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</si>
  <si>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</si>
  <si>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</si>
  <si>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</si>
  <si>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</si>
  <si>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</si>
  <si>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</si>
  <si>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</si>
  <si>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</si>
  <si>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</si>
  <si>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</si>
  <si>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</si>
  <si>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</si>
  <si>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</si>
  <si>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</si>
  <si>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</si>
  <si>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</si>
  <si>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</si>
  <si>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</si>
  <si>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</si>
  <si>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</si>
  <si>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</si>
  <si>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</si>
  <si>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</si>
  <si>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</si>
  <si>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</si>
  <si>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</si>
  <si>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</si>
  <si>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</si>
  <si>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</si>
  <si>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</si>
  <si>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</si>
  <si>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</si>
  <si>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</si>
  <si>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</si>
  <si>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</si>
  <si>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</si>
  <si>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CM1-250M/3340(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</si>
  <si>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</si>
  <si>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CM1-250M/3340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</si>
  <si>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</si>
  <si>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</si>
  <si>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</si>
  <si>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</si>
  <si>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</si>
  <si>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</si>
  <si>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</si>
  <si>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</si>
  <si>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</si>
  <si>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</si>
  <si>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</si>
  <si>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</si>
  <si>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</si>
  <si>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</si>
  <si>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CM1-400C/3340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</si>
  <si>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</si>
  <si>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</si>
  <si>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</si>
  <si>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</si>
  <si>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</si>
  <si>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</si>
  <si>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</si>
  <si>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</si>
  <si>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</si>
  <si>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</si>
  <si>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</si>
  <si>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</si>
  <si>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</si>
  <si>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</si>
  <si>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CM1-400H/3340</t>
    </r>
    <r>
      <rPr>
        <sz val="11"/>
        <rFont val="宋体"/>
        <family val="0"/>
        <charset val="134"/>
      </rPr>
      <t xml:space="preserve">插入式</t>
    </r>
  </si>
  <si>
    <t xml:space="preserve">CM1-400L/3300</t>
  </si>
  <si>
    <r>
      <rPr>
        <sz val="11"/>
        <rFont val="宋体"/>
        <family val="0"/>
      </rPr>
      <t xml:space="preserve">CM1-400L/3300(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</si>
  <si>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</si>
  <si>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</si>
  <si>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</si>
  <si>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</si>
  <si>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</si>
  <si>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</si>
  <si>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</si>
  <si>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</si>
  <si>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</si>
  <si>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</si>
  <si>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</si>
  <si>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</si>
  <si>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</si>
  <si>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</si>
  <si>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</si>
  <si>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</si>
  <si>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</si>
  <si>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</si>
  <si>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</si>
  <si>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</si>
  <si>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</si>
  <si>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</si>
  <si>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</si>
  <si>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</si>
  <si>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</si>
  <si>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</si>
  <si>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CM1-400M/3340(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</si>
  <si>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</si>
  <si>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CM1-400M/3340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</si>
  <si>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</si>
  <si>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</si>
  <si>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</si>
  <si>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</si>
  <si>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</si>
  <si>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</si>
  <si>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</si>
  <si>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</si>
  <si>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</si>
  <si>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</si>
  <si>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</si>
  <si>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</si>
  <si>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</si>
  <si>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</si>
  <si>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CM1-630C/3340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</si>
  <si>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</si>
  <si>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</si>
  <si>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</si>
  <si>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</si>
  <si>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</si>
  <si>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</si>
  <si>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</si>
  <si>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</si>
  <si>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</si>
  <si>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</si>
  <si>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</si>
  <si>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</si>
  <si>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</si>
  <si>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</si>
  <si>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</si>
  <si>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</si>
  <si>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</si>
  <si>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</si>
  <si>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</si>
  <si>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</si>
  <si>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</si>
  <si>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</si>
  <si>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</si>
  <si>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</si>
  <si>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</si>
  <si>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</si>
  <si>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</si>
  <si>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</si>
  <si>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</si>
  <si>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</si>
  <si>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</si>
  <si>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</si>
  <si>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</si>
  <si>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</si>
  <si>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</si>
  <si>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</si>
  <si>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</si>
  <si>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</si>
  <si>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</si>
  <si>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</si>
  <si>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</si>
  <si>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</si>
  <si>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</si>
  <si>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</si>
  <si>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</si>
  <si>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</si>
  <si>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</si>
  <si>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</si>
  <si>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</si>
  <si>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</si>
  <si>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</si>
  <si>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</si>
  <si>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</si>
  <si>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</si>
  <si>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</si>
  <si>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</si>
  <si>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</si>
  <si>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</si>
  <si>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</si>
  <si>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</si>
  <si>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</si>
  <si>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</si>
  <si>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</si>
  <si>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</si>
  <si>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</si>
  <si>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</si>
  <si>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</si>
  <si>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</si>
  <si>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</si>
  <si>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</si>
  <si>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</si>
  <si>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</si>
  <si>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CM1-63M/3340(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</si>
  <si>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</si>
  <si>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CM1-63M/3340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</si>
  <si>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</si>
  <si>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</si>
  <si>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</si>
  <si>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</si>
  <si>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</si>
  <si>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</si>
  <si>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</si>
  <si>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</si>
  <si>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</si>
  <si>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</si>
  <si>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</si>
  <si>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</si>
  <si>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</si>
  <si>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</si>
  <si>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</si>
  <si>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</si>
  <si>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</si>
  <si>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</si>
  <si>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</si>
  <si>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</si>
  <si>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</si>
  <si>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CM1-800M/3340(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</si>
  <si>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</si>
  <si>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CM1-800M/3340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</si>
  <si>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</si>
  <si>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</si>
  <si>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</si>
  <si>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</si>
  <si>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</si>
  <si>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</si>
  <si>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</si>
  <si>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</si>
  <si>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</si>
  <si>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</si>
  <si>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</si>
  <si>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</si>
  <si>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</si>
  <si>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</si>
  <si>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</si>
  <si>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</si>
  <si>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</si>
  <si>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</si>
  <si>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</si>
  <si>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</si>
  <si>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</si>
  <si>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</si>
  <si>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</si>
  <si>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</si>
  <si>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</si>
  <si>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</si>
  <si>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</si>
  <si>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</si>
  <si>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</si>
  <si>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</si>
  <si>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</si>
  <si>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</si>
  <si>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</si>
  <si>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</si>
  <si>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</si>
  <si>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</si>
  <si>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</si>
  <si>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</si>
  <si>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</si>
  <si>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</si>
  <si>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</si>
  <si>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</si>
  <si>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CM2-125M/3340(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</si>
  <si>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</si>
  <si>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CM2-125M/3340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</si>
  <si>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</si>
  <si>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</si>
  <si>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</si>
  <si>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</si>
  <si>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</si>
  <si>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</si>
  <si>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</si>
  <si>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</si>
  <si>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</si>
  <si>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</si>
  <si>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</si>
  <si>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</si>
  <si>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</si>
  <si>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</si>
  <si>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</si>
  <si>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</si>
  <si>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</si>
  <si>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</si>
  <si>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</si>
  <si>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</si>
  <si>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</si>
  <si>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</si>
  <si>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</si>
  <si>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</si>
  <si>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</si>
  <si>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</si>
  <si>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</si>
  <si>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</si>
  <si>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</si>
  <si>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</si>
  <si>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</si>
  <si>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</si>
  <si>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</si>
  <si>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</si>
  <si>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</si>
  <si>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</si>
  <si>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</si>
  <si>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</si>
  <si>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</si>
  <si>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</si>
  <si>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</si>
  <si>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</si>
  <si>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CM2-225M/3340(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</si>
  <si>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</si>
  <si>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CM2-225M/3340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</si>
  <si>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</si>
  <si>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</si>
  <si>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</si>
  <si>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</si>
  <si>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</si>
  <si>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</si>
  <si>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</si>
  <si>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</si>
  <si>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</si>
  <si>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</si>
  <si>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</si>
  <si>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</si>
  <si>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</si>
  <si>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</si>
  <si>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</si>
  <si>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</si>
  <si>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</si>
  <si>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</si>
  <si>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</si>
  <si>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</si>
  <si>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</si>
  <si>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</si>
  <si>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</si>
  <si>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</si>
  <si>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</si>
  <si>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</si>
  <si>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</si>
  <si>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</si>
  <si>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</si>
  <si>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</si>
  <si>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</si>
  <si>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</si>
  <si>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</si>
  <si>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</si>
  <si>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</si>
  <si>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</si>
  <si>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</si>
  <si>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</si>
  <si>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</si>
  <si>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</si>
  <si>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</si>
  <si>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</si>
  <si>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CM2-400M/3340(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</si>
  <si>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</si>
  <si>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CM2-400M/3340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</si>
  <si>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</si>
  <si>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</si>
  <si>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</si>
  <si>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</si>
  <si>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</si>
  <si>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</si>
  <si>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</si>
  <si>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</si>
  <si>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</si>
  <si>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</si>
  <si>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</si>
  <si>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</si>
  <si>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</si>
  <si>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</si>
  <si>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</si>
  <si>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</si>
  <si>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</si>
  <si>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</si>
  <si>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</si>
  <si>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</si>
  <si>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</si>
  <si>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</si>
  <si>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</si>
  <si>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</si>
  <si>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</si>
  <si>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</si>
  <si>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</si>
  <si>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</si>
  <si>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</si>
  <si>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</si>
  <si>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</si>
  <si>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</si>
  <si>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</si>
  <si>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</si>
  <si>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</si>
  <si>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</si>
  <si>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</si>
  <si>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</si>
  <si>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</si>
  <si>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</si>
  <si>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</si>
  <si>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</si>
  <si>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CM2-630M/3340(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</si>
  <si>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</si>
  <si>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CM2-630M/3340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</si>
  <si>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</si>
  <si>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</si>
  <si>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</si>
  <si>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</si>
  <si>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</si>
  <si>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</si>
  <si>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</si>
  <si>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</si>
  <si>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</si>
  <si>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</si>
  <si>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</si>
  <si>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</si>
  <si>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</si>
  <si>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</si>
  <si>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</si>
  <si>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CM2-63L/3300(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</si>
  <si>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</si>
  <si>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</si>
  <si>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</si>
  <si>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</si>
  <si>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CM2-63L/33008(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</si>
  <si>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</si>
  <si>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</si>
  <si>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CM2-63L/3300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</si>
  <si>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CM2-63L/3320(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</si>
  <si>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</si>
  <si>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</si>
  <si>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CM2-63L/3340(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</si>
  <si>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</si>
  <si>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CM2-63L/3340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</si>
  <si>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CM2-63M/3300(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</si>
  <si>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</si>
  <si>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</si>
  <si>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</si>
  <si>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</si>
  <si>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CM2-63M/33008(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</si>
  <si>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</si>
  <si>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</si>
  <si>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CM2-63M/3300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</si>
  <si>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CM2-63M/3320(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</si>
  <si>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</si>
  <si>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</si>
  <si>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CM2-63M/3340(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</si>
  <si>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</si>
  <si>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CM2-63M/3340</t>
    </r>
    <r>
      <rPr>
        <sz val="11"/>
        <rFont val="宋体"/>
        <family val="0"/>
        <charset val="134"/>
      </rPr>
      <t xml:space="preserve">插入式</t>
    </r>
  </si>
  <si>
    <t xml:space="preserve">CPM-I100T</t>
  </si>
  <si>
    <t xml:space="preserve">浪涌保护器</t>
  </si>
  <si>
    <r>
      <rPr>
        <sz val="12"/>
        <rFont val="黑体"/>
        <family val="3"/>
        <charset val="134"/>
      </rPr>
      <t xml:space="preserve">天津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中力</t>
    </r>
  </si>
  <si>
    <t xml:space="preserve">CPM-R100T</t>
  </si>
  <si>
    <t xml:space="preserve">CPM-R40T</t>
  </si>
  <si>
    <t xml:space="preserve">CPM-R65T</t>
  </si>
  <si>
    <t xml:space="preserve">CPM-R80T</t>
  </si>
  <si>
    <t xml:space="preserve">CPR480D/30Kvar+CPC480D/30Kvar</t>
  </si>
  <si>
    <t xml:space="preserve">CVS100F/3P</t>
  </si>
  <si>
    <r>
      <rPr>
        <sz val="11"/>
        <rFont val="宋体"/>
        <family val="0"/>
      </rPr>
      <t xml:space="preserve">CVS100F/3P+</t>
    </r>
    <r>
      <rPr>
        <sz val="11"/>
        <rFont val="宋体"/>
        <family val="0"/>
        <charset val="134"/>
      </rPr>
      <t xml:space="preserve">分励辅助</t>
    </r>
  </si>
  <si>
    <t xml:space="preserve">CVS160F/3P</t>
  </si>
  <si>
    <t xml:space="preserve">CVS250F/3P</t>
  </si>
  <si>
    <r>
      <rPr>
        <sz val="11"/>
        <rFont val="宋体"/>
        <family val="0"/>
      </rPr>
      <t xml:space="preserve">CVS250F/3P+</t>
    </r>
    <r>
      <rPr>
        <sz val="11"/>
        <rFont val="宋体"/>
        <family val="0"/>
        <charset val="134"/>
      </rPr>
      <t xml:space="preserve">分励辅助</t>
    </r>
  </si>
  <si>
    <t xml:space="preserve">CVS400F/3P</t>
  </si>
  <si>
    <r>
      <rPr>
        <sz val="11"/>
        <rFont val="宋体"/>
        <family val="0"/>
      </rPr>
      <t xml:space="preserve">CVS400F/3P+</t>
    </r>
    <r>
      <rPr>
        <sz val="11"/>
        <rFont val="宋体"/>
        <family val="0"/>
        <charset val="134"/>
      </rPr>
      <t xml:space="preserve">分励辅助</t>
    </r>
  </si>
  <si>
    <t xml:space="preserve">CVS630F/3P</t>
  </si>
  <si>
    <r>
      <rPr>
        <sz val="11"/>
        <rFont val="宋体"/>
        <family val="0"/>
      </rPr>
      <t xml:space="preserve">CVS630F/3P+</t>
    </r>
    <r>
      <rPr>
        <sz val="11"/>
        <rFont val="宋体"/>
        <family val="0"/>
        <charset val="134"/>
      </rPr>
      <t xml:space="preserve">分励辅助</t>
    </r>
  </si>
  <si>
    <t xml:space="preserve">DFY-2</t>
  </si>
  <si>
    <t xml:space="preserve">计量盒</t>
  </si>
  <si>
    <t xml:space="preserve">DGR2201</t>
  </si>
  <si>
    <t xml:space="preserve">保护装置</t>
  </si>
  <si>
    <t xml:space="preserve">南自凌伊</t>
  </si>
  <si>
    <t xml:space="preserve">DGR2234</t>
  </si>
  <si>
    <t xml:space="preserve">DJR-100W/AC220V</t>
  </si>
  <si>
    <t xml:space="preserve">加热器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</si>
  <si>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晨星</t>
    </r>
  </si>
  <si>
    <t xml:space="preserve">DMP-300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</si>
  <si>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华安</t>
    </r>
  </si>
  <si>
    <t xml:space="preserve">DMR-101P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</si>
  <si>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深科博业</t>
    </r>
  </si>
  <si>
    <t xml:space="preserve">DMR323F</t>
  </si>
  <si>
    <t xml:space="preserve">DNKL-12J</t>
  </si>
  <si>
    <t xml:space="preserve">控制器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</si>
  <si>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鼎诺</t>
    </r>
  </si>
  <si>
    <t xml:space="preserve">DNSC/20-525-3P+DNSR/13-400-14</t>
  </si>
  <si>
    <t xml:space="preserve">DNSC/30-480-3P+DNSR22-400-7</t>
  </si>
  <si>
    <t xml:space="preserve">DNSC/40-480-3P+DNSR/30-400-7</t>
  </si>
  <si>
    <t xml:space="preserve">DNSC/50-525-3P+DNSR/34-400-14</t>
  </si>
  <si>
    <t xml:space="preserve">DNSC/60-480-3P+DNSR44-400-7</t>
  </si>
  <si>
    <t xml:space="preserve">DSN-DM/Z</t>
  </si>
  <si>
    <t xml:space="preserve">电磁锁</t>
  </si>
  <si>
    <r>
      <rPr>
        <sz val="12"/>
        <rFont val="黑体"/>
        <family val="3"/>
        <charset val="134"/>
      </rPr>
      <t xml:space="preserve">衢州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巨威</t>
    </r>
  </si>
  <si>
    <t xml:space="preserve">DSS601 3*100V 1.5(6)A</t>
  </si>
  <si>
    <t xml:space="preserve">电度表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</si>
  <si>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西子</t>
    </r>
  </si>
  <si>
    <t xml:space="preserve">DT1</t>
  </si>
  <si>
    <t xml:space="preserve">电压监测仪</t>
  </si>
  <si>
    <r>
      <rPr>
        <sz val="12"/>
        <rFont val="黑体"/>
        <family val="3"/>
        <charset val="134"/>
      </rPr>
      <t xml:space="preserve">余姚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舜阳</t>
    </r>
  </si>
  <si>
    <t xml:space="preserve">DT864a</t>
  </si>
  <si>
    <t xml:space="preserve">DTSD331-MC3</t>
  </si>
  <si>
    <r>
      <rPr>
        <sz val="12"/>
        <rFont val="黑体"/>
        <family val="3"/>
        <charset val="134"/>
      </rPr>
      <t xml:space="preserve">湖南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威胜</t>
    </r>
  </si>
  <si>
    <t xml:space="preserve">DTSD341-MC3 1.5(6)A</t>
  </si>
  <si>
    <t xml:space="preserve">DTSD341-MD2</t>
  </si>
  <si>
    <t xml:space="preserve">功能少</t>
  </si>
  <si>
    <t xml:space="preserve">DTSD800 3*1.5(6)</t>
  </si>
  <si>
    <t xml:space="preserve">DTSD811 3*1.5(6)A</t>
  </si>
  <si>
    <t xml:space="preserve">DW15-1600/3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</si>
  <si>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精益</t>
    </r>
  </si>
  <si>
    <r>
      <rPr>
        <sz val="11"/>
        <rFont val="宋体"/>
        <family val="0"/>
      </rPr>
      <t xml:space="preserve">DW15-630/200A</t>
    </r>
    <r>
      <rPr>
        <sz val="11"/>
        <rFont val="宋体"/>
        <family val="0"/>
        <charset val="134"/>
      </rPr>
      <t xml:space="preserve">固定欠压</t>
    </r>
  </si>
  <si>
    <t xml:space="preserve">断路器</t>
  </si>
  <si>
    <t xml:space="preserve">DW15-630/3</t>
  </si>
  <si>
    <t xml:space="preserve">DXN-10T</t>
  </si>
  <si>
    <t xml:space="preserve">带电显示器</t>
  </si>
  <si>
    <t xml:space="preserve">DXN8B</t>
  </si>
  <si>
    <r>
      <rPr>
        <sz val="12"/>
        <rFont val="黑体"/>
        <family val="3"/>
        <charset val="134"/>
      </rPr>
      <t xml:space="preserve">江山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江汇</t>
    </r>
  </si>
  <si>
    <t xml:space="preserve">DZ47-32A/3P</t>
  </si>
  <si>
    <t xml:space="preserve">DZ47-60/1P C32A</t>
  </si>
  <si>
    <t xml:space="preserve">DZ47-60/3P C40A</t>
  </si>
  <si>
    <t xml:space="preserve">DZ47-60/3P C60A</t>
  </si>
  <si>
    <t xml:space="preserve">DZ47-63A/4P</t>
  </si>
  <si>
    <t xml:space="preserve">DZ51-22</t>
  </si>
  <si>
    <t xml:space="preserve">中间继电器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</si>
  <si>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继电器</t>
    </r>
  </si>
  <si>
    <t xml:space="preserve">E90S3C32</t>
  </si>
  <si>
    <r>
      <rPr>
        <sz val="12"/>
        <rFont val="黑体"/>
        <family val="3"/>
        <charset val="134"/>
      </rPr>
      <t xml:space="preserve">德国</t>
    </r>
    <r>
      <rPr>
        <sz val="12"/>
        <rFont val="黑体"/>
        <family val="3"/>
      </rPr>
      <t xml:space="preserve">/AEG</t>
    </r>
  </si>
  <si>
    <t xml:space="preserve">E90S3C50</t>
  </si>
  <si>
    <t xml:space="preserve">E90S4C63</t>
  </si>
  <si>
    <t xml:space="preserve">E93C32</t>
  </si>
  <si>
    <t xml:space="preserve">ED07I3Y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</si>
  <si>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海恩德</t>
    </r>
  </si>
  <si>
    <r>
      <rPr>
        <sz val="11"/>
        <rFont val="宋体"/>
        <family val="0"/>
      </rPr>
      <t xml:space="preserve">E-VAC-12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</si>
  <si>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E-VAC-12 630-25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</si>
  <si>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E-VAC-12 630-31.5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</si>
  <si>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FE160N AA 100A/3P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</si>
  <si>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FE160N AA 125A/3P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</si>
  <si>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FE250N AA 250A/3P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</si>
  <si>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FG400N AA 315A/3P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</si>
  <si>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FG400N AA 400A/3P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</si>
  <si>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FG630N AA 450A/3P</t>
    </r>
    <r>
      <rPr>
        <sz val="11"/>
        <rFont val="宋体"/>
        <family val="0"/>
        <charset val="134"/>
      </rPr>
      <t xml:space="preserve">插拔式</t>
    </r>
  </si>
  <si>
    <t xml:space="preserve">FN11-12/630</t>
  </si>
  <si>
    <t xml:space="preserve">压气式负荷开关</t>
  </si>
  <si>
    <r>
      <rPr>
        <sz val="12"/>
        <rFont val="黑体"/>
        <family val="3"/>
        <charset val="134"/>
      </rPr>
      <t xml:space="preserve">福建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东方</t>
    </r>
  </si>
  <si>
    <t xml:space="preserve">FN11-12DR/630</t>
  </si>
  <si>
    <r>
      <rPr>
        <sz val="11"/>
        <rFont val="宋体"/>
        <family val="0"/>
      </rPr>
      <t xml:space="preserve">FST-LMMZS(W)/450-</t>
    </r>
    <r>
      <rPr>
        <sz val="12"/>
        <rFont val="黑体"/>
        <family val="3"/>
      </rPr>
      <t xml:space="preserve">20-7%</t>
    </r>
  </si>
  <si>
    <r>
      <rPr>
        <sz val="12"/>
        <rFont val="黑体"/>
        <family val="3"/>
        <charset val="134"/>
      </rPr>
      <t xml:space="preserve">南通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富士特</t>
    </r>
  </si>
  <si>
    <t xml:space="preserve">FST-LMMZS(W)/450-30-7%</t>
  </si>
  <si>
    <t xml:space="preserve">FST-MKGT</t>
  </si>
  <si>
    <t xml:space="preserve">FST-MMXH</t>
  </si>
  <si>
    <t xml:space="preserve">状态指示器</t>
  </si>
  <si>
    <t xml:space="preserve">HY1.5W-0.28/1.3</t>
  </si>
  <si>
    <t xml:space="preserve">避雷器</t>
  </si>
  <si>
    <r>
      <rPr>
        <sz val="12"/>
        <rFont val="黑体"/>
        <family val="3"/>
        <charset val="134"/>
      </rPr>
      <t xml:space="preserve">苏州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中联</t>
    </r>
  </si>
  <si>
    <t xml:space="preserve">FZN40-12/125</t>
  </si>
  <si>
    <t xml:space="preserve">真空负荷开关</t>
  </si>
  <si>
    <t xml:space="preserve">FZRN25-12RD/125</t>
  </si>
  <si>
    <t xml:space="preserve">FZRN40-12D/630-31.5</t>
  </si>
  <si>
    <t xml:space="preserve">负荷开关</t>
  </si>
  <si>
    <t xml:space="preserve">G64D32</t>
  </si>
  <si>
    <t xml:space="preserve">GEC2010</t>
  </si>
  <si>
    <t xml:space="preserve">单相电流数显表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</si>
  <si>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佳和</t>
    </r>
  </si>
  <si>
    <r>
      <rPr>
        <sz val="11"/>
        <rFont val="宋体"/>
        <family val="0"/>
      </rPr>
      <t xml:space="preserve">GEC2010</t>
    </r>
    <r>
      <rPr>
        <sz val="11"/>
        <rFont val="宋体"/>
        <family val="0"/>
        <charset val="134"/>
      </rPr>
      <t xml:space="preserve">带变送</t>
    </r>
  </si>
  <si>
    <t xml:space="preserve">数显表</t>
  </si>
  <si>
    <t xml:space="preserve">GEC2012</t>
  </si>
  <si>
    <t xml:space="preserve">三相电流数显表</t>
  </si>
  <si>
    <t xml:space="preserve">GEC2013</t>
  </si>
  <si>
    <t xml:space="preserve">多功能数显表</t>
  </si>
  <si>
    <t xml:space="preserve">GEC2030</t>
  </si>
  <si>
    <t xml:space="preserve">GEC2040</t>
  </si>
  <si>
    <t xml:space="preserve">GEC2110</t>
  </si>
  <si>
    <t xml:space="preserve">GE-PF-12</t>
  </si>
  <si>
    <t xml:space="preserve">GN19-12C/630-210</t>
  </si>
  <si>
    <t xml:space="preserve">下隔离开关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</si>
  <si>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纪元</t>
    </r>
  </si>
  <si>
    <t xml:space="preserve">GN30-12/630-210</t>
  </si>
  <si>
    <t xml:space="preserve">隔离开关</t>
  </si>
  <si>
    <t xml:space="preserve">GN30-12DZ2/630-210</t>
  </si>
  <si>
    <r>
      <rPr>
        <sz val="11"/>
        <rFont val="宋体"/>
        <family val="0"/>
      </rPr>
      <t xml:space="preserve">GSM1-100L/3320(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</si>
  <si>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GSM1-100M/3300(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</si>
  <si>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GSM1-225L/3320(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</si>
  <si>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GSM1-225M/3300(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</si>
  <si>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GSM1-225M/3340(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</si>
  <si>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GSM1-400L/3320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</si>
  <si>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GSM1-400M/3300(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</si>
  <si>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GSM1-400M/3340(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</si>
  <si>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GSM1-630L/3320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</si>
  <si>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GSM1-630M/3300(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</si>
  <si>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GSW1-2000/R1000A/3P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</si>
  <si>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GSW1-2000/R1250A/3P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</si>
  <si>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GSW1-2000/R1250A/3P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</si>
  <si>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GSW1-2000/R1250A/4P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</si>
  <si>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GSW1-2000/R1250A/4P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</si>
  <si>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GSW1-2000/R1600A/4P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</si>
  <si>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GSW1-2000/R2000A/3P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</si>
  <si>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GSW1-2000/R800A/3P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</si>
  <si>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GSW1-2000/R800A/4P</t>
    </r>
    <r>
      <rPr>
        <sz val="11"/>
        <rFont val="宋体"/>
        <family val="0"/>
        <charset val="134"/>
      </rPr>
      <t xml:space="preserve">抽屉电动失压</t>
    </r>
  </si>
  <si>
    <t xml:space="preserve">GX-X2000</t>
  </si>
  <si>
    <t xml:space="preserve">谐波表</t>
  </si>
  <si>
    <t xml:space="preserve">杭州共享</t>
  </si>
  <si>
    <r>
      <rPr>
        <sz val="11"/>
        <rFont val="宋体"/>
        <family val="0"/>
      </rPr>
      <t xml:space="preserve">HA1-2000/R2000A/4P</t>
    </r>
    <r>
      <rPr>
        <sz val="11"/>
        <rFont val="宋体"/>
        <family val="0"/>
        <charset val="134"/>
      </rPr>
      <t xml:space="preserve">抽屉电动失压</t>
    </r>
  </si>
  <si>
    <t xml:space="preserve">HD13-1000/31</t>
  </si>
  <si>
    <t xml:space="preserve">刀开关</t>
  </si>
  <si>
    <r>
      <rPr>
        <sz val="12"/>
        <rFont val="黑体"/>
        <family val="3"/>
        <charset val="134"/>
      </rPr>
      <t xml:space="preserve">镇江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京润</t>
    </r>
  </si>
  <si>
    <t xml:space="preserve">HD13-1000/31BX</t>
  </si>
  <si>
    <t xml:space="preserve">HD13-1000/41BX</t>
  </si>
  <si>
    <t xml:space="preserve">HD13-1500/31BX</t>
  </si>
  <si>
    <t xml:space="preserve">HD13-200/31</t>
  </si>
  <si>
    <t xml:space="preserve">HD13-2000/31BX</t>
  </si>
  <si>
    <t xml:space="preserve">HD13-2000/4</t>
  </si>
  <si>
    <t xml:space="preserve">HD13-400/31</t>
  </si>
  <si>
    <t xml:space="preserve">HD13-400/31BX</t>
  </si>
  <si>
    <t xml:space="preserve">HD13-400/41BX</t>
  </si>
  <si>
    <t xml:space="preserve">HD13-600/31BX</t>
  </si>
  <si>
    <t xml:space="preserve">HD13-630/31</t>
  </si>
  <si>
    <t xml:space="preserve">HD13-630/31BX</t>
  </si>
  <si>
    <t xml:space="preserve">HD13-630/41BX</t>
  </si>
  <si>
    <t xml:space="preserve">HD13B-600/31</t>
  </si>
  <si>
    <t xml:space="preserve">HD17-1000/3318</t>
  </si>
  <si>
    <t xml:space="preserve">HD17S-1000/3318</t>
  </si>
  <si>
    <t xml:space="preserve">HD17S-1600/31</t>
  </si>
  <si>
    <t xml:space="preserve">HD17S-1600/3318</t>
  </si>
  <si>
    <t xml:space="preserve">HD17S-1600/4318</t>
  </si>
  <si>
    <t xml:space="preserve">HD17S-3000/41</t>
  </si>
  <si>
    <t xml:space="preserve">HD17S-400/3318</t>
  </si>
  <si>
    <t xml:space="preserve">HD17S-630/3318</t>
  </si>
  <si>
    <t xml:space="preserve">HF200</t>
  </si>
  <si>
    <r>
      <rPr>
        <sz val="12"/>
        <rFont val="黑体"/>
        <family val="3"/>
        <charset val="134"/>
      </rPr>
      <t xml:space="preserve">安徽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火峰</t>
    </r>
  </si>
  <si>
    <t xml:space="preserve">HF25V</t>
  </si>
  <si>
    <t xml:space="preserve">HF300-QB</t>
  </si>
  <si>
    <t xml:space="preserve">HF300-QX</t>
  </si>
  <si>
    <t xml:space="preserve">HF400P</t>
  </si>
  <si>
    <t xml:space="preserve">HF400Q</t>
  </si>
  <si>
    <t xml:space="preserve">HF-600</t>
  </si>
  <si>
    <t xml:space="preserve">HH54P-AC220V</t>
  </si>
  <si>
    <r>
      <rPr>
        <sz val="11"/>
        <rFont val="宋体"/>
        <family val="0"/>
      </rPr>
      <t xml:space="preserve">HM3H-100/3300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</si>
  <si>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HM3H-160/3300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</si>
  <si>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HM3H-400/3300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</si>
  <si>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HM3H-630/3300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</si>
  <si>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HND 630D/3320 </t>
    </r>
    <r>
      <rPr>
        <sz val="11"/>
        <rFont val="宋体"/>
        <family val="0"/>
        <charset val="134"/>
      </rPr>
      <t xml:space="preserve">插入式</t>
    </r>
  </si>
  <si>
    <t xml:space="preserve">海格电气</t>
  </si>
  <si>
    <t xml:space="preserve">HND07E3Y</t>
  </si>
  <si>
    <t xml:space="preserve">HND07E3Y/KO</t>
  </si>
  <si>
    <t xml:space="preserve">HND09E3Y</t>
  </si>
  <si>
    <t xml:space="preserve">HND09E3Y/KO</t>
  </si>
  <si>
    <r>
      <rPr>
        <sz val="11"/>
        <rFont val="宋体"/>
        <family val="0"/>
      </rPr>
      <t xml:space="preserve">HNF 200/3320 </t>
    </r>
    <r>
      <rPr>
        <sz val="11"/>
        <rFont val="宋体"/>
        <family val="0"/>
        <charset val="134"/>
      </rPr>
      <t xml:space="preserve">插入式</t>
    </r>
  </si>
  <si>
    <t xml:space="preserve">HR3-600/32</t>
  </si>
  <si>
    <t xml:space="preserve">刀熔开关</t>
  </si>
  <si>
    <t xml:space="preserve">HR5-400/31</t>
  </si>
  <si>
    <t xml:space="preserve">HR5-630/3P</t>
  </si>
  <si>
    <t xml:space="preserve">HS13-1500/41</t>
  </si>
  <si>
    <t xml:space="preserve">HS13-2000/41</t>
  </si>
  <si>
    <t xml:space="preserve">HS13BX-1000/41</t>
  </si>
  <si>
    <t xml:space="preserve">HS17S-2500/4308</t>
  </si>
  <si>
    <t xml:space="preserve">HS17S-3000/41</t>
  </si>
  <si>
    <t xml:space="preserve">HS17S-4000/41</t>
  </si>
  <si>
    <r>
      <rPr>
        <sz val="11"/>
        <rFont val="宋体"/>
        <family val="0"/>
      </rPr>
      <t xml:space="preserve">HSM1-125H/3P </t>
    </r>
    <r>
      <rPr>
        <sz val="11"/>
        <rFont val="宋体"/>
        <family val="0"/>
        <charset val="134"/>
      </rPr>
      <t xml:space="preserve">固定式</t>
    </r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</si>
  <si>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之江</t>
    </r>
  </si>
  <si>
    <t xml:space="preserve">HSM1-250L/3340 250A</t>
  </si>
  <si>
    <r>
      <rPr>
        <sz val="11"/>
        <rFont val="宋体"/>
        <family val="0"/>
      </rPr>
      <t xml:space="preserve">HSM1-250M/3P </t>
    </r>
    <r>
      <rPr>
        <sz val="11"/>
        <rFont val="宋体"/>
        <family val="0"/>
        <charset val="134"/>
      </rPr>
      <t xml:space="preserve">固定式</t>
    </r>
  </si>
  <si>
    <t xml:space="preserve">HSM1-400L/3340 400A</t>
  </si>
  <si>
    <r>
      <rPr>
        <sz val="11"/>
        <rFont val="宋体"/>
        <family val="0"/>
      </rPr>
      <t xml:space="preserve">HSM1-400M/3P </t>
    </r>
    <r>
      <rPr>
        <sz val="11"/>
        <rFont val="宋体"/>
        <family val="0"/>
        <charset val="134"/>
      </rPr>
      <t xml:space="preserve">固定式</t>
    </r>
  </si>
  <si>
    <t xml:space="preserve">HSM1-630H/3340 500A</t>
  </si>
  <si>
    <t xml:space="preserve">HSM1-630H/3340 630A</t>
  </si>
  <si>
    <r>
      <rPr>
        <sz val="11"/>
        <rFont val="宋体"/>
        <family val="0"/>
      </rPr>
      <t xml:space="preserve">HSW1-1000/R800A/3P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</si>
  <si>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HSW1-1000/R800A/4P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</si>
  <si>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HSW1-2000/R1000A/4P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</si>
  <si>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HSW1-2000/R1600A/3P</t>
    </r>
    <r>
      <rPr>
        <sz val="11"/>
        <rFont val="宋体"/>
        <family val="0"/>
        <charset val="134"/>
      </rPr>
      <t xml:space="preserve">固定电动</t>
    </r>
  </si>
  <si>
    <r>
      <rPr>
        <sz val="11"/>
        <rFont val="宋体"/>
        <family val="0"/>
      </rPr>
      <t xml:space="preserve">HSW1-2000/R1600A/3P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</si>
  <si>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HSW1-2000/R1600A/4P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</si>
  <si>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HSW1-4000/R3200A/4P</t>
    </r>
    <r>
      <rPr>
        <sz val="11"/>
        <rFont val="宋体"/>
        <family val="0"/>
        <charset val="134"/>
      </rPr>
      <t xml:space="preserve">抽屉电动失压</t>
    </r>
  </si>
  <si>
    <t xml:space="preserve">HTCY340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</si>
  <si>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辰宇</t>
    </r>
  </si>
  <si>
    <r>
      <rPr>
        <sz val="11"/>
        <rFont val="宋体"/>
        <family val="0"/>
      </rPr>
      <t xml:space="preserve">HV1-12 630-25</t>
    </r>
    <r>
      <rPr>
        <sz val="11"/>
        <rFont val="宋体"/>
        <family val="0"/>
        <charset val="134"/>
      </rPr>
      <t xml:space="preserve">手车式</t>
    </r>
  </si>
  <si>
    <r>
      <rPr>
        <sz val="12"/>
        <rFont val="黑体"/>
        <family val="3"/>
        <charset val="134"/>
      </rPr>
      <t xml:space="preserve">中国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环宇</t>
    </r>
  </si>
  <si>
    <r>
      <rPr>
        <sz val="11"/>
        <rFont val="宋体"/>
        <family val="0"/>
      </rPr>
      <t xml:space="preserve">HV1-12 630-31.5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</si>
  <si>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HWN432PD-LSIG LCD/R3200A/4P</t>
    </r>
    <r>
      <rPr>
        <sz val="11"/>
        <rFont val="宋体"/>
        <family val="0"/>
        <charset val="134"/>
      </rPr>
      <t xml:space="preserve">抽屉电动失压</t>
    </r>
  </si>
  <si>
    <t xml:space="preserve">HY5WS-17/50</t>
  </si>
  <si>
    <r>
      <rPr>
        <sz val="12"/>
        <rFont val="黑体"/>
        <family val="3"/>
        <charset val="134"/>
      </rPr>
      <t xml:space="preserve">绍兴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裕能</t>
    </r>
  </si>
  <si>
    <t xml:space="preserve">HY5WZ-17/45</t>
  </si>
  <si>
    <t xml:space="preserve">HZCE-63/3</t>
  </si>
  <si>
    <t xml:space="preserve">iC65H C50/4P</t>
  </si>
  <si>
    <t xml:space="preserve">iC65N C10/2P</t>
  </si>
  <si>
    <t xml:space="preserve">iC65N C20/1P</t>
  </si>
  <si>
    <t xml:space="preserve">iC65N C25/3P</t>
  </si>
  <si>
    <t xml:space="preserve">iC65N C32/3P</t>
  </si>
  <si>
    <t xml:space="preserve">iC65N C40/3P</t>
  </si>
  <si>
    <t xml:space="preserve">iC65N C50/3P</t>
  </si>
  <si>
    <t xml:space="preserve">iC65N C63/3P</t>
  </si>
  <si>
    <t xml:space="preserve">iC65N C63/4P</t>
  </si>
  <si>
    <t xml:space="preserve">iC65N-C6A/3P</t>
  </si>
  <si>
    <t xml:space="preserve">iC65N-C6A/2P</t>
  </si>
  <si>
    <t xml:space="preserve">iC65N-C6A/1P</t>
  </si>
  <si>
    <t xml:space="preserve">iPR 120r 4P</t>
  </si>
  <si>
    <t xml:space="preserve">iPR 80r 4P</t>
  </si>
  <si>
    <t xml:space="preserve">JCTH-11/4</t>
  </si>
  <si>
    <t xml:space="preserve">二次过电压保护器</t>
  </si>
  <si>
    <r>
      <rPr>
        <sz val="12"/>
        <rFont val="黑体"/>
        <family val="3"/>
        <charset val="134"/>
      </rPr>
      <t xml:space="preserve">河南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许继</t>
    </r>
  </si>
  <si>
    <r>
      <rPr>
        <sz val="11"/>
        <rFont val="宋体"/>
        <family val="0"/>
      </rPr>
      <t xml:space="preserve">JDZ-10 10/0.1 0.2</t>
    </r>
    <r>
      <rPr>
        <sz val="11"/>
        <rFont val="宋体"/>
        <family val="0"/>
        <charset val="134"/>
      </rPr>
      <t xml:space="preserve">级</t>
    </r>
  </si>
  <si>
    <t xml:space="preserve">电压互感器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</si>
  <si>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三爱</t>
    </r>
  </si>
  <si>
    <r>
      <rPr>
        <sz val="11"/>
        <rFont val="宋体"/>
        <family val="0"/>
      </rPr>
      <t xml:space="preserve">JDZ-10 10/0.1 0.5</t>
    </r>
    <r>
      <rPr>
        <sz val="11"/>
        <rFont val="宋体"/>
        <family val="0"/>
        <charset val="134"/>
      </rPr>
      <t xml:space="preserve">级</t>
    </r>
  </si>
  <si>
    <t xml:space="preserve">JDZC 10/0.1</t>
  </si>
  <si>
    <r>
      <rPr>
        <sz val="11"/>
        <rFont val="宋体"/>
        <family val="0"/>
      </rPr>
      <t xml:space="preserve">JDZC 10/0.1 0.2</t>
    </r>
    <r>
      <rPr>
        <sz val="11"/>
        <rFont val="宋体"/>
        <family val="0"/>
        <charset val="134"/>
      </rPr>
      <t xml:space="preserve">级 </t>
    </r>
  </si>
  <si>
    <t xml:space="preserve">JDZC 10/0.22 3kVA</t>
  </si>
  <si>
    <t xml:space="preserve">JDZX11-10</t>
  </si>
  <si>
    <t xml:space="preserve">JH850</t>
  </si>
  <si>
    <t xml:space="preserve">多功能表</t>
  </si>
  <si>
    <t xml:space="preserve">JKA21III</t>
  </si>
  <si>
    <t xml:space="preserve">功率因素控制器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</si>
  <si>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无线电六厂</t>
    </r>
  </si>
  <si>
    <t xml:space="preserve">JKG</t>
  </si>
  <si>
    <t xml:space="preserve">江苏无线电六厂</t>
  </si>
  <si>
    <r>
      <rPr>
        <sz val="11"/>
        <rFont val="宋体"/>
        <family val="0"/>
      </rPr>
      <t xml:space="preserve">JKW-III </t>
    </r>
    <r>
      <rPr>
        <sz val="11"/>
        <rFont val="宋体"/>
        <family val="0"/>
        <charset val="134"/>
      </rPr>
      <t xml:space="preserve">手自动</t>
    </r>
  </si>
  <si>
    <r>
      <rPr>
        <sz val="12"/>
        <rFont val="黑体"/>
        <family val="3"/>
        <charset val="134"/>
      </rPr>
      <t xml:space="preserve">苏州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无线电六厂</t>
    </r>
  </si>
  <si>
    <t xml:space="preserve">JN15-12/31.5-210</t>
  </si>
  <si>
    <t xml:space="preserve">接地开关</t>
  </si>
  <si>
    <r>
      <rPr>
        <sz val="12"/>
        <rFont val="黑体"/>
        <family val="3"/>
        <charset val="134"/>
      </rPr>
      <t xml:space="preserve">江山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森源</t>
    </r>
  </si>
  <si>
    <t xml:space="preserve">JR36-63</t>
  </si>
  <si>
    <t xml:space="preserve">热继电器</t>
  </si>
  <si>
    <t xml:space="preserve">JSJ-2 AC220V 0.02-9.99S</t>
  </si>
  <si>
    <t xml:space="preserve">时间继电器</t>
  </si>
  <si>
    <t xml:space="preserve">JTKL-10</t>
  </si>
  <si>
    <r>
      <rPr>
        <sz val="12"/>
        <rFont val="黑体"/>
        <family val="3"/>
        <charset val="134"/>
      </rPr>
      <t xml:space="preserve">苏源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九通</t>
    </r>
  </si>
  <si>
    <t xml:space="preserve">JTKL-8</t>
  </si>
  <si>
    <t xml:space="preserve">JTSC/20-480-3P+JTSR/14-400-7</t>
  </si>
  <si>
    <t xml:space="preserve">苏源九通</t>
  </si>
  <si>
    <t xml:space="preserve">JTSC/25-480-3P+JTSR/14-400-6</t>
  </si>
  <si>
    <t xml:space="preserve">JY2-2</t>
  </si>
  <si>
    <t xml:space="preserve">连接片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</si>
  <si>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万通</t>
    </r>
  </si>
  <si>
    <t xml:space="preserve">KFB1-63C 63A/3P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</si>
  <si>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凯帆</t>
    </r>
  </si>
  <si>
    <t xml:space="preserve">KFB1-63C 63A/4P+RT16-63*4</t>
  </si>
  <si>
    <r>
      <rPr>
        <sz val="11"/>
        <rFont val="宋体"/>
        <family val="0"/>
      </rPr>
      <t xml:space="preserve">L</t>
    </r>
    <r>
      <rPr>
        <sz val="12"/>
        <rFont val="宋体"/>
        <family val="0"/>
      </rPr>
      <t xml:space="preserve">AY39-XD</t>
    </r>
  </si>
  <si>
    <t xml:space="preserve">指示灯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</si>
  <si>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西门子</t>
    </r>
  </si>
  <si>
    <t xml:space="preserve">LC1-D115</t>
  </si>
  <si>
    <t xml:space="preserve">LC-9D3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</si>
  <si>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林洋</t>
    </r>
  </si>
  <si>
    <r>
      <rPr>
        <sz val="11"/>
        <rFont val="宋体"/>
        <family val="0"/>
      </rPr>
      <t xml:space="preserve">L</t>
    </r>
    <r>
      <rPr>
        <sz val="12"/>
        <rFont val="黑体"/>
        <family val="3"/>
      </rPr>
      <t xml:space="preserve">E-9D3</t>
    </r>
  </si>
  <si>
    <t xml:space="preserve">LEI9L-E3</t>
  </si>
  <si>
    <t xml:space="preserve">LQG-0.66 200/5 0.2S</t>
  </si>
  <si>
    <t xml:space="preserve">电流互感器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</si>
  <si>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天灵</t>
    </r>
  </si>
  <si>
    <t xml:space="preserve">LQG-0.66 400/5 0.2S</t>
  </si>
  <si>
    <t xml:space="preserve">LQG-0.66 800/5 0.2S</t>
  </si>
  <si>
    <t xml:space="preserve">LW12-16</t>
  </si>
  <si>
    <t xml:space="preserve">转换开关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</si>
  <si>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四厂</t>
    </r>
  </si>
  <si>
    <t xml:space="preserve">LW12-16/4.0724.3</t>
  </si>
  <si>
    <t xml:space="preserve">LW5-15D.0410.2</t>
  </si>
  <si>
    <t xml:space="preserve">LW5-15YH3/3</t>
  </si>
  <si>
    <t xml:space="preserve">LW5-16T122/10</t>
  </si>
  <si>
    <t xml:space="preserve">LW5-YH3/3</t>
  </si>
  <si>
    <t xml:space="preserve">LX19-001</t>
  </si>
  <si>
    <t xml:space="preserve">行程开关</t>
  </si>
  <si>
    <t xml:space="preserve">LXK-Ф120</t>
  </si>
  <si>
    <t xml:space="preserve">零序互感器</t>
  </si>
  <si>
    <t xml:space="preserve">LXUP-N60</t>
  </si>
  <si>
    <t xml:space="preserve">直流电源</t>
  </si>
  <si>
    <r>
      <rPr>
        <sz val="12"/>
        <rFont val="黑体"/>
        <family val="3"/>
        <charset val="134"/>
      </rPr>
      <t xml:space="preserve">厦门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兰溪</t>
    </r>
  </si>
  <si>
    <t xml:space="preserve">LYD1-B100/4P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</si>
  <si>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雷源</t>
    </r>
  </si>
  <si>
    <t xml:space="preserve">LYD1-B80/4P</t>
  </si>
  <si>
    <t xml:space="preserve">LYD1-C40/4P</t>
  </si>
  <si>
    <r>
      <rPr>
        <sz val="11"/>
        <rFont val="宋体"/>
        <family val="0"/>
      </rPr>
      <t xml:space="preserve">LZM1-0.5 </t>
    </r>
    <r>
      <rPr>
        <sz val="12"/>
        <rFont val="宋体"/>
        <family val="0"/>
      </rPr>
      <t xml:space="preserve">100/5</t>
    </r>
  </si>
  <si>
    <t xml:space="preserve">LZM1-0.5 1000/5</t>
  </si>
  <si>
    <r>
      <rPr>
        <sz val="11"/>
        <rFont val="宋体"/>
        <family val="0"/>
      </rPr>
      <t xml:space="preserve">LZM1-0.5 </t>
    </r>
    <r>
      <rPr>
        <sz val="12"/>
        <rFont val="宋体"/>
        <family val="0"/>
      </rPr>
      <t xml:space="preserve">1200/5</t>
    </r>
  </si>
  <si>
    <t xml:space="preserve">LZM1-0.5 1500/5</t>
  </si>
  <si>
    <r>
      <rPr>
        <sz val="11"/>
        <rFont val="宋体"/>
        <family val="0"/>
      </rPr>
      <t xml:space="preserve">LZM1-0.5 2</t>
    </r>
    <r>
      <rPr>
        <sz val="12"/>
        <rFont val="宋体"/>
        <family val="0"/>
      </rPr>
      <t xml:space="preserve">00/5</t>
    </r>
  </si>
  <si>
    <t xml:space="preserve">LZM1-0.5 2000/5</t>
  </si>
  <si>
    <t xml:space="preserve">LZM1-0.5 2500/5</t>
  </si>
  <si>
    <t xml:space="preserve">LZM1-0.5 300/5</t>
  </si>
  <si>
    <t xml:space="preserve">LZM1-0.5 3000/5</t>
  </si>
  <si>
    <r>
      <rPr>
        <sz val="11"/>
        <rFont val="宋体"/>
        <family val="0"/>
      </rPr>
      <t xml:space="preserve">LZM1-0.5 400</t>
    </r>
    <r>
      <rPr>
        <sz val="12"/>
        <rFont val="宋体"/>
        <family val="0"/>
      </rPr>
      <t xml:space="preserve">/5</t>
    </r>
  </si>
  <si>
    <r>
      <rPr>
        <sz val="11"/>
        <rFont val="宋体"/>
        <family val="0"/>
      </rPr>
      <t xml:space="preserve">LZM1-0.5 600</t>
    </r>
    <r>
      <rPr>
        <sz val="12"/>
        <rFont val="宋体"/>
        <family val="0"/>
      </rPr>
      <t xml:space="preserve">/5</t>
    </r>
  </si>
  <si>
    <t xml:space="preserve">LZM1-0.5 800/5</t>
  </si>
  <si>
    <r>
      <rPr>
        <sz val="11"/>
        <rFont val="宋体"/>
        <family val="0"/>
      </rPr>
      <t xml:space="preserve">LZZBJ18-10 /5A  0.2S</t>
    </r>
    <r>
      <rPr>
        <sz val="11"/>
        <rFont val="宋体"/>
        <family val="0"/>
        <charset val="134"/>
      </rPr>
      <t xml:space="preserve">级</t>
    </r>
  </si>
  <si>
    <t xml:space="preserve">LZZBJ18-10 /5A  0.5/B</t>
  </si>
  <si>
    <r>
      <rPr>
        <sz val="11"/>
        <rFont val="宋体"/>
        <family val="0"/>
      </rPr>
      <t xml:space="preserve">LZZBJ18-10 100/5A  0.2S</t>
    </r>
    <r>
      <rPr>
        <sz val="11"/>
        <rFont val="宋体"/>
        <family val="0"/>
        <charset val="134"/>
      </rPr>
      <t xml:space="preserve">级</t>
    </r>
  </si>
  <si>
    <t xml:space="preserve">LZZBJ18-10 150/5A  0.5/B</t>
  </si>
  <si>
    <t xml:space="preserve">LZZBJ18-10 75/5A  0.5/B</t>
  </si>
  <si>
    <t xml:space="preserve">MC116P</t>
  </si>
  <si>
    <t xml:space="preserve">海格</t>
  </si>
  <si>
    <r>
      <rPr>
        <sz val="11"/>
        <rFont val="宋体"/>
        <family val="0"/>
      </rPr>
      <t xml:space="preserve">MCE409S3400+</t>
    </r>
    <r>
      <rPr>
        <sz val="11"/>
        <rFont val="宋体"/>
        <family val="0"/>
        <charset val="134"/>
      </rPr>
      <t xml:space="preserve">分励辅助</t>
    </r>
  </si>
  <si>
    <r>
      <rPr>
        <sz val="11"/>
        <rFont val="宋体"/>
        <family val="0"/>
      </rPr>
      <t xml:space="preserve">ME09A31F12/R1250A/Mpro20</t>
    </r>
    <r>
      <rPr>
        <sz val="11"/>
        <rFont val="宋体"/>
        <family val="0"/>
        <charset val="134"/>
      </rPr>
      <t xml:space="preserve">固定电动</t>
    </r>
  </si>
  <si>
    <t xml:space="preserve">MPA31W12 MPRO27 1200A</t>
  </si>
  <si>
    <t xml:space="preserve">MPA31W20 MPRO27 1800A</t>
  </si>
  <si>
    <r>
      <rPr>
        <sz val="11"/>
        <rFont val="宋体"/>
        <family val="0"/>
      </rPr>
      <t xml:space="preserve">MPA32W40 MPRO27/P LISG 4000A </t>
    </r>
    <r>
      <rPr>
        <sz val="11"/>
        <rFont val="宋体"/>
        <family val="0"/>
        <charset val="134"/>
      </rPr>
      <t xml:space="preserve">失压</t>
    </r>
  </si>
  <si>
    <r>
      <rPr>
        <sz val="12"/>
        <rFont val="黑体"/>
        <family val="3"/>
      </rPr>
      <t xml:space="preserve">MPA32W40 MPRO27/P LISG 4000A </t>
    </r>
    <r>
      <rPr>
        <sz val="12"/>
        <rFont val="黑体"/>
        <family val="3"/>
        <charset val="134"/>
      </rPr>
      <t xml:space="preserve">失压</t>
    </r>
  </si>
  <si>
    <r>
      <rPr>
        <sz val="11"/>
        <rFont val="宋体"/>
        <family val="0"/>
      </rPr>
      <t xml:space="preserve">MPD-31W 16  Mpro-27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</si>
  <si>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MPD-31W 32  Mpro-50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</si>
  <si>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MPD-41W08 Mpro-27</t>
    </r>
    <r>
      <rPr>
        <sz val="11"/>
        <rFont val="宋体"/>
        <family val="0"/>
        <charset val="134"/>
      </rPr>
      <t xml:space="preserve">抽屉式 电动失压</t>
    </r>
  </si>
  <si>
    <r>
      <rPr>
        <sz val="11"/>
        <rFont val="宋体"/>
        <family val="0"/>
      </rPr>
      <t xml:space="preserve">MPD-41W12 Mpro-27</t>
    </r>
    <r>
      <rPr>
        <sz val="11"/>
        <rFont val="宋体"/>
        <family val="0"/>
        <charset val="134"/>
      </rPr>
      <t xml:space="preserve">抽屉式 电动失压</t>
    </r>
  </si>
  <si>
    <r>
      <rPr>
        <sz val="11"/>
        <rFont val="宋体"/>
        <family val="0"/>
      </rPr>
      <t xml:space="preserve">MT08H1 5.0A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</si>
  <si>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MT08H1b 5.0A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</si>
  <si>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MT10H1 5.0A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</si>
  <si>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MT10H1b 5.0A 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</si>
  <si>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MT12H1 5.0A 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</si>
  <si>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MT16H/3P R1250A MIC6.0A 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</si>
  <si>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MT16H/4P R1250A MIC6.0A 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</si>
  <si>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MT16H1b 5.0A 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</si>
  <si>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M</t>
    </r>
    <r>
      <rPr>
        <sz val="12"/>
        <rFont val="黑体"/>
        <family val="3"/>
      </rPr>
      <t xml:space="preserve">T20H1 5.0A 抽屉电动</t>
    </r>
  </si>
  <si>
    <r>
      <rPr>
        <sz val="11"/>
        <rFont val="宋体"/>
        <family val="0"/>
      </rPr>
      <t xml:space="preserve">MT25H1b 5.0A 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</si>
  <si>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MT32H/4P R2500A MIC6.0A 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</si>
  <si>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MVS10N/4P MIC5.0A 1000A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</si>
  <si>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MVS16N/4P MIC5.0A 1600A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</si>
  <si>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MVS20H/4P MIC5.0A 2000A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</si>
  <si>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MVS25H/4P MIC5.0A 2500A</t>
    </r>
    <r>
      <rPr>
        <sz val="11"/>
        <rFont val="宋体"/>
        <family val="0"/>
        <charset val="134"/>
      </rPr>
      <t xml:space="preserve">抽屉式电动失压</t>
    </r>
  </si>
  <si>
    <t xml:space="preserve">MY4NJ-AC220V</t>
  </si>
  <si>
    <t xml:space="preserve">欧姆龙</t>
  </si>
  <si>
    <t xml:space="preserve">N-6</t>
  </si>
  <si>
    <t xml:space="preserve">NAD-862CZ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</si>
  <si>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南德</t>
    </r>
  </si>
  <si>
    <t xml:space="preserve">NAD-868RS/450-10+10</t>
  </si>
  <si>
    <t xml:space="preserve">NAD-868RS/450-20+20</t>
  </si>
  <si>
    <t xml:space="preserve">ND600E3-96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</si>
  <si>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南电</t>
    </r>
  </si>
  <si>
    <t xml:space="preserve">NDM1-63 C16/1P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</si>
  <si>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良信</t>
    </r>
  </si>
  <si>
    <r>
      <rPr>
        <sz val="11"/>
        <rFont val="宋体"/>
        <family val="0"/>
      </rPr>
      <t xml:space="preserve">NDW1-2000/R1000A/3P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</si>
  <si>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NDW1-2000C/1600/4 3M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</si>
  <si>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NDW1-2000C/1250/4 3M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</si>
  <si>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NDW1-2000C/2000/4 3M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</si>
  <si>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t xml:space="preserve">NGP811A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</si>
  <si>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艺博</t>
    </r>
  </si>
  <si>
    <t xml:space="preserve">NGP821A</t>
  </si>
  <si>
    <t xml:space="preserve">NLM1-100L/3300</t>
  </si>
  <si>
    <t xml:space="preserve">NLM1-100L/3320</t>
  </si>
  <si>
    <t xml:space="preserve">NLM1-100M/3300</t>
  </si>
  <si>
    <t xml:space="preserve">NLM1-225L/3300</t>
  </si>
  <si>
    <t xml:space="preserve">NLM1-225L/3320</t>
  </si>
  <si>
    <t xml:space="preserve">NLM1-225M/3300</t>
  </si>
  <si>
    <t xml:space="preserve">NLM1-400L/3300</t>
  </si>
  <si>
    <t xml:space="preserve">NLM1-400L/3320</t>
  </si>
  <si>
    <t xml:space="preserve">NLM1-630L/3300</t>
  </si>
  <si>
    <t xml:space="preserve">NLM1-630L/3320</t>
  </si>
  <si>
    <r>
      <rPr>
        <sz val="11"/>
        <rFont val="宋体"/>
        <family val="0"/>
      </rPr>
      <t xml:space="preserve">NLM2-100M/3340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</si>
  <si>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NLM2-250M/3340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</si>
  <si>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NLM2-630M/3340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</si>
  <si>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NLW1-2000/R1000A/3P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</si>
  <si>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NLW1-2000/R1600A/3P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</si>
  <si>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NLW1-2000/R1600A/3P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</si>
  <si>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NLW1-2000/R1600A/4P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</si>
  <si>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NLW1-2000/R1600A/4P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</si>
  <si>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NLW1-2000/R400A/4P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</si>
  <si>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NLW1-2000/R400A/4P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</si>
  <si>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NLW1-2000/R800A/3P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</si>
  <si>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NLW1-2000/R800A/3P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</si>
  <si>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NLW1-2000/R800A/4P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</si>
  <si>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NLW1-2000/R800A/4P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</si>
  <si>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RXC0.48-15-3+NRXL-1.05/0.48-7</t>
    </r>
  </si>
  <si>
    <t xml:space="preserve">NRXC0.48-60-3+NRXL-4.2/0.48-7</t>
  </si>
  <si>
    <t xml:space="preserve">NRXC0.48-70-3+NRXL-4.9/0.48-7</t>
  </si>
  <si>
    <t xml:space="preserve">NRXC0.48-80-3+NRXL-5.6/0.48-7</t>
  </si>
  <si>
    <t xml:space="preserve">NRXC0.525-15-3+NRXL-2.1/0.525-14</t>
  </si>
  <si>
    <r>
      <rPr>
        <sz val="11"/>
        <rFont val="宋体"/>
        <family val="0"/>
      </rPr>
      <t xml:space="preserve">NRXC0.525-20</t>
    </r>
    <r>
      <rPr>
        <sz val="12"/>
        <rFont val="黑体"/>
        <family val="3"/>
      </rPr>
      <t xml:space="preserve">-3+NRXL-2.8/0.525-14</t>
    </r>
  </si>
  <si>
    <r>
      <rPr>
        <sz val="11"/>
        <rFont val="宋体"/>
        <family val="0"/>
      </rPr>
      <t xml:space="preserve">NRXC0.525-25</t>
    </r>
    <r>
      <rPr>
        <sz val="12"/>
        <rFont val="黑体"/>
        <family val="3"/>
      </rPr>
      <t xml:space="preserve">-3+NRXL-3.5/0.525-14</t>
    </r>
  </si>
  <si>
    <r>
      <rPr>
        <sz val="11"/>
        <rFont val="宋体"/>
        <family val="0"/>
      </rPr>
      <t xml:space="preserve">NRXC0.525-</t>
    </r>
    <r>
      <rPr>
        <sz val="12"/>
        <rFont val="黑体"/>
        <family val="3"/>
      </rPr>
      <t xml:space="preserve">40-3+NRXL-5.6/0.525-14</t>
    </r>
  </si>
  <si>
    <t xml:space="preserve">NRXC0.525-50-3+NRXL-7.0/0.525-14</t>
  </si>
  <si>
    <t xml:space="preserve">NRXC0.525-60-3+NRXL-8.4/0.525-14</t>
  </si>
  <si>
    <t xml:space="preserve">NRXC0.525-70-3+NRXL-9.8/0.525-14</t>
  </si>
  <si>
    <t xml:space="preserve">NRXC0.525-80-3+NRXL-11.2/0.525-14</t>
  </si>
  <si>
    <t xml:space="preserve">NRXC0.525-90-3+NRXL-12.6/0.525-14</t>
  </si>
  <si>
    <t xml:space="preserve">NRXK-12D</t>
  </si>
  <si>
    <r>
      <rPr>
        <sz val="11"/>
        <rFont val="宋体"/>
        <family val="0"/>
      </rPr>
      <t xml:space="preserve">NS800N/3P MIC2.0 800A</t>
    </r>
    <r>
      <rPr>
        <sz val="11"/>
        <rFont val="宋体"/>
        <family val="0"/>
        <charset val="134"/>
      </rPr>
      <t xml:space="preserve">抽屉式</t>
    </r>
  </si>
  <si>
    <t xml:space="preserve">NSR3722-LCD-485</t>
  </si>
  <si>
    <t xml:space="preserve">国电南瑞</t>
  </si>
  <si>
    <t xml:space="preserve">NSR3761-LCD-485</t>
  </si>
  <si>
    <t xml:space="preserve">NSX100F TMD 100 3P3D F</t>
  </si>
  <si>
    <r>
      <rPr>
        <sz val="11"/>
        <rFont val="宋体"/>
        <family val="0"/>
      </rPr>
      <t xml:space="preserve">NSX100F TMD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</si>
  <si>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NSX100F TMD 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</si>
  <si>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NSX100F TMD 4P </t>
    </r>
    <r>
      <rPr>
        <sz val="11"/>
        <rFont val="宋体"/>
        <family val="0"/>
        <charset val="134"/>
      </rPr>
      <t xml:space="preserve">固定式</t>
    </r>
  </si>
  <si>
    <t xml:space="preserve">NSX100H TMD 40 3P3D F</t>
  </si>
  <si>
    <t xml:space="preserve">NSX100H TMD 50 3P3D F</t>
  </si>
  <si>
    <t xml:space="preserve">NSX100H TMD 63 3P3D F</t>
  </si>
  <si>
    <t xml:space="preserve">NSX100H/40A</t>
  </si>
  <si>
    <t xml:space="preserve">NSX100H/63A</t>
  </si>
  <si>
    <t xml:space="preserve">NSX100N TMD 100 3P3D F</t>
  </si>
  <si>
    <r>
      <rPr>
        <sz val="11"/>
        <rFont val="宋体"/>
        <family val="0"/>
      </rPr>
      <t xml:space="preserve">NSX160F TMD 100A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</si>
  <si>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NSX160F TMD 100A 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</si>
  <si>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NSX160F TMD 125A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</si>
  <si>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NSX160F TMD 125A 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</si>
  <si>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NSX160F TMD 160A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</si>
  <si>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NSX160F TMD 160A 3P </t>
    </r>
    <r>
      <rPr>
        <sz val="11"/>
        <rFont val="宋体"/>
        <family val="0"/>
        <charset val="134"/>
      </rPr>
      <t xml:space="preserve">固定式</t>
    </r>
  </si>
  <si>
    <t xml:space="preserve">NSX160H TMD 100 3P3D P</t>
  </si>
  <si>
    <t xml:space="preserve">NSX160H TMD 160 3P3D P</t>
  </si>
  <si>
    <r>
      <rPr>
        <sz val="11"/>
        <rFont val="宋体"/>
        <family val="0"/>
      </rPr>
      <t xml:space="preserve">NSX250F TMD 250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</si>
  <si>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NSX250F TMD 250 3P </t>
    </r>
    <r>
      <rPr>
        <sz val="11"/>
        <rFont val="宋体"/>
        <family val="0"/>
        <charset val="134"/>
      </rPr>
      <t xml:space="preserve">固定式</t>
    </r>
  </si>
  <si>
    <t xml:space="preserve">NSX250F TMD 250 3P3D F</t>
  </si>
  <si>
    <t xml:space="preserve">NSX250H TMD 250 3P3D P</t>
  </si>
  <si>
    <r>
      <rPr>
        <sz val="11"/>
        <rFont val="宋体"/>
        <family val="0"/>
      </rPr>
      <t xml:space="preserve">NSX250N TMD 250 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</si>
  <si>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NSX400F MIC2.3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</si>
  <si>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NSX400F MIC2.3 3P </t>
    </r>
    <r>
      <rPr>
        <sz val="11"/>
        <rFont val="宋体"/>
        <family val="0"/>
        <charset val="134"/>
      </rPr>
      <t xml:space="preserve">固定式</t>
    </r>
  </si>
  <si>
    <t xml:space="preserve">NSX400F MIC2.3 400 3P F</t>
  </si>
  <si>
    <t xml:space="preserve">NSX400H MIC2.3 400 3P P</t>
  </si>
  <si>
    <r>
      <rPr>
        <sz val="11"/>
        <rFont val="宋体"/>
        <family val="0"/>
      </rPr>
      <t xml:space="preserve">NSX400N MIC2.3 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</si>
  <si>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NSX400N MIC2.3 400 3340</t>
    </r>
    <r>
      <rPr>
        <sz val="12"/>
        <rFont val="黑体"/>
        <family val="3"/>
      </rPr>
      <t xml:space="preserve"> P</t>
    </r>
  </si>
  <si>
    <r>
      <rPr>
        <sz val="11"/>
        <rFont val="宋体"/>
        <family val="0"/>
      </rPr>
      <t xml:space="preserve">NSX630F MIC2.3 3P </t>
    </r>
    <r>
      <rPr>
        <sz val="11"/>
        <rFont val="宋体"/>
        <family val="0"/>
        <charset val="134"/>
      </rPr>
      <t xml:space="preserve">固定式</t>
    </r>
  </si>
  <si>
    <t xml:space="preserve">NSX630F MIC2.3 630 3P F</t>
  </si>
  <si>
    <t xml:space="preserve">NSX630F MIC2.3 630 3P P</t>
  </si>
  <si>
    <r>
      <rPr>
        <sz val="11"/>
        <rFont val="宋体"/>
        <family val="0"/>
      </rPr>
      <t xml:space="preserve">NSX630H MIC2.3 630 3</t>
    </r>
    <r>
      <rPr>
        <sz val="12"/>
        <rFont val="黑体"/>
        <family val="3"/>
      </rPr>
      <t xml:space="preserve">340 P</t>
    </r>
  </si>
  <si>
    <t xml:space="preserve">NSX630H MIC2.3 630 3P P</t>
  </si>
  <si>
    <r>
      <rPr>
        <sz val="11"/>
        <rFont val="宋体"/>
        <family val="0"/>
      </rPr>
      <t xml:space="preserve">NSX630N MIC2.3 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</si>
  <si>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NSX630N MIC2.3 3P </t>
    </r>
    <r>
      <rPr>
        <sz val="11"/>
        <rFont val="宋体"/>
        <family val="0"/>
        <charset val="134"/>
      </rPr>
      <t xml:space="preserve">固定式</t>
    </r>
  </si>
  <si>
    <t xml:space="preserve">NT00-125</t>
  </si>
  <si>
    <t xml:space="preserve">熔断器</t>
  </si>
  <si>
    <t xml:space="preserve">NT00-200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</si>
  <si>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开关厂</t>
    </r>
  </si>
  <si>
    <t xml:space="preserve">NT00-40</t>
  </si>
  <si>
    <t xml:space="preserve">NTS-232</t>
  </si>
  <si>
    <t xml:space="preserve">三相电流表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</si>
  <si>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天溯</t>
    </r>
  </si>
  <si>
    <t xml:space="preserve">NTS-234</t>
  </si>
  <si>
    <t xml:space="preserve">NTS-242</t>
  </si>
  <si>
    <r>
      <rPr>
        <sz val="11"/>
        <rFont val="宋体"/>
        <family val="0"/>
      </rPr>
      <t xml:space="preserve">NZM1-100H/3300</t>
    </r>
    <r>
      <rPr>
        <sz val="11"/>
        <rFont val="宋体"/>
        <family val="0"/>
        <charset val="134"/>
      </rPr>
      <t xml:space="preserve">（无板前）</t>
    </r>
  </si>
  <si>
    <t xml:space="preserve">伊尔特</t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</si>
  <si>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ZM1-100H/3300插拔式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</si>
  <si>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ZM1-100S/3300（无板前）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</si>
  <si>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ZM1-100S/3300插拔式</t>
    </r>
  </si>
  <si>
    <r>
      <rPr>
        <sz val="11"/>
        <rFont val="宋体"/>
        <family val="0"/>
      </rPr>
      <t xml:space="preserve">NZM1-100S/3300</t>
    </r>
    <r>
      <rPr>
        <sz val="11"/>
        <rFont val="宋体"/>
        <family val="0"/>
        <charset val="134"/>
      </rPr>
      <t xml:space="preserve">插拔式</t>
    </r>
    <r>
      <rPr>
        <sz val="11"/>
        <rFont val="宋体"/>
        <family val="0"/>
      </rPr>
      <t xml:space="preserve">'</t>
    </r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</si>
  <si>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伊尔特</t>
    </r>
  </si>
  <si>
    <t xml:space="preserve">上图价</t>
  </si>
  <si>
    <t xml:space="preserve">NZM1-100S/4300'</t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</si>
  <si>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ZM1-160H/3300（无板前）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</si>
  <si>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ZM1-160H/3300插拔式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</si>
  <si>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ZM1-160S/3300（无板前）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</si>
  <si>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ZM1-160S/3300插拔式</t>
    </r>
  </si>
  <si>
    <r>
      <rPr>
        <sz val="11"/>
        <rFont val="宋体"/>
        <family val="0"/>
      </rPr>
      <t xml:space="preserve">NZM1-160S/3300</t>
    </r>
    <r>
      <rPr>
        <sz val="11"/>
        <rFont val="宋体"/>
        <family val="0"/>
        <charset val="134"/>
      </rPr>
      <t xml:space="preserve">插拔式</t>
    </r>
    <r>
      <rPr>
        <sz val="11"/>
        <rFont val="宋体"/>
        <family val="0"/>
      </rPr>
      <t xml:space="preserve">'</t>
    </r>
  </si>
  <si>
    <t xml:space="preserve">NZM1-250H/3300'</t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</si>
  <si>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ZM1-250H/3300（无板前）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</si>
  <si>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ZM1-250H/3300插拔式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</si>
  <si>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ZM1-250S/3300（无板前）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</si>
  <si>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ZM1-250S/3300插拔式</t>
    </r>
  </si>
  <si>
    <r>
      <rPr>
        <sz val="11"/>
        <rFont val="宋体"/>
        <family val="0"/>
      </rPr>
      <t xml:space="preserve">NZM1-250S/3300</t>
    </r>
    <r>
      <rPr>
        <sz val="11"/>
        <rFont val="宋体"/>
        <family val="0"/>
        <charset val="134"/>
      </rPr>
      <t xml:space="preserve">插拔式</t>
    </r>
    <r>
      <rPr>
        <sz val="11"/>
        <rFont val="宋体"/>
        <family val="0"/>
      </rPr>
      <t xml:space="preserve">'</t>
    </r>
  </si>
  <si>
    <t xml:space="preserve">NZM1-400H/3300'</t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</si>
  <si>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ZM1-400H/3300（无板前）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</si>
  <si>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ZM1-400H/3300插拔式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</si>
  <si>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ZM1-400S/3300（无板前）</t>
    </r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</si>
  <si>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ZM1-400S/3300插拔式</t>
    </r>
  </si>
  <si>
    <r>
      <rPr>
        <sz val="11"/>
        <rFont val="宋体"/>
        <family val="0"/>
      </rPr>
      <t xml:space="preserve">NZM1-400S/3300</t>
    </r>
    <r>
      <rPr>
        <sz val="11"/>
        <rFont val="宋体"/>
        <family val="0"/>
        <charset val="134"/>
      </rPr>
      <t xml:space="preserve">插拔式</t>
    </r>
    <r>
      <rPr>
        <sz val="11"/>
        <rFont val="宋体"/>
        <family val="0"/>
      </rPr>
      <t xml:space="preserve">'</t>
    </r>
  </si>
  <si>
    <t xml:space="preserve">NZM1-630H/3300'</t>
  </si>
  <si>
    <r>
      <rPr>
        <sz val="11"/>
        <rFont val="宋体"/>
        <family val="0"/>
      </rPr>
      <t xml:space="preserve">N</t>
    </r>
    <r>
      <rPr>
        <sz val="12"/>
        <rFont val="黑体"/>
        <family val="3"/>
      </rPr>
      <t xml:space="preserve">ZM1-630H/3300插拔式</t>
    </r>
  </si>
  <si>
    <r>
      <rPr>
        <sz val="11"/>
        <rFont val="宋体"/>
        <family val="0"/>
      </rPr>
      <t xml:space="preserve">NZM1-630S/3300</t>
    </r>
    <r>
      <rPr>
        <sz val="11"/>
        <rFont val="宋体"/>
        <family val="0"/>
        <charset val="134"/>
      </rPr>
      <t xml:space="preserve">插拔式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</si>
  <si>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NZW1-2000/R1000A/4P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</si>
  <si>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NZW1-2000/R1250A/3P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</si>
  <si>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NZW1-2000/R1250A/4P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</si>
  <si>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NZW1-2000/R1600A/3P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</si>
  <si>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NZW1-2000/R2000A/3P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</si>
  <si>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r>
      <rPr>
        <sz val="11"/>
        <rFont val="宋体"/>
        <family val="0"/>
      </rPr>
      <t xml:space="preserve">NZW1-3200/R3200A/3P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'</t>
    </r>
  </si>
  <si>
    <t xml:space="preserve">OTM1000E4C3D220C</t>
  </si>
  <si>
    <t xml:space="preserve">PA194I-9XY3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</si>
  <si>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斯菲尔</t>
    </r>
  </si>
  <si>
    <t xml:space="preserve">PA194I-AXY3</t>
  </si>
  <si>
    <t xml:space="preserve">PA194I-DXY</t>
  </si>
  <si>
    <t xml:space="preserve">PBD1-80/4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</si>
  <si>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澎渤</t>
    </r>
  </si>
  <si>
    <t xml:space="preserve">PBM1-100H/3300</t>
  </si>
  <si>
    <t xml:space="preserve">PBM1-100H/4300</t>
  </si>
  <si>
    <t xml:space="preserve">PBM1-225H/3300</t>
  </si>
  <si>
    <t xml:space="preserve">PBM1-400H/3300</t>
  </si>
  <si>
    <t xml:space="preserve">PBM1-630H/3300</t>
  </si>
  <si>
    <t xml:space="preserve">PBM1-63H/3300</t>
  </si>
  <si>
    <t xml:space="preserve">PD194E-9HY</t>
  </si>
  <si>
    <t xml:space="preserve">PD194E-9S4G</t>
  </si>
  <si>
    <t xml:space="preserve">PD194E-9YK</t>
  </si>
  <si>
    <t xml:space="preserve">PD194E-AYK</t>
  </si>
  <si>
    <t xml:space="preserve">PD194Z-2S4</t>
  </si>
  <si>
    <t xml:space="preserve">PDKII</t>
  </si>
  <si>
    <t xml:space="preserve">PDS-761A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</si>
  <si>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南自</t>
    </r>
  </si>
  <si>
    <t xml:space="preserve">PDS-765A</t>
  </si>
  <si>
    <t xml:space="preserve">PF465</t>
  </si>
  <si>
    <r>
      <rPr>
        <sz val="12"/>
        <rFont val="黑体"/>
        <family val="3"/>
        <charset val="134"/>
      </rPr>
      <t xml:space="preserve">加拿大</t>
    </r>
    <r>
      <rPr>
        <sz val="12"/>
        <rFont val="黑体"/>
        <family val="3"/>
      </rPr>
      <t xml:space="preserve">/YOA</t>
    </r>
  </si>
  <si>
    <t xml:space="preserve">PFO-20/1P</t>
  </si>
  <si>
    <t xml:space="preserve">PHAV-275/WZ*4</t>
  </si>
  <si>
    <r>
      <rPr>
        <sz val="12"/>
        <rFont val="黑体"/>
        <family val="3"/>
      </rPr>
      <t xml:space="preserve">SUM</t>
    </r>
    <r>
      <rPr>
        <sz val="12"/>
        <rFont val="黑体"/>
        <family val="3"/>
        <charset val="134"/>
      </rPr>
      <t xml:space="preserve">公司</t>
    </r>
  </si>
  <si>
    <t xml:space="preserve">PMAC600B-W</t>
  </si>
  <si>
    <r>
      <rPr>
        <sz val="12"/>
        <rFont val="黑体"/>
        <family val="3"/>
        <charset val="134"/>
      </rPr>
      <t xml:space="preserve">珠海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派诺</t>
    </r>
  </si>
  <si>
    <t xml:space="preserve">PMAC720N</t>
  </si>
  <si>
    <t xml:space="preserve">PMC-530A</t>
  </si>
  <si>
    <r>
      <rPr>
        <sz val="12"/>
        <rFont val="黑体"/>
        <family val="3"/>
        <charset val="134"/>
      </rPr>
      <t xml:space="preserve">深圳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中电</t>
    </r>
  </si>
  <si>
    <t xml:space="preserve">PMC-53V</t>
  </si>
  <si>
    <t xml:space="preserve">PMC-651F</t>
  </si>
  <si>
    <t xml:space="preserve">PMC-651T</t>
  </si>
  <si>
    <r>
      <rPr>
        <sz val="11"/>
        <rFont val="Times New Roman"/>
        <family val="0"/>
        <charset val="1"/>
      </rPr>
      <t xml:space="preserve">PTM5S-160M063/3320 </t>
    </r>
    <r>
      <rPr>
        <sz val="11"/>
        <rFont val="宋体"/>
        <family val="0"/>
      </rPr>
      <t xml:space="preserve">插拔式</t>
    </r>
  </si>
  <si>
    <r>
      <rPr>
        <sz val="10.5"/>
        <rFont val="宋体"/>
        <family val="0"/>
        <charset val="134"/>
      </rPr>
      <t xml:space="preserve">江苏</t>
    </r>
    <r>
      <rPr>
        <sz val="10.5"/>
        <rFont val="Times New Roman"/>
        <family val="0"/>
        <charset val="1"/>
      </rPr>
      <t xml:space="preserve">/</t>
    </r>
    <r>
      <rPr>
        <sz val="10.5"/>
        <rFont val="宋体"/>
        <family val="0"/>
      </rPr>
      <t xml:space="preserve">普华力拓</t>
    </r>
  </si>
  <si>
    <r>
      <rPr>
        <sz val="11"/>
        <rFont val="Times New Roman"/>
        <family val="0"/>
        <charset val="1"/>
      </rPr>
      <t xml:space="preserve">PTM5S-160M100/3320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</si>
  <si>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PTM5S-160M160/3320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</si>
  <si>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PTM5S-300M250/3320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</si>
  <si>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PTM5S-630M400/3320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</si>
  <si>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PTM5S-630M630/3320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</si>
  <si>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PTM5S-800M800/3320 </t>
    </r>
    <r>
      <rPr>
        <sz val="11"/>
        <rFont val="宋体"/>
        <family val="0"/>
      </rPr>
      <t xml:space="preserve">插拔式</t>
    </r>
  </si>
  <si>
    <r>
      <rPr>
        <sz val="11"/>
        <rFont val="Times New Roman"/>
        <family val="0"/>
        <charset val="1"/>
      </rPr>
      <t xml:space="preserve">PTW5S20D308/PUA-LSI </t>
    </r>
    <r>
      <rPr>
        <sz val="11"/>
        <rFont val="宋体"/>
        <family val="0"/>
      </rPr>
      <t xml:space="preserve">抽屉式</t>
    </r>
  </si>
  <si>
    <r>
      <rPr>
        <sz val="11"/>
        <rFont val="Times New Roman"/>
        <family val="0"/>
        <charset val="1"/>
      </rPr>
      <t xml:space="preserve">PTW5S20D316/PUA-LSI </t>
    </r>
    <r>
      <rPr>
        <sz val="11"/>
        <rFont val="宋体"/>
        <family val="0"/>
      </rPr>
      <t xml:space="preserve">抽屉式</t>
    </r>
  </si>
  <si>
    <r>
      <rPr>
        <sz val="11"/>
        <rFont val="Times New Roman"/>
        <family val="0"/>
        <charset val="1"/>
      </rPr>
      <t xml:space="preserve">PTW5S-32D425/PUA-LSIG </t>
    </r>
    <r>
      <rPr>
        <sz val="11"/>
        <rFont val="宋体"/>
        <family val="0"/>
      </rPr>
      <t xml:space="preserve">抽屉式失压</t>
    </r>
    <r>
      <rPr>
        <sz val="11"/>
        <rFont val="宋体"/>
        <family val="0"/>
        <charset val="134"/>
      </rPr>
      <t xml:space="preserve"> </t>
    </r>
    <r>
      <rPr>
        <sz val="11"/>
        <rFont val="宋体"/>
        <family val="0"/>
      </rPr>
      <t xml:space="preserve">三锁两钥匙</t>
    </r>
  </si>
  <si>
    <r>
      <rPr>
        <sz val="11"/>
        <rFont val="宋体"/>
        <family val="0"/>
      </rPr>
      <t xml:space="preserve">PT</t>
    </r>
    <r>
      <rPr>
        <sz val="11"/>
        <rFont val="宋体"/>
        <family val="0"/>
        <charset val="134"/>
      </rPr>
      <t xml:space="preserve">小车</t>
    </r>
  </si>
  <si>
    <r>
      <rPr>
        <sz val="12"/>
        <rFont val="黑体"/>
        <family val="3"/>
      </rPr>
      <t xml:space="preserve">PT</t>
    </r>
    <r>
      <rPr>
        <sz val="12"/>
        <rFont val="黑体"/>
        <family val="3"/>
        <charset val="134"/>
      </rPr>
      <t xml:space="preserve">小车</t>
    </r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</si>
  <si>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海越</t>
    </r>
  </si>
  <si>
    <t xml:space="preserve">PZ72-AI3</t>
  </si>
  <si>
    <t xml:space="preserve">数显电流表</t>
  </si>
  <si>
    <t xml:space="preserve">PZ80-E4</t>
  </si>
  <si>
    <t xml:space="preserve">PZ80-E4/KC</t>
  </si>
  <si>
    <t xml:space="preserve">QA-1000A/3P</t>
  </si>
  <si>
    <t xml:space="preserve">QP-1250A/3P</t>
  </si>
  <si>
    <t xml:space="preserve">QSA-160A/3P</t>
  </si>
  <si>
    <t xml:space="preserve">QSA-400A/3P</t>
  </si>
  <si>
    <t xml:space="preserve">QSA-630A/3P</t>
  </si>
  <si>
    <t xml:space="preserve">QSA-800A/3P</t>
  </si>
  <si>
    <t xml:space="preserve">QSA-1000A/3P</t>
  </si>
  <si>
    <r>
      <rPr>
        <sz val="11"/>
        <rFont val="宋体"/>
        <family val="0"/>
      </rPr>
      <t xml:space="preserve">RABM1-125H/3300(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</si>
  <si>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日安</t>
    </r>
  </si>
  <si>
    <r>
      <rPr>
        <sz val="11"/>
        <rFont val="宋体"/>
        <family val="0"/>
      </rPr>
      <t xml:space="preserve">RABM1-125S/3300(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</si>
  <si>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t xml:space="preserve">RABM1-250S/3340</t>
  </si>
  <si>
    <t xml:space="preserve">RABM1-400S/3340</t>
  </si>
  <si>
    <r>
      <rPr>
        <sz val="11"/>
        <rFont val="宋体"/>
        <family val="0"/>
      </rPr>
      <t xml:space="preserve">RABW1-2000/R1000A/3P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</si>
  <si>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RABW1-2000/R1250A/3P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</si>
  <si>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RABW1-2000/R2000A/3P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</si>
  <si>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RABW1-2000/R2000A/4P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</si>
  <si>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RABW1-2000/R630A/3P</t>
    </r>
    <r>
      <rPr>
        <sz val="11"/>
        <rFont val="宋体"/>
        <family val="0"/>
        <charset val="134"/>
      </rPr>
      <t xml:space="preserve">固定电动</t>
    </r>
  </si>
  <si>
    <t xml:space="preserve">RCS9621</t>
  </si>
  <si>
    <r>
      <rPr>
        <sz val="12"/>
        <rFont val="黑体"/>
        <family val="3"/>
        <charset val="134"/>
      </rPr>
      <t xml:space="preserve">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南瑞</t>
    </r>
  </si>
  <si>
    <t xml:space="preserve">RCS-9693A</t>
  </si>
  <si>
    <t xml:space="preserve">RMC1-6A/2P</t>
  </si>
  <si>
    <t xml:space="preserve">RMC1-3A/3P</t>
  </si>
  <si>
    <t xml:space="preserve">RMC1-32A/1P</t>
  </si>
  <si>
    <t xml:space="preserve">RMC1-3A/1P</t>
  </si>
  <si>
    <t xml:space="preserve">RMC1-40A/3P</t>
  </si>
  <si>
    <t xml:space="preserve">RMC1-63A/3P</t>
  </si>
  <si>
    <t xml:space="preserve">RMC1-63A/4P</t>
  </si>
  <si>
    <t xml:space="preserve">RMC1-63D 16A/3P</t>
  </si>
  <si>
    <t xml:space="preserve">RMC1-63D 25A/3P</t>
  </si>
  <si>
    <t xml:space="preserve">RMC1-63D 32A/3P</t>
  </si>
  <si>
    <t xml:space="preserve">RMC1-63D 3A/1P</t>
  </si>
  <si>
    <t xml:space="preserve">RMK110-30-11</t>
  </si>
  <si>
    <t xml:space="preserve">RMK-16</t>
  </si>
  <si>
    <t xml:space="preserve">RMK16-30-10</t>
  </si>
  <si>
    <t xml:space="preserve">RMK-25</t>
  </si>
  <si>
    <t xml:space="preserve">RMK-25-30-10</t>
  </si>
  <si>
    <t xml:space="preserve">RMK260-30-22</t>
  </si>
  <si>
    <t xml:space="preserve">RMK300-30-22</t>
  </si>
  <si>
    <t xml:space="preserve">RMK30-30-10</t>
  </si>
  <si>
    <t xml:space="preserve">RMK-40</t>
  </si>
  <si>
    <t xml:space="preserve">RMK400-30-22</t>
  </si>
  <si>
    <t xml:space="preserve">RMK-50</t>
  </si>
  <si>
    <t xml:space="preserve">RMK-75</t>
  </si>
  <si>
    <t xml:space="preserve">RMK95-30-11</t>
  </si>
  <si>
    <r>
      <rPr>
        <sz val="11"/>
        <rFont val="宋体"/>
        <family val="0"/>
      </rPr>
      <t xml:space="preserve">RMM1-100C/3300(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</si>
  <si>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</si>
  <si>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</si>
  <si>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</si>
  <si>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</si>
  <si>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RMM1-100C/33008(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</si>
  <si>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</si>
  <si>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</si>
  <si>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RMM1-100C/3300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</si>
  <si>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RMM1-100C/3320(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</si>
  <si>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</si>
  <si>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</si>
  <si>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RMM1-100C/3340(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</si>
  <si>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</si>
  <si>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RMM1-100C/3340</t>
    </r>
    <r>
      <rPr>
        <sz val="11"/>
        <rFont val="宋体"/>
        <family val="0"/>
        <charset val="134"/>
      </rPr>
      <t xml:space="preserve">插入式</t>
    </r>
  </si>
  <si>
    <t xml:space="preserve">RMM1-100H/3300</t>
  </si>
  <si>
    <t xml:space="preserve">RMM1-100H/3300 50A</t>
  </si>
  <si>
    <t xml:space="preserve">RMM1-100H/3300 80A</t>
  </si>
  <si>
    <r>
      <rPr>
        <sz val="11"/>
        <rFont val="宋体"/>
        <family val="0"/>
      </rPr>
      <t xml:space="preserve">RMM1-100H/3300(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</si>
  <si>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</si>
  <si>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t xml:space="preserve">RMM1-100H/33002</t>
  </si>
  <si>
    <r>
      <rPr>
        <sz val="11"/>
        <rFont val="宋体"/>
        <family val="0"/>
      </rPr>
      <t xml:space="preserve">RMM1-100H/33002(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</si>
  <si>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</si>
  <si>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</si>
  <si>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</si>
  <si>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</si>
  <si>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</si>
  <si>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</si>
  <si>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</si>
  <si>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</si>
  <si>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</si>
  <si>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</si>
  <si>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RMM1-100H/3330(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</si>
  <si>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</si>
  <si>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</si>
  <si>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</si>
  <si>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RMM1-100H/3340</t>
    </r>
    <r>
      <rPr>
        <sz val="11"/>
        <rFont val="宋体"/>
        <family val="0"/>
        <charset val="134"/>
      </rPr>
      <t xml:space="preserve">插入式</t>
    </r>
  </si>
  <si>
    <t xml:space="preserve">RMM1-100S/3300</t>
  </si>
  <si>
    <r>
      <rPr>
        <sz val="11"/>
        <rFont val="宋体"/>
        <family val="0"/>
      </rPr>
      <t xml:space="preserve">RMM1-100S/3300(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</si>
  <si>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</si>
  <si>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</si>
  <si>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</si>
  <si>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</si>
  <si>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</si>
  <si>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</si>
  <si>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</si>
  <si>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RMM1-100S/3300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</si>
  <si>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RMM1-100S/3300</t>
    </r>
    <r>
      <rPr>
        <sz val="11"/>
        <rFont val="宋体"/>
        <family val="0"/>
        <charset val="134"/>
      </rPr>
      <t xml:space="preserve">插入式</t>
    </r>
  </si>
  <si>
    <t xml:space="preserve">RMM1-100S/3320</t>
  </si>
  <si>
    <r>
      <rPr>
        <sz val="11"/>
        <rFont val="宋体"/>
        <family val="0"/>
      </rPr>
      <t xml:space="preserve">RMM1-100S/3320(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</si>
  <si>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</si>
  <si>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</si>
  <si>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</si>
  <si>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</si>
  <si>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RMM1-100S/3340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</si>
  <si>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RMM1-100S/3340</t>
    </r>
    <r>
      <rPr>
        <sz val="11"/>
        <rFont val="宋体"/>
        <family val="0"/>
        <charset val="134"/>
      </rPr>
      <t xml:space="preserve">插入式</t>
    </r>
  </si>
  <si>
    <t xml:space="preserve">RMM1-160H/3300</t>
  </si>
  <si>
    <t xml:space="preserve">RMM1-160H/3300 100A</t>
  </si>
  <si>
    <r>
      <rPr>
        <sz val="11"/>
        <rFont val="宋体"/>
        <family val="0"/>
      </rPr>
      <t xml:space="preserve">RMM1-160H/3300(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</si>
  <si>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</si>
  <si>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</si>
  <si>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</si>
  <si>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</si>
  <si>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</si>
  <si>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</si>
  <si>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</si>
  <si>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</si>
  <si>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RMM1-160H/3300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</si>
  <si>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</si>
  <si>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</si>
  <si>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</si>
  <si>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RMM1-160H/3330(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</si>
  <si>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</si>
  <si>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</si>
  <si>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</si>
  <si>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RMM1-160H/3340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</si>
  <si>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RMM1-160H/4340</t>
    </r>
    <r>
      <rPr>
        <sz val="11"/>
        <rFont val="宋体"/>
        <family val="0"/>
        <charset val="134"/>
      </rPr>
      <t xml:space="preserve">插拔式</t>
    </r>
  </si>
  <si>
    <t xml:space="preserve">RMM1-160S/3300</t>
  </si>
  <si>
    <r>
      <rPr>
        <sz val="11"/>
        <rFont val="宋体"/>
        <family val="0"/>
      </rPr>
      <t xml:space="preserve">RMM1-160S/3300(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</si>
  <si>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</si>
  <si>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</si>
  <si>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</si>
  <si>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</si>
  <si>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</si>
  <si>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</si>
  <si>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</si>
  <si>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RMM1-160S/3300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</si>
  <si>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RMM1-160S/3300</t>
    </r>
    <r>
      <rPr>
        <sz val="11"/>
        <rFont val="宋体"/>
        <family val="0"/>
        <charset val="134"/>
      </rPr>
      <t xml:space="preserve">插入式</t>
    </r>
  </si>
  <si>
    <t xml:space="preserve">RMM1-160S/3320</t>
  </si>
  <si>
    <r>
      <rPr>
        <sz val="11"/>
        <rFont val="宋体"/>
        <family val="0"/>
      </rPr>
      <t xml:space="preserve">RMM1-160S/3320(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</si>
  <si>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</si>
  <si>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RMM1-160S/3320</t>
    </r>
    <r>
      <rPr>
        <sz val="11"/>
        <rFont val="宋体"/>
        <family val="0"/>
        <charset val="134"/>
      </rPr>
      <t xml:space="preserve">插入式</t>
    </r>
  </si>
  <si>
    <t xml:space="preserve">RMM1-160S/3340</t>
  </si>
  <si>
    <r>
      <rPr>
        <sz val="11"/>
        <rFont val="宋体"/>
        <family val="0"/>
      </rPr>
      <t xml:space="preserve">RMM1-160S/3340(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</si>
  <si>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</si>
  <si>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RMM1-160S/3340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</si>
  <si>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RMM1-160S/3340</t>
    </r>
    <r>
      <rPr>
        <sz val="11"/>
        <rFont val="宋体"/>
        <family val="0"/>
        <charset val="134"/>
      </rPr>
      <t xml:space="preserve">插入式</t>
    </r>
  </si>
  <si>
    <t xml:space="preserve">RMM1-250H/3300</t>
  </si>
  <si>
    <r>
      <rPr>
        <sz val="11"/>
        <rFont val="宋体"/>
        <family val="0"/>
      </rPr>
      <t xml:space="preserve">RMM1-250H/3300(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</si>
  <si>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</si>
  <si>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t xml:space="preserve">RMM1-250H/33002</t>
  </si>
  <si>
    <r>
      <rPr>
        <sz val="11"/>
        <rFont val="宋体"/>
        <family val="0"/>
      </rPr>
      <t xml:space="preserve">RMM1-250H/33002(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</si>
  <si>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</si>
  <si>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</si>
  <si>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</si>
  <si>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</si>
  <si>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</si>
  <si>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</si>
  <si>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RMM1-250H/3300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</si>
  <si>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</si>
  <si>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</si>
  <si>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</si>
  <si>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RMM1-250H/3330(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</si>
  <si>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</si>
  <si>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</si>
  <si>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</si>
  <si>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RMM1-250H/3340</t>
    </r>
    <r>
      <rPr>
        <sz val="11"/>
        <rFont val="宋体"/>
        <family val="0"/>
        <charset val="134"/>
      </rPr>
      <t xml:space="preserve">插入式</t>
    </r>
  </si>
  <si>
    <t xml:space="preserve">RMM1-250S/3300</t>
  </si>
  <si>
    <r>
      <rPr>
        <sz val="11"/>
        <rFont val="宋体"/>
        <family val="0"/>
      </rPr>
      <t xml:space="preserve">RMM1-250S/3300(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</si>
  <si>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</si>
  <si>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</si>
  <si>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</si>
  <si>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</si>
  <si>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</si>
  <si>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</si>
  <si>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</si>
  <si>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RMM1-250S/3300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</si>
  <si>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RMM1-250S/3300</t>
    </r>
    <r>
      <rPr>
        <sz val="11"/>
        <rFont val="宋体"/>
        <family val="0"/>
        <charset val="134"/>
      </rPr>
      <t xml:space="preserve">插入式</t>
    </r>
  </si>
  <si>
    <t xml:space="preserve">RMM1-250S/3320</t>
  </si>
  <si>
    <r>
      <rPr>
        <sz val="11"/>
        <rFont val="宋体"/>
        <family val="0"/>
      </rPr>
      <t xml:space="preserve">RMM1-250S/3320(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</si>
  <si>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</si>
  <si>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RMM1-250S/3320</t>
    </r>
    <r>
      <rPr>
        <sz val="11"/>
        <rFont val="宋体"/>
        <family val="0"/>
        <charset val="134"/>
      </rPr>
      <t xml:space="preserve">插入式</t>
    </r>
  </si>
  <si>
    <t xml:space="preserve">RMM1-250S/3340</t>
  </si>
  <si>
    <r>
      <rPr>
        <sz val="11"/>
        <rFont val="宋体"/>
        <family val="0"/>
      </rPr>
      <t xml:space="preserve">RMM1-250S/3340(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</si>
  <si>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</si>
  <si>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RMM1-250S/3340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</si>
  <si>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RMM1-250S/3340</t>
    </r>
    <r>
      <rPr>
        <sz val="11"/>
        <rFont val="宋体"/>
        <family val="0"/>
        <charset val="134"/>
      </rPr>
      <t xml:space="preserve">插入式</t>
    </r>
  </si>
  <si>
    <t xml:space="preserve">RMM1-400H/3300</t>
  </si>
  <si>
    <t xml:space="preserve">RMM1-400H/3300 315A</t>
  </si>
  <si>
    <r>
      <rPr>
        <sz val="11"/>
        <rFont val="宋体"/>
        <family val="0"/>
      </rPr>
      <t xml:space="preserve">RMM1-400H/3300(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</si>
  <si>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</si>
  <si>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t xml:space="preserve">RMM1-400H/33002</t>
  </si>
  <si>
    <r>
      <rPr>
        <sz val="11"/>
        <rFont val="宋体"/>
        <family val="0"/>
      </rPr>
      <t xml:space="preserve">RMM1-400H/33002(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</si>
  <si>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</si>
  <si>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</si>
  <si>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</si>
  <si>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</si>
  <si>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</si>
  <si>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</si>
  <si>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RMM1-400H/3300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</si>
  <si>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</si>
  <si>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</si>
  <si>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</si>
  <si>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</si>
  <si>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</si>
  <si>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</si>
  <si>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RMM1-400H/3340</t>
    </r>
    <r>
      <rPr>
        <sz val="11"/>
        <rFont val="宋体"/>
        <family val="0"/>
        <charset val="134"/>
      </rPr>
      <t xml:space="preserve">插入式</t>
    </r>
  </si>
  <si>
    <t xml:space="preserve">RMM1-400S/3300</t>
  </si>
  <si>
    <r>
      <rPr>
        <sz val="11"/>
        <rFont val="宋体"/>
        <family val="0"/>
      </rPr>
      <t xml:space="preserve">RMM1-400S/3300(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</si>
  <si>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</si>
  <si>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</si>
  <si>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</si>
  <si>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</si>
  <si>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</si>
  <si>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</si>
  <si>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</si>
  <si>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</si>
  <si>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RMM1-400S/3300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</si>
  <si>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</si>
  <si>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</si>
  <si>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</si>
  <si>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RMM1-400S/3330(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</si>
  <si>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</si>
  <si>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</si>
  <si>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RMM1-400S/3340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</si>
  <si>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RMM1-400S/3340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</si>
  <si>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RMM1-400S/4340</t>
    </r>
    <r>
      <rPr>
        <sz val="11"/>
        <rFont val="宋体"/>
        <family val="0"/>
        <charset val="134"/>
      </rPr>
      <t xml:space="preserve">插拔式</t>
    </r>
  </si>
  <si>
    <t xml:space="preserve">RMM1-630H/3300</t>
  </si>
  <si>
    <r>
      <rPr>
        <sz val="11"/>
        <rFont val="宋体"/>
        <family val="0"/>
      </rPr>
      <t xml:space="preserve">RMM1-630H/3300(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</si>
  <si>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</si>
  <si>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</si>
  <si>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</si>
  <si>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</si>
  <si>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</si>
  <si>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</si>
  <si>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</si>
  <si>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</si>
  <si>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</si>
  <si>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</si>
  <si>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</si>
  <si>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</si>
  <si>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</si>
  <si>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</si>
  <si>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</si>
  <si>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RMM1-630H/3340</t>
    </r>
    <r>
      <rPr>
        <sz val="11"/>
        <rFont val="宋体"/>
        <family val="0"/>
        <charset val="134"/>
      </rPr>
      <t xml:space="preserve">插入式</t>
    </r>
  </si>
  <si>
    <t xml:space="preserve">RMM1-630S/3300</t>
  </si>
  <si>
    <r>
      <rPr>
        <sz val="11"/>
        <rFont val="宋体"/>
        <family val="0"/>
      </rPr>
      <t xml:space="preserve">RMM1-630S/3300(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</si>
  <si>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</si>
  <si>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</si>
  <si>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</si>
  <si>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</si>
  <si>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</si>
  <si>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</si>
  <si>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</si>
  <si>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RMM1-630S/3300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</si>
  <si>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RMM1-630S/3300</t>
    </r>
    <r>
      <rPr>
        <sz val="11"/>
        <rFont val="宋体"/>
        <family val="0"/>
        <charset val="134"/>
      </rPr>
      <t xml:space="preserve">插入式</t>
    </r>
  </si>
  <si>
    <t xml:space="preserve">RMM1-630S/3320</t>
  </si>
  <si>
    <r>
      <rPr>
        <sz val="11"/>
        <rFont val="宋体"/>
        <family val="0"/>
      </rPr>
      <t xml:space="preserve">RMM1-630S/3320(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</si>
  <si>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</si>
  <si>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</si>
  <si>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RMM1-630S/3330(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</si>
  <si>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RMM1-630S/3330</t>
    </r>
    <r>
      <rPr>
        <sz val="11"/>
        <rFont val="宋体"/>
        <family val="0"/>
        <charset val="134"/>
      </rPr>
      <t xml:space="preserve">插拔式</t>
    </r>
  </si>
  <si>
    <t xml:space="preserve">RMM1-630S/3340</t>
  </si>
  <si>
    <r>
      <rPr>
        <sz val="11"/>
        <rFont val="宋体"/>
        <family val="0"/>
      </rPr>
      <t xml:space="preserve">RMM1-630S/3340(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</si>
  <si>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</si>
  <si>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RMM1-630S/3340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</si>
  <si>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RMM1-630S/3340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</si>
  <si>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RMM1-630S/4340</t>
    </r>
    <r>
      <rPr>
        <sz val="11"/>
        <rFont val="宋体"/>
        <family val="0"/>
        <charset val="134"/>
      </rPr>
      <t xml:space="preserve">插拔式</t>
    </r>
  </si>
  <si>
    <t xml:space="preserve">RMM1-63H/3300</t>
  </si>
  <si>
    <t xml:space="preserve">RMM1-63H/3300 20A</t>
  </si>
  <si>
    <t xml:space="preserve">RMM1-63H/3300 40A</t>
  </si>
  <si>
    <r>
      <rPr>
        <sz val="11"/>
        <rFont val="宋体"/>
        <family val="0"/>
      </rPr>
      <t xml:space="preserve">RMM1-63H/3300(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</si>
  <si>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</si>
  <si>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</si>
  <si>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</si>
  <si>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</si>
  <si>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</si>
  <si>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</si>
  <si>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</si>
  <si>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RMM1-63H/3300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</si>
  <si>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</si>
  <si>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</si>
  <si>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</si>
  <si>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</si>
  <si>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</si>
  <si>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</si>
  <si>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RMM1-63H/3340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</si>
  <si>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RMM1-63H/3340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</si>
  <si>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RMM1-63H/4300(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</si>
  <si>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</si>
  <si>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</si>
  <si>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</si>
  <si>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</si>
  <si>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</si>
  <si>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RMM1-800H/33008(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</si>
  <si>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</si>
  <si>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</si>
  <si>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RMM1-800H/3300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</si>
  <si>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RMM1-800H/3320(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</si>
  <si>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</si>
  <si>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</si>
  <si>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RMM1-800H/3340(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</si>
  <si>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</si>
  <si>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RMM1-800H/3340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</si>
  <si>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RMM1-800S/3300(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</si>
  <si>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</si>
  <si>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RMM1-800S/33002(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</si>
  <si>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RMM1-800S/33002(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</si>
  <si>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RMM1-800S/33002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</si>
  <si>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RMM1-800S/33008(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</si>
  <si>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RMM1-800S/33008(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</si>
  <si>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RMM1-800S/33008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</si>
  <si>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RMM1-800S/3300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</si>
  <si>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RMM1-800S/3320(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</si>
  <si>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RMM1-800S/3320(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</si>
  <si>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RMM1-800S/3320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</si>
  <si>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RMM1-800S/3340(</t>
    </r>
    <r>
      <rPr>
        <sz val="11"/>
        <rFont val="宋体"/>
        <family val="0"/>
        <charset val="134"/>
      </rPr>
      <t xml:space="preserve">含板前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</si>
  <si>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</si>
  <si>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RMM1-800S/3340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</si>
  <si>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RMM2-250/R160A 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</si>
  <si>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RMM2-250/R250A 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</si>
  <si>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RMM2-630/R400A 3300(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</si>
  <si>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RMM2-630/R400A 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</si>
  <si>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RMM2-630/R630A 3340(</t>
    </r>
    <r>
      <rPr>
        <sz val="11"/>
        <rFont val="宋体"/>
        <family val="0"/>
        <charset val="134"/>
      </rPr>
      <t xml:space="preserve">无板前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</si>
  <si>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RMM2-630/R630A 3340</t>
    </r>
    <r>
      <rPr>
        <sz val="11"/>
        <rFont val="宋体"/>
        <family val="0"/>
        <charset val="134"/>
      </rPr>
      <t xml:space="preserve">插入式</t>
    </r>
  </si>
  <si>
    <t xml:space="preserve">RMU1-B80/4P</t>
  </si>
  <si>
    <r>
      <rPr>
        <sz val="11"/>
        <rFont val="宋体"/>
        <family val="0"/>
      </rPr>
      <t xml:space="preserve">RMVS1-12 1250-25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</si>
  <si>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RMW1-2000/R1000A/3P</t>
    </r>
    <r>
      <rPr>
        <sz val="11"/>
        <rFont val="宋体"/>
        <family val="0"/>
        <charset val="134"/>
      </rPr>
      <t xml:space="preserve">抽屉电动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</si>
  <si>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</si>
  <si>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</si>
  <si>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RMW1-2000/R1000A/3P</t>
    </r>
    <r>
      <rPr>
        <sz val="11"/>
        <rFont val="宋体"/>
        <family val="0"/>
        <charset val="134"/>
      </rPr>
      <t xml:space="preserve">固定电动</t>
    </r>
  </si>
  <si>
    <r>
      <rPr>
        <sz val="11"/>
        <rFont val="宋体"/>
        <family val="0"/>
      </rPr>
      <t xml:space="preserve">RMW1-2000/R1000A/3P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</si>
  <si>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RMW1-2000/R1000A/4P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</si>
  <si>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RMW1-2000/R1000A/4P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</si>
  <si>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</si>
  <si>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</si>
  <si>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RMW1-2000/R1250A/3P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</si>
  <si>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RMW1-2000/R1250A/3P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</si>
  <si>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RMW1-2000/R1250A/3P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</si>
  <si>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RMW1-2000/R1250A/3P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</si>
  <si>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RMW1-2000/R1250A/4P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</si>
  <si>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RMW1-2000/R1250A/4P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</si>
  <si>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RMW1-2000/R1600A/3P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</si>
  <si>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</si>
  <si>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RMW1-2000/R1600A/3P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</si>
  <si>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RMW1-2000/R1600A/4P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</si>
  <si>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RMW1-2000/R1600A/4P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</si>
  <si>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RMW1-2000/R1600A/4P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</si>
  <si>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RMW1-2000/R1600A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</si>
  <si>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RMW1-2000/R2000A/3P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</si>
  <si>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RMW1-2000/R2000A/3P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</si>
  <si>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</si>
  <si>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</si>
  <si>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</si>
  <si>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RMW1-2000/R630A/3P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</si>
  <si>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RMW1-2000/R630A/3P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</si>
  <si>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RMW1-2000/R630A/3P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</si>
  <si>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RMW1-2000/R630A/4P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</si>
  <si>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RMW1-2000/R630A/4P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</si>
  <si>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RMW1-2000/R800A/3P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</si>
  <si>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RMW1-2000/R800A/3P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</si>
  <si>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RMW1-2000/R800A/3P</t>
    </r>
    <r>
      <rPr>
        <sz val="11"/>
        <rFont val="宋体"/>
        <family val="0"/>
        <charset val="134"/>
      </rPr>
      <t xml:space="preserve">固定电动</t>
    </r>
  </si>
  <si>
    <r>
      <rPr>
        <sz val="11"/>
        <rFont val="宋体"/>
        <family val="0"/>
      </rPr>
      <t xml:space="preserve">RMW1-2000/R800A/3P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</si>
  <si>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RMW1-2000/R800A/3P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</si>
  <si>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RMW1-2000/R800A/4P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</si>
  <si>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RMW1-2000/R800A/4P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</si>
  <si>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RMW1-2000/R800A/4P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</si>
  <si>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</si>
  <si>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</si>
  <si>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</si>
  <si>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</si>
  <si>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RMW1-3200/R2500A/3P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</si>
  <si>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RMW1-3200/R2500A/3P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</si>
  <si>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RMW1-3200/R2500A/3P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</si>
  <si>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RMW1-3200/R2500A/4P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</si>
  <si>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RMW1-3200/R2900A/3P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</si>
  <si>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RMW1-3200/R2900A/3P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</si>
  <si>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RMW1-3200/R2900A/4P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</si>
  <si>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RMW1-3200/R2900A/4P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</si>
  <si>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RMW1-3200/R3200A/3P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</si>
  <si>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RMW1-3200/R3200A/3P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</si>
  <si>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RMW1-3200/R3200A/3P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</si>
  <si>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RMW1-3200/R3200A/4P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</si>
  <si>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RMW1-3200/R3200A/4P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</si>
  <si>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RMW1-3200/R3200A/4P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</si>
  <si>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RMW1-4000/R4000A/3P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</si>
  <si>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RMW1-4000/R4000A/3P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</si>
  <si>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</si>
  <si>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RMW1-6300/R4000A/4P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</si>
  <si>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RMW1-6300/R5000A/3P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</si>
  <si>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RMW1-6300/R5000A/4P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</si>
  <si>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RMW1-6300/R6300A/3P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</si>
  <si>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RMW1-6300/R6300A/4P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</si>
  <si>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RMW2-1600/3 R800A bse4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</si>
  <si>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RMW2-1600/3 R800A bse4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</si>
  <si>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RMW2-1600/R1000A/3P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</si>
  <si>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</si>
  <si>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</si>
  <si>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</si>
  <si>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RMW2-1600/R1250A/3P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</si>
  <si>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RMW2-1600/R1250A/3P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</si>
  <si>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RMW2-1600/R1250A/3P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</si>
  <si>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RMW2-1600/R1250A/4P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</si>
  <si>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RMW2-1600/R1250A/4P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</si>
  <si>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</si>
  <si>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RMW2-1600/R1600A/3P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</si>
  <si>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RMW2-1600/R1600A/4P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</si>
  <si>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RMW2-1600/R1600A/4P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</si>
  <si>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RMW2-1600/R1600A/4P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</si>
  <si>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RMW2-1600/R1600A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</si>
  <si>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RMW2-1600/R1600A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</si>
  <si>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RMW2-1600/R400A/3P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</si>
  <si>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RMW2-1600/R400A/3P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</si>
  <si>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RMW2-1600/R400A/4P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</si>
  <si>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RMW2-1600/R400A/4P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</si>
  <si>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RMW2-1600/R630A/3P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</si>
  <si>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RMW2-1600/R630A/3P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</si>
  <si>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RMW2-1600/R630A/4P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</si>
  <si>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RMW2-1600/R630A/4P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</si>
  <si>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RMW2-1600/R800A/3P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</si>
  <si>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RMW2-1600/R800A/3P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</si>
  <si>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RMW2-1600/R800A/4P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</si>
  <si>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RMW2-1600/R800A/4P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</si>
  <si>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RMW2-1600/R800A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</si>
  <si>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RMW2-2500/3 R1250A bse4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</si>
  <si>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RMW2-2500/3 R1600A bse4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</si>
  <si>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RMW2-2500/3 R800A bse4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</si>
  <si>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RMW2-2500/R1000A/3P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</si>
  <si>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</si>
  <si>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</si>
  <si>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</si>
  <si>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RMW2-2500/R1250A/3P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</si>
  <si>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RMW2-2500/R1250A/3P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</si>
  <si>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RMW2-2500/R1250A/4P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</si>
  <si>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RMW2-2500/R1250A/4P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</si>
  <si>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</si>
  <si>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RMW2-2500/R1600A/3P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</si>
  <si>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</si>
  <si>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RMW2-2500/R1600A/4P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</si>
  <si>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</si>
  <si>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</si>
  <si>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</si>
  <si>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</si>
  <si>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RMW2-2500/R2500A/3P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</si>
  <si>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RMW2-2500/R2500A/3P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</si>
  <si>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RMW2-2500/R2500A/4P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</si>
  <si>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RMW2-2500/R2500A/4P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</si>
  <si>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RMW2-2500/R630A/3P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</si>
  <si>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RMW2-2500/R630A/3P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</si>
  <si>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RMW2-2500/R630A/4P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</si>
  <si>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RMW2-2500/R630A/4P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</si>
  <si>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RMW2-2500/R800A/3P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</si>
  <si>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RMW2-2500/R800A/3P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</si>
  <si>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RMW2-2500/R800A/4P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</si>
  <si>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RMW2-2500/R800A/4P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</si>
  <si>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</si>
  <si>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</si>
  <si>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</si>
  <si>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</si>
  <si>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RMW2-4000/R2500A/3P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</si>
  <si>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RMW2-4000/R2500A/3P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</si>
  <si>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RMW2-4000/R2500A/4P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</si>
  <si>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RMW2-4000/R2500A/4P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</si>
  <si>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RMW2-4000/R2900A/3P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</si>
  <si>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RMW2-4000/R2900A/3P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</si>
  <si>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RMW2-4000/R2900A/4P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</si>
  <si>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RMW2-4000/R2900A/4P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</si>
  <si>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RMW2-4000/R3200A/3P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</si>
  <si>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RMW2-4000/R3200A/3P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</si>
  <si>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RMW2-4000/R3200A/4P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</si>
  <si>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RMW2-4000/R3200A/4P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</si>
  <si>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RMW2-4000/R3200A/4P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</si>
  <si>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</si>
  <si>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RMW2-4000/R4000A/3P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</si>
  <si>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RMW2-4000/R4000A/4P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</si>
  <si>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RMW2-4000/R4000A/4P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</si>
  <si>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</si>
  <si>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RMW2-6300/R4000A/4P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</si>
  <si>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RMW2-6300/R5000A/3P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</si>
  <si>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RMW2-6300/R5000A/4P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</si>
  <si>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RMW2-6300/R6300A/3P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</si>
  <si>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RMW2-6300/R6300A/4P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</si>
  <si>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RN2-12/0.5-1A(</t>
    </r>
    <r>
      <rPr>
        <sz val="11"/>
        <rFont val="宋体"/>
        <family val="0"/>
        <charset val="134"/>
      </rPr>
      <t xml:space="preserve">配座</t>
    </r>
    <r>
      <rPr>
        <sz val="11"/>
        <rFont val="宋体"/>
        <family val="0"/>
      </rPr>
      <t xml:space="preserve">)</t>
    </r>
  </si>
  <si>
    <t xml:space="preserve">高压熔断器</t>
  </si>
  <si>
    <r>
      <rPr>
        <sz val="12"/>
        <rFont val="黑体"/>
        <family val="3"/>
        <charset val="134"/>
      </rPr>
      <t xml:space="preserve">佛山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广明</t>
    </r>
  </si>
  <si>
    <t xml:space="preserve">RT16-800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</si>
  <si>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新力</t>
    </r>
  </si>
  <si>
    <t xml:space="preserve">RT16-100</t>
  </si>
  <si>
    <t xml:space="preserve">RT0-120</t>
  </si>
  <si>
    <t xml:space="preserve">RT0-160</t>
  </si>
  <si>
    <t xml:space="preserve">RT12-80</t>
  </si>
  <si>
    <t xml:space="preserve">RT16-160/</t>
  </si>
  <si>
    <t xml:space="preserve">RT16-125/</t>
  </si>
  <si>
    <t xml:space="preserve">RT14-20/</t>
  </si>
  <si>
    <t xml:space="preserve">RT14-32/25</t>
  </si>
  <si>
    <t xml:space="preserve">RT16-63/</t>
  </si>
  <si>
    <t xml:space="preserve">RT16-100/</t>
  </si>
  <si>
    <t xml:space="preserve">RT16-80/</t>
  </si>
  <si>
    <t xml:space="preserve">RTO-100/80</t>
  </si>
  <si>
    <t xml:space="preserve">RZ-102</t>
  </si>
  <si>
    <r>
      <rPr>
        <sz val="12"/>
        <rFont val="黑体"/>
        <family val="3"/>
        <charset val="134"/>
      </rPr>
      <t xml:space="preserve">北京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中科锐智</t>
    </r>
  </si>
  <si>
    <t xml:space="preserve">RZ-102B</t>
  </si>
  <si>
    <t xml:space="preserve">KWN-B</t>
  </si>
  <si>
    <t xml:space="preserve">凝露控制器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</si>
  <si>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中深</t>
    </r>
  </si>
  <si>
    <t xml:space="preserve">SB2-22D-11X</t>
  </si>
  <si>
    <t xml:space="preserve">旋钮开关</t>
  </si>
  <si>
    <t xml:space="preserve">SB70-37KW</t>
  </si>
  <si>
    <t xml:space="preserve">变频器</t>
  </si>
  <si>
    <t xml:space="preserve">森兰</t>
  </si>
  <si>
    <t xml:space="preserve">SB70-45KW</t>
  </si>
  <si>
    <t xml:space="preserve">SB70-55KW</t>
  </si>
  <si>
    <t xml:space="preserve">SD96-EG3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</si>
  <si>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盛善</t>
    </r>
  </si>
  <si>
    <t xml:space="preserve">SDH-0.66  1000/5</t>
  </si>
  <si>
    <t xml:space="preserve">SDH-0.66  200/5</t>
  </si>
  <si>
    <t xml:space="preserve">SDH-0.66  300/5</t>
  </si>
  <si>
    <t xml:space="preserve">SDH-0.66  400/5</t>
  </si>
  <si>
    <t xml:space="preserve">SDH-0.66  600/5</t>
  </si>
  <si>
    <t xml:space="preserve">SDH-0.66  800/5</t>
  </si>
  <si>
    <t xml:space="preserve">SDH-0.66 100/5</t>
  </si>
  <si>
    <t xml:space="preserve">SDH-0.66 1200/5</t>
  </si>
  <si>
    <t xml:space="preserve">SDH-0.66 1500/5</t>
  </si>
  <si>
    <t xml:space="preserve">SDH-0.66 200/5</t>
  </si>
  <si>
    <t xml:space="preserve">SDH-0.66 2000/5</t>
  </si>
  <si>
    <t xml:space="preserve">SDH-0.66 2500/5</t>
  </si>
  <si>
    <t xml:space="preserve">SDH-0.66 300/5</t>
  </si>
  <si>
    <t xml:space="preserve">SDH-0.66 3000/5</t>
  </si>
  <si>
    <t xml:space="preserve">SDH-0.66 3500/5</t>
  </si>
  <si>
    <t xml:space="preserve">SDH-0.66 400/5</t>
  </si>
  <si>
    <t xml:space="preserve">SDH-0.66 4000/5</t>
  </si>
  <si>
    <t xml:space="preserve">SDH-0.66 50/5-300/5</t>
  </si>
  <si>
    <t xml:space="preserve">SDH-0.66 500/5</t>
  </si>
  <si>
    <t xml:space="preserve">SDH-0.66 5000/5</t>
  </si>
  <si>
    <t xml:space="preserve">SDH-0.66 750/5</t>
  </si>
  <si>
    <t xml:space="preserve">SDH-0.66 800/5 0.2S</t>
  </si>
  <si>
    <t xml:space="preserve">SE76 </t>
  </si>
  <si>
    <t xml:space="preserve">SE96 </t>
  </si>
  <si>
    <t xml:space="preserve">SFLAJ-10/100A</t>
  </si>
  <si>
    <r>
      <rPr>
        <sz val="12"/>
        <rFont val="黑体"/>
        <family val="3"/>
        <charset val="134"/>
      </rPr>
      <t xml:space="preserve">西安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西熔</t>
    </r>
  </si>
  <si>
    <t xml:space="preserve">SFLAJ-10/10A</t>
  </si>
  <si>
    <t xml:space="preserve">SFLAJ-10/125A</t>
  </si>
  <si>
    <t xml:space="preserve">SFLAJ-10/16A</t>
  </si>
  <si>
    <t xml:space="preserve">SFLAJ-10/20A</t>
  </si>
  <si>
    <t xml:space="preserve">SFLAJ-10/25A</t>
  </si>
  <si>
    <t xml:space="preserve">SFLAJ-10/31.5A</t>
  </si>
  <si>
    <t xml:space="preserve">SFLAJ-10/40A</t>
  </si>
  <si>
    <t xml:space="preserve">SFLAJ-10/50A</t>
  </si>
  <si>
    <t xml:space="preserve">SFLAJ-10/6.3A</t>
  </si>
  <si>
    <t xml:space="preserve">SFLAJ-10/63A</t>
  </si>
  <si>
    <t xml:space="preserve">SFLAJ-10/71A</t>
  </si>
  <si>
    <t xml:space="preserve">SFLAJ-10/80A</t>
  </si>
  <si>
    <t xml:space="preserve">SFLAJ-12 100A</t>
  </si>
  <si>
    <t xml:space="preserve">SFLAJ-12/80A</t>
  </si>
  <si>
    <t xml:space="preserve">SK(TH) AC220V</t>
  </si>
  <si>
    <t xml:space="preserve">SLKM1-400H/3320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</si>
  <si>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六开</t>
    </r>
  </si>
  <si>
    <r>
      <rPr>
        <sz val="11"/>
        <rFont val="宋体"/>
        <family val="0"/>
      </rPr>
      <t xml:space="preserve">SLKW1-2000/R800A/3P</t>
    </r>
    <r>
      <rPr>
        <sz val="11"/>
        <rFont val="宋体"/>
        <family val="0"/>
        <charset val="134"/>
      </rPr>
      <t xml:space="preserve">固定电动失压</t>
    </r>
  </si>
  <si>
    <r>
      <rPr>
        <sz val="11"/>
        <rFont val="宋体"/>
        <family val="0"/>
      </rPr>
      <t xml:space="preserve">SM40E1-400S/3320 </t>
    </r>
    <r>
      <rPr>
        <sz val="11"/>
        <rFont val="宋体"/>
        <family val="0"/>
        <charset val="134"/>
      </rPr>
      <t xml:space="preserve">插入式</t>
    </r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</si>
  <si>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华通</t>
    </r>
  </si>
  <si>
    <r>
      <rPr>
        <sz val="11"/>
        <rFont val="宋体"/>
        <family val="0"/>
      </rPr>
      <t xml:space="preserve">SM40E1-630S/3320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</si>
  <si>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SM50-160S/3320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</si>
  <si>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SM50-250S/3320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</si>
  <si>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SM50-63S/3320 </t>
    </r>
    <r>
      <rPr>
        <sz val="11"/>
        <rFont val="宋体"/>
        <family val="0"/>
        <charset val="134"/>
      </rPr>
      <t xml:space="preserve">插入式</t>
    </r>
  </si>
  <si>
    <t xml:space="preserve">SNT-822S-96</t>
  </si>
  <si>
    <r>
      <rPr>
        <sz val="12"/>
        <rFont val="黑体"/>
        <family val="3"/>
        <charset val="134"/>
      </rPr>
      <t xml:space="preserve">陕西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福友</t>
    </r>
  </si>
  <si>
    <t xml:space="preserve">SRAA4</t>
  </si>
  <si>
    <t xml:space="preserve">SRX-100</t>
  </si>
  <si>
    <t xml:space="preserve">SRX-150</t>
  </si>
  <si>
    <t xml:space="preserve">SSB65-C63/4P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</si>
  <si>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三开</t>
    </r>
  </si>
  <si>
    <t xml:space="preserve">SSB65H-C63/3P</t>
  </si>
  <si>
    <t xml:space="preserve">SSB65H-C63/4P</t>
  </si>
  <si>
    <r>
      <rPr>
        <sz val="11"/>
        <rFont val="宋体"/>
        <family val="0"/>
      </rPr>
      <t xml:space="preserve">SSM31-100H/3P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</si>
  <si>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SSM31-100S/3330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</si>
  <si>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SSM31-160S/3330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</si>
  <si>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SSM31-225S/3330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</si>
  <si>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SSM31-250H/3P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</si>
  <si>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SSM31-400S/3330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</si>
  <si>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SSM31-400S/3P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</si>
  <si>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SSM31-630S/3330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</si>
  <si>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SSM31-630S/3P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</si>
  <si>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SSM31-630S/3P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</si>
  <si>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SSM31-800S/3P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</si>
  <si>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SSM32-125H/3320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</si>
  <si>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SSM32-225H/3320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</si>
  <si>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SSM32-400H/3320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</si>
  <si>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SSW1-2000H/R1000A/3P</t>
    </r>
    <r>
      <rPr>
        <sz val="11"/>
        <rFont val="宋体"/>
        <family val="0"/>
        <charset val="134"/>
      </rPr>
      <t xml:space="preserve">抽屉式电动</t>
    </r>
  </si>
  <si>
    <r>
      <rPr>
        <sz val="11"/>
        <rFont val="宋体"/>
        <family val="0"/>
      </rPr>
      <t xml:space="preserve">SSW1-2000H/R630</t>
    </r>
    <r>
      <rPr>
        <sz val="12"/>
        <rFont val="黑体"/>
        <family val="3"/>
      </rPr>
      <t xml:space="preserve">A/3P抽屉式电动</t>
    </r>
  </si>
  <si>
    <r>
      <rPr>
        <sz val="11"/>
        <rFont val="宋体"/>
        <family val="0"/>
      </rPr>
      <t xml:space="preserve">SSW1-2000H/R</t>
    </r>
    <r>
      <rPr>
        <sz val="12"/>
        <rFont val="黑体"/>
        <family val="3"/>
      </rPr>
      <t xml:space="preserve">800A/3P抽屉式电动</t>
    </r>
  </si>
  <si>
    <r>
      <rPr>
        <sz val="11"/>
        <rFont val="宋体"/>
        <family val="0"/>
      </rPr>
      <t xml:space="preserve">SSW1-3200M/R2000A/4P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</si>
  <si>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SSW1-3200M/R2500A/4P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</si>
  <si>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SSW1-4000M/R3200A/4P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</si>
  <si>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SSW1-6300H/R4000A/4P</t>
    </r>
    <r>
      <rPr>
        <sz val="11"/>
        <rFont val="宋体"/>
        <family val="0"/>
        <charset val="134"/>
      </rPr>
      <t xml:space="preserve">抽屉式电动失压</t>
    </r>
  </si>
  <si>
    <t xml:space="preserve">SSY1-B/3N-420-30</t>
  </si>
  <si>
    <t xml:space="preserve">SSY1-B/3N-420-60</t>
  </si>
  <si>
    <t xml:space="preserve">T105</t>
  </si>
  <si>
    <t xml:space="preserve">T110</t>
  </si>
  <si>
    <t xml:space="preserve">T16</t>
  </si>
  <si>
    <t xml:space="preserve">T170</t>
  </si>
  <si>
    <t xml:space="preserve">T20</t>
  </si>
  <si>
    <t xml:space="preserve">T20 &lt;25A</t>
  </si>
  <si>
    <t xml:space="preserve">T20 18-25A</t>
  </si>
  <si>
    <t xml:space="preserve">T25</t>
  </si>
  <si>
    <t xml:space="preserve">T25 40A</t>
  </si>
  <si>
    <t xml:space="preserve">T250</t>
  </si>
  <si>
    <t xml:space="preserve">T300</t>
  </si>
  <si>
    <t xml:space="preserve">T370</t>
  </si>
  <si>
    <t xml:space="preserve">T40 &lt;32A</t>
  </si>
  <si>
    <t xml:space="preserve">T40 &gt;32A</t>
  </si>
  <si>
    <t xml:space="preserve">T45</t>
  </si>
  <si>
    <t xml:space="preserve">T70 &lt;63A</t>
  </si>
  <si>
    <t xml:space="preserve">T70 =80A</t>
  </si>
  <si>
    <t xml:space="preserve">T70 29-42A</t>
  </si>
  <si>
    <t xml:space="preserve">T75 80A</t>
  </si>
  <si>
    <t xml:space="preserve">TG3-10Q/140*210</t>
  </si>
  <si>
    <t xml:space="preserve">穿墙套管</t>
  </si>
  <si>
    <t xml:space="preserve">TLB1-63 D50/4P</t>
  </si>
  <si>
    <r>
      <rPr>
        <sz val="12"/>
        <rFont val="黑体"/>
        <family val="3"/>
      </rPr>
      <t xml:space="preserve">TCL</t>
    </r>
    <r>
      <rPr>
        <sz val="12"/>
        <rFont val="黑体"/>
        <family val="3"/>
        <charset val="134"/>
      </rPr>
      <t xml:space="preserve">罗格朗</t>
    </r>
  </si>
  <si>
    <r>
      <rPr>
        <sz val="11"/>
        <rFont val="宋体"/>
        <family val="0"/>
      </rPr>
      <t xml:space="preserve">TLM1H-250/3300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</si>
  <si>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TLM1S-160/3300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</si>
  <si>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TLM1S-160/3300 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</si>
  <si>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TLM1S-160/3340 </t>
    </r>
    <r>
      <rPr>
        <sz val="11"/>
        <rFont val="宋体"/>
        <family val="0"/>
        <charset val="134"/>
      </rPr>
      <t xml:space="preserve">插拔式</t>
    </r>
  </si>
  <si>
    <r>
      <rPr>
        <sz val="11"/>
        <rFont val="宋体"/>
        <family val="0"/>
      </rPr>
      <t xml:space="preserve">TLM2M-100 3330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</si>
  <si>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TLM2M-250 3330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</si>
  <si>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TLM2M-400 3330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</si>
  <si>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TLM2M-800 3330 500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</si>
  <si>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TLM2M-800 3330 630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</si>
  <si>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TLM2M-800 3330 700 </t>
    </r>
    <r>
      <rPr>
        <sz val="11"/>
        <rFont val="宋体"/>
        <family val="0"/>
        <charset val="134"/>
      </rPr>
      <t xml:space="preserve">插入式</t>
    </r>
  </si>
  <si>
    <t xml:space="preserve">TLM2M-800/3330 630A</t>
  </si>
  <si>
    <t xml:space="preserve">TLM2M-800/3330 800A</t>
  </si>
  <si>
    <t xml:space="preserve">TLU1-40/440/3P+N</t>
  </si>
  <si>
    <t xml:space="preserve">TLU1-65/440/3P+N</t>
  </si>
  <si>
    <r>
      <rPr>
        <sz val="11"/>
        <rFont val="宋体"/>
        <family val="0"/>
      </rPr>
      <t xml:space="preserve">TLW1-1600/R1000A/4P</t>
    </r>
    <r>
      <rPr>
        <sz val="11"/>
        <rFont val="宋体"/>
        <family val="0"/>
        <charset val="134"/>
      </rPr>
      <t xml:space="preserve">抽屉式电动失压</t>
    </r>
  </si>
  <si>
    <r>
      <rPr>
        <sz val="11"/>
        <rFont val="宋体"/>
        <family val="0"/>
      </rPr>
      <t xml:space="preserve">TLW1-2000/3P 1600A </t>
    </r>
    <r>
      <rPr>
        <sz val="11"/>
        <rFont val="宋体"/>
        <family val="0"/>
        <charset val="134"/>
      </rPr>
      <t xml:space="preserve">抽屉式 欠压</t>
    </r>
  </si>
  <si>
    <t xml:space="preserve">TMY-100*10</t>
  </si>
  <si>
    <r>
      <rPr>
        <sz val="12"/>
        <rFont val="黑体"/>
        <family val="3"/>
        <charset val="134"/>
      </rPr>
      <t xml:space="preserve">江西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金来</t>
    </r>
  </si>
  <si>
    <t xml:space="preserve">TMY-100*6</t>
  </si>
  <si>
    <t xml:space="preserve">TMY-100*6.3</t>
  </si>
  <si>
    <t xml:space="preserve">TMY-100*8</t>
  </si>
  <si>
    <t xml:space="preserve">TMY-120*10</t>
  </si>
  <si>
    <t xml:space="preserve">TMY-125*10</t>
  </si>
  <si>
    <r>
      <rPr>
        <sz val="11"/>
        <rFont val="宋体"/>
        <family val="0"/>
      </rPr>
      <t xml:space="preserve">TMY-2*(100*10</t>
    </r>
    <r>
      <rPr>
        <sz val="11"/>
        <rFont val="宋体"/>
        <family val="0"/>
        <charset val="134"/>
      </rPr>
      <t xml:space="preserve">）</t>
    </r>
  </si>
  <si>
    <t xml:space="preserve">TMY-2*(80*10)</t>
  </si>
  <si>
    <t xml:space="preserve">TMY-20*4</t>
  </si>
  <si>
    <t xml:space="preserve">TMY-30*10</t>
  </si>
  <si>
    <t xml:space="preserve">TMY-30*3</t>
  </si>
  <si>
    <t xml:space="preserve">TMY-30*4</t>
  </si>
  <si>
    <t xml:space="preserve">TMY-40*4</t>
  </si>
  <si>
    <t xml:space="preserve">TMY-40*5</t>
  </si>
  <si>
    <t xml:space="preserve">TMY-50*5</t>
  </si>
  <si>
    <t xml:space="preserve">TMY-50*6</t>
  </si>
  <si>
    <t xml:space="preserve">福建铜材厂</t>
  </si>
  <si>
    <t xml:space="preserve">TMY-50*6.3</t>
  </si>
  <si>
    <t xml:space="preserve">TMY-60*10</t>
  </si>
  <si>
    <t xml:space="preserve">TMY-60*6</t>
  </si>
  <si>
    <t xml:space="preserve">TMY-60*6.3</t>
  </si>
  <si>
    <t xml:space="preserve">TMY-60*8</t>
  </si>
  <si>
    <t xml:space="preserve">TMY-63*10</t>
  </si>
  <si>
    <t xml:space="preserve">TMY-63*6.3</t>
  </si>
  <si>
    <t xml:space="preserve">TMY-80*10</t>
  </si>
  <si>
    <t xml:space="preserve">TMY-80*6</t>
  </si>
  <si>
    <t xml:space="preserve">TMY-80*6.3</t>
  </si>
  <si>
    <t xml:space="preserve">TMY-80*8</t>
  </si>
  <si>
    <t xml:space="preserve">TR42-E3</t>
  </si>
  <si>
    <r>
      <rPr>
        <sz val="12"/>
        <rFont val="黑体"/>
        <family val="3"/>
        <charset val="134"/>
      </rPr>
      <t xml:space="preserve">江阴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东瑞</t>
    </r>
  </si>
  <si>
    <t xml:space="preserve">TR96-AI</t>
  </si>
  <si>
    <t xml:space="preserve">TR96-AI3</t>
  </si>
  <si>
    <t xml:space="preserve">TRPC-001</t>
  </si>
  <si>
    <t xml:space="preserve">TS100N FTU 3P</t>
  </si>
  <si>
    <t xml:space="preserve">TS160N FTU 3P</t>
  </si>
  <si>
    <t xml:space="preserve">TS250N FTU 3P</t>
  </si>
  <si>
    <t xml:space="preserve">TS400N ETS 3P</t>
  </si>
  <si>
    <t xml:space="preserve">TT06531385RMPF</t>
  </si>
  <si>
    <t xml:space="preserve">TT080 04 385</t>
  </si>
  <si>
    <t xml:space="preserve">TT08004385NMNF</t>
  </si>
  <si>
    <t xml:space="preserve">UCZ4-75</t>
  </si>
  <si>
    <t xml:space="preserve">电铃</t>
  </si>
  <si>
    <t xml:space="preserve">UP5-N100</t>
  </si>
  <si>
    <r>
      <rPr>
        <sz val="11"/>
        <rFont val="宋体"/>
        <family val="0"/>
      </rPr>
      <t xml:space="preserve">VB2-12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</si>
  <si>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VB2-12 630-25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</si>
  <si>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VB2-12 630-31.5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</si>
  <si>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VEP-12 1250-31.5</t>
    </r>
    <r>
      <rPr>
        <sz val="11"/>
        <rFont val="宋体"/>
        <family val="0"/>
        <charset val="134"/>
      </rPr>
      <t xml:space="preserve">手车式</t>
    </r>
  </si>
  <si>
    <r>
      <rPr>
        <sz val="12"/>
        <rFont val="黑体"/>
        <family val="3"/>
        <charset val="134"/>
      </rPr>
      <t xml:space="preserve">厦门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华电</t>
    </r>
  </si>
  <si>
    <r>
      <rPr>
        <sz val="11"/>
        <rFont val="宋体"/>
        <family val="0"/>
      </rPr>
      <t xml:space="preserve">VEP-12 630-25</t>
    </r>
    <r>
      <rPr>
        <sz val="11"/>
        <rFont val="宋体"/>
        <family val="0"/>
        <charset val="134"/>
      </rPr>
      <t xml:space="preserve">手车式</t>
    </r>
  </si>
  <si>
    <t xml:space="preserve">VHFD2540.169</t>
  </si>
  <si>
    <t xml:space="preserve">VHFD5040.169</t>
  </si>
  <si>
    <r>
      <rPr>
        <sz val="11"/>
        <rFont val="宋体"/>
        <family val="0"/>
      </rPr>
      <t xml:space="preserve">VL1-12 1250-31.5</t>
    </r>
    <r>
      <rPr>
        <sz val="11"/>
        <rFont val="宋体"/>
        <family val="0"/>
        <charset val="134"/>
      </rPr>
      <t xml:space="preserve">手车式</t>
    </r>
  </si>
  <si>
    <r>
      <rPr>
        <sz val="12"/>
        <rFont val="黑体"/>
        <family val="3"/>
        <charset val="134"/>
      </rPr>
      <t xml:space="preserve">常州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森源力拓</t>
    </r>
  </si>
  <si>
    <r>
      <rPr>
        <sz val="11"/>
        <rFont val="宋体"/>
        <family val="0"/>
      </rPr>
      <t xml:space="preserve">VL1-12 630-25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</si>
  <si>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VS1-12 1250-25</t>
    </r>
    <r>
      <rPr>
        <sz val="11"/>
        <rFont val="宋体"/>
        <family val="0"/>
        <charset val="134"/>
      </rPr>
      <t xml:space="preserve">手车式</t>
    </r>
  </si>
  <si>
    <t xml:space="preserve">森源</t>
  </si>
  <si>
    <r>
      <rPr>
        <sz val="11"/>
        <rFont val="宋体"/>
        <family val="0"/>
      </rPr>
      <t xml:space="preserve">VS1-12 1250-31.5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</si>
  <si>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VS1-12 630-25</t>
    </r>
    <r>
      <rPr>
        <sz val="11"/>
        <rFont val="宋体"/>
        <family val="0"/>
        <charset val="134"/>
      </rPr>
      <t xml:space="preserve">固定式</t>
    </r>
  </si>
  <si>
    <r>
      <rPr>
        <sz val="11"/>
        <rFont val="宋体"/>
        <family val="0"/>
      </rPr>
      <t xml:space="preserve">VS1-12 630-25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</si>
  <si>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VS1-12 630-31.5</t>
    </r>
    <r>
      <rPr>
        <sz val="11"/>
        <rFont val="宋体"/>
        <family val="0"/>
        <charset val="134"/>
      </rPr>
      <t xml:space="preserve">手车式</t>
    </r>
  </si>
  <si>
    <t xml:space="preserve">XD1-20</t>
  </si>
  <si>
    <t xml:space="preserve">电抗器</t>
  </si>
  <si>
    <r>
      <rPr>
        <sz val="12"/>
        <rFont val="黑体"/>
        <family val="3"/>
        <charset val="134"/>
      </rPr>
      <t xml:space="preserve">镇海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互感器厂</t>
    </r>
  </si>
  <si>
    <t xml:space="preserve">XD1-25</t>
  </si>
  <si>
    <t xml:space="preserve">XD1-30</t>
  </si>
  <si>
    <t xml:space="preserve">XD1-40</t>
  </si>
  <si>
    <t xml:space="preserve">XDGE-350C</t>
  </si>
  <si>
    <t xml:space="preserve">XKF-40AD</t>
  </si>
  <si>
    <t xml:space="preserve">复合开关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</si>
  <si>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鑫科</t>
    </r>
  </si>
  <si>
    <t xml:space="preserve">XKF-40AS</t>
  </si>
  <si>
    <t xml:space="preserve">XKF-60AS</t>
  </si>
  <si>
    <t xml:space="preserve">XKIB-480V-6%+AL2D-30Kvar</t>
  </si>
  <si>
    <t xml:space="preserve">诺基亚</t>
  </si>
  <si>
    <t xml:space="preserve">XKPCY-2002A</t>
  </si>
  <si>
    <t xml:space="preserve">XRNP-10/0.5A</t>
  </si>
  <si>
    <t xml:space="preserve">XRNP-10/1A</t>
  </si>
  <si>
    <t xml:space="preserve">XTG-701W</t>
  </si>
  <si>
    <t xml:space="preserve">温控</t>
  </si>
  <si>
    <t xml:space="preserve">余姚温度仪表</t>
  </si>
  <si>
    <r>
      <rPr>
        <sz val="11"/>
        <rFont val="宋体"/>
        <family val="0"/>
      </rPr>
      <t xml:space="preserve">ZGS-800A/4P </t>
    </r>
    <r>
      <rPr>
        <sz val="11"/>
        <rFont val="宋体"/>
        <family val="0"/>
        <charset val="134"/>
      </rPr>
      <t xml:space="preserve">带手动功能</t>
    </r>
  </si>
  <si>
    <t xml:space="preserve">ZH1-100/4P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</si>
  <si>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中恒</t>
    </r>
  </si>
  <si>
    <t xml:space="preserve">ZH-ZWS-2000</t>
  </si>
  <si>
    <r>
      <rPr>
        <sz val="12"/>
        <rFont val="黑体"/>
        <family val="3"/>
        <charset val="134"/>
      </rPr>
      <t xml:space="preserve">西安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众恒</t>
    </r>
  </si>
  <si>
    <t xml:space="preserve">ZJ-10Q</t>
  </si>
  <si>
    <t xml:space="preserve">绝缘子</t>
  </si>
  <si>
    <t xml:space="preserve">ZK9300</t>
  </si>
  <si>
    <t xml:space="preserve">开关状态显示器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</si>
  <si>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浙宝</t>
    </r>
  </si>
  <si>
    <t xml:space="preserve">ZK9600</t>
  </si>
  <si>
    <r>
      <rPr>
        <sz val="11"/>
        <rFont val="宋体"/>
        <family val="0"/>
      </rPr>
      <t xml:space="preserve">ZPD194E</t>
    </r>
    <r>
      <rPr>
        <sz val="11"/>
        <rFont val="宋体"/>
        <family val="0"/>
        <charset val="134"/>
      </rPr>
      <t xml:space="preserve">一</t>
    </r>
    <r>
      <rPr>
        <sz val="11"/>
        <rFont val="宋体"/>
        <family val="0"/>
      </rPr>
      <t xml:space="preserve">9S4</t>
    </r>
  </si>
  <si>
    <r>
      <rPr>
        <sz val="11"/>
        <rFont val="宋体"/>
        <family val="0"/>
      </rPr>
      <t xml:space="preserve">ZPD194E</t>
    </r>
    <r>
      <rPr>
        <sz val="11"/>
        <rFont val="宋体"/>
        <family val="0"/>
        <charset val="134"/>
      </rPr>
      <t xml:space="preserve">一</t>
    </r>
    <r>
      <rPr>
        <sz val="11"/>
        <rFont val="宋体"/>
        <family val="0"/>
      </rPr>
      <t xml:space="preserve">9S9A</t>
    </r>
  </si>
  <si>
    <t xml:space="preserve">ZPM610AB</t>
  </si>
  <si>
    <t xml:space="preserve">电力仪表</t>
  </si>
  <si>
    <r>
      <rPr>
        <sz val="12"/>
        <rFont val="黑体"/>
        <family val="3"/>
        <charset val="134"/>
      </rPr>
      <t xml:space="preserve">泰安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华电</t>
    </r>
  </si>
  <si>
    <t xml:space="preserve">ZPM610AQ</t>
  </si>
  <si>
    <t xml:space="preserve">ZPM610BZ</t>
  </si>
  <si>
    <t xml:space="preserve">ZU30-B/4-80</t>
  </si>
  <si>
    <r>
      <rPr>
        <sz val="11"/>
        <rFont val="宋体"/>
        <family val="0"/>
      </rPr>
      <t xml:space="preserve">ZW1-2000/3P 1000A 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</si>
  <si>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ZW1-2000/3P 1250A 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</si>
  <si>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ZW1-2000/3P 800A </t>
    </r>
    <r>
      <rPr>
        <sz val="11"/>
        <rFont val="宋体"/>
        <family val="0"/>
        <charset val="134"/>
      </rPr>
      <t xml:space="preserve">抽屉式</t>
    </r>
  </si>
  <si>
    <r>
      <rPr>
        <sz val="11"/>
        <rFont val="宋体"/>
        <family val="0"/>
      </rPr>
      <t xml:space="preserve">ZW1-2000/R1000A/3P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</si>
  <si>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</si>
  <si>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</si>
  <si>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</si>
  <si>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ZW1-2000/R1250A/3P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</si>
  <si>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ZW1-2000/R1250A/3P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</si>
  <si>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ZW1-2000/R1250A/4P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</si>
  <si>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ZW1-2000/R1250A/4P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</si>
  <si>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</si>
  <si>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ZW1-2000/R1600A/3P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</si>
  <si>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</si>
  <si>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ZW1-2000/R1600A/4P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</si>
  <si>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</si>
  <si>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</si>
  <si>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</si>
  <si>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</si>
  <si>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ZW1-2000/R630A/3P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</si>
  <si>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ZW1-2000/R630A/3P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</si>
  <si>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ZW1-2000/R630A/4P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</si>
  <si>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ZW1-2000/R630A/4P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</si>
  <si>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ZW1-2000/R800A/3P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</si>
  <si>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ZW1-2000/R800A/3P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</si>
  <si>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ZW1-2000/R800A/4P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</si>
  <si>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ZW1-2000/R800A/4P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</si>
  <si>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</si>
  <si>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ZW1-3200/R2000A/3P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</si>
  <si>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</si>
  <si>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ZW1-3200/R2000A/4P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</si>
  <si>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ZW1-3200/R2500A/3P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</si>
  <si>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ZW1-3200/R2500A/3P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</si>
  <si>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ZW1-3200/R2500A/4P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</si>
  <si>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ZW1-3200/R2500A/4P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</si>
  <si>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ZW1-3200/R2900A/3P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</si>
  <si>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ZW1-3200/R2900A/3P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</si>
  <si>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ZW1-3200/R2900A/4P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</si>
  <si>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ZW1-3200/R2900A/4P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</si>
  <si>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ZW1-3200/R3200A/3P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</si>
  <si>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ZW1-3200/R3200A/3P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</si>
  <si>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ZW1-3200/R3200A/4P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</si>
  <si>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ZW1-3200/R3200A/4P</t>
    </r>
    <r>
      <rPr>
        <sz val="11"/>
        <rFont val="宋体"/>
        <family val="0"/>
        <charset val="134"/>
      </rPr>
      <t xml:space="preserve">固定电动失压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</si>
  <si>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ZW1-4000/R3200A/3P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</si>
  <si>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ZW1-4000/R3200A/4P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</si>
  <si>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ZW1-4000/R3600A/3P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</si>
  <si>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ZW1-4000/R3600A/4P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</si>
  <si>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</si>
  <si>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ZW1-4000/R4000A/4P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</si>
  <si>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ZW1-6300/R4000A/3P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</si>
  <si>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ZW1-6300/R4000A/4P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</si>
  <si>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ZW1-6300/R5000A/3P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</si>
  <si>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ZW1-6300/R5000A/4P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</si>
  <si>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ZW1-6300/R6300A/3P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</si>
  <si>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ZW1-6300/R6300A/4P</t>
    </r>
    <r>
      <rPr>
        <sz val="11"/>
        <rFont val="宋体"/>
        <family val="0"/>
        <charset val="134"/>
      </rPr>
      <t xml:space="preserve">抽屉电动失压</t>
    </r>
    <r>
      <rPr>
        <sz val="11"/>
        <rFont val="宋体"/>
        <family val="0"/>
      </rPr>
      <t xml:space="preserve">M</t>
    </r>
  </si>
  <si>
    <r>
      <rPr>
        <sz val="11"/>
        <rFont val="宋体"/>
        <family val="0"/>
      </rPr>
      <t xml:space="preserve">ZW3-2000/R1250A/4P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</si>
  <si>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ZW5-4000/R3200A/4P</t>
    </r>
    <r>
      <rPr>
        <sz val="11"/>
        <rFont val="宋体"/>
        <family val="0"/>
        <charset val="134"/>
      </rPr>
      <t xml:space="preserve">抽屉电动失压</t>
    </r>
  </si>
  <si>
    <t xml:space="preserve">避雷器小车</t>
  </si>
  <si>
    <r>
      <rPr>
        <sz val="11"/>
        <rFont val="宋体"/>
        <family val="0"/>
        <charset val="134"/>
      </rPr>
      <t xml:space="preserve">触头盒及静触头</t>
    </r>
    <r>
      <rPr>
        <sz val="11"/>
        <rFont val="宋体"/>
        <family val="0"/>
      </rPr>
      <t xml:space="preserve">1250A</t>
    </r>
  </si>
  <si>
    <t xml:space="preserve">触头盒及静触头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</si>
  <si>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海磁</t>
    </r>
  </si>
  <si>
    <r>
      <rPr>
        <sz val="11"/>
        <rFont val="宋体"/>
        <family val="0"/>
        <charset val="134"/>
      </rPr>
      <t xml:space="preserve">触头盒及静触头</t>
    </r>
    <r>
      <rPr>
        <sz val="11"/>
        <rFont val="宋体"/>
        <family val="0"/>
      </rPr>
      <t xml:space="preserve">630A</t>
    </r>
  </si>
  <si>
    <t xml:space="preserve">低压拼台铜母排</t>
  </si>
  <si>
    <t xml:space="preserve">辅助材料</t>
  </si>
  <si>
    <r>
      <rPr>
        <sz val="12"/>
        <rFont val="黑体"/>
        <family val="3"/>
        <charset val="134"/>
      </rPr>
      <t xml:space="preserve">湖北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恒晟</t>
    </r>
  </si>
  <si>
    <r>
      <rPr>
        <sz val="11"/>
        <rFont val="宋体"/>
        <family val="0"/>
        <charset val="134"/>
      </rPr>
      <t xml:space="preserve">机械联锁（配</t>
    </r>
    <r>
      <rPr>
        <sz val="11"/>
        <rFont val="宋体"/>
        <family val="0"/>
      </rPr>
      <t xml:space="preserve">RABW1-2000/4P</t>
    </r>
    <r>
      <rPr>
        <sz val="11"/>
        <rFont val="宋体"/>
        <family val="0"/>
        <charset val="134"/>
      </rPr>
      <t xml:space="preserve">）</t>
    </r>
  </si>
  <si>
    <t xml:space="preserve">机械连锁机构</t>
  </si>
  <si>
    <t xml:space="preserve">母线绝缘接头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</si>
  <si>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永久</t>
    </r>
  </si>
  <si>
    <t xml:space="preserve">热缩套</t>
  </si>
  <si>
    <t xml:space="preserve">铜排及一次导线</t>
  </si>
  <si>
    <t xml:space="preserve">箱体</t>
  </si>
  <si>
    <t xml:space="preserve">HSM2E-100/3300</t>
  </si>
  <si>
    <t xml:space="preserve">HSM2E-225/3300</t>
  </si>
  <si>
    <t xml:space="preserve">HSM2E-400/3300</t>
  </si>
  <si>
    <r>
      <rPr>
        <sz val="11"/>
        <rFont val="宋体"/>
        <family val="0"/>
      </rPr>
      <t xml:space="preserve">HSM2E-800/3300 630A</t>
    </r>
    <r>
      <rPr>
        <sz val="11"/>
        <rFont val="宋体"/>
        <family val="0"/>
        <charset val="134"/>
      </rPr>
      <t xml:space="preserve">及以下</t>
    </r>
  </si>
  <si>
    <t xml:space="preserve">DNELB/20-400-7+DNECG/27-480-3P</t>
  </si>
  <si>
    <t xml:space="preserve">DNKL-12</t>
  </si>
  <si>
    <t xml:space="preserve">HS-P830W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</si>
  <si>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华宿</t>
    </r>
  </si>
  <si>
    <t xml:space="preserve">HS-P830F</t>
  </si>
  <si>
    <t xml:space="preserve">HS-P830P</t>
  </si>
  <si>
    <t xml:space="preserve">MY4NJ-DC24V</t>
  </si>
  <si>
    <t xml:space="preserve">H2X160N50</t>
  </si>
  <si>
    <t xml:space="preserve">HNE040</t>
  </si>
  <si>
    <r>
      <rPr>
        <sz val="11"/>
        <rFont val="宋体"/>
        <family val="0"/>
      </rPr>
      <t xml:space="preserve">HNH630 </t>
    </r>
    <r>
      <rPr>
        <sz val="11"/>
        <rFont val="宋体"/>
        <family val="0"/>
        <charset val="134"/>
      </rPr>
      <t xml:space="preserve">插入式</t>
    </r>
  </si>
  <si>
    <t xml:space="preserve">HNE080</t>
  </si>
  <si>
    <t xml:space="preserve">HNF200</t>
  </si>
  <si>
    <t xml:space="preserve">HNF250</t>
  </si>
  <si>
    <t xml:space="preserve">HNG320</t>
  </si>
  <si>
    <t xml:space="preserve">HNG350</t>
  </si>
  <si>
    <t xml:space="preserve">HNG400</t>
  </si>
  <si>
    <t xml:space="preserve">HNF160</t>
  </si>
  <si>
    <t xml:space="preserve">HNF100</t>
  </si>
  <si>
    <t xml:space="preserve">HNE063</t>
  </si>
  <si>
    <t xml:space="preserve">RABM1-630S/3340</t>
  </si>
  <si>
    <t xml:space="preserve">HWN306PD-LSI LCD</t>
  </si>
  <si>
    <r>
      <rPr>
        <sz val="11"/>
        <rFont val="宋体"/>
        <family val="0"/>
      </rPr>
      <t xml:space="preserve">HWN416PD-LSIG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</si>
  <si>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HWN416PD-LSI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</si>
  <si>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HWN410PD-LSIG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</si>
  <si>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HWN410PD-LSI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</si>
  <si>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HWN408PD-LSIG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</si>
  <si>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r>
      <rPr>
        <sz val="11"/>
        <rFont val="宋体"/>
        <family val="0"/>
      </rPr>
      <t xml:space="preserve">HWN408PD-LSI LCD </t>
    </r>
    <r>
      <rPr>
        <sz val="11"/>
        <rFont val="宋体"/>
        <family val="0"/>
        <charset val="134"/>
      </rPr>
      <t xml:space="preserve">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三锁两钥匙</t>
    </r>
  </si>
  <si>
    <t xml:space="preserve">HKE100LSI</t>
  </si>
  <si>
    <t xml:space="preserve">HKG400LSI</t>
  </si>
  <si>
    <t xml:space="preserve">HKH800LSI</t>
  </si>
  <si>
    <t xml:space="preserve">SFR-MZN-30-P7/480</t>
  </si>
  <si>
    <t xml:space="preserve">WGK-31-203-G/F</t>
  </si>
  <si>
    <t xml:space="preserve">SFR-MZN-20-P7/480</t>
  </si>
  <si>
    <t xml:space="preserve">FA194Z-9SY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</si>
  <si>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芙亚</t>
    </r>
  </si>
  <si>
    <t xml:space="preserve">FA194I-AK4</t>
  </si>
  <si>
    <t xml:space="preserve">FAP-810</t>
  </si>
  <si>
    <t xml:space="preserve">FAP-830</t>
  </si>
  <si>
    <t xml:space="preserve">ORG103E-9SY</t>
  </si>
  <si>
    <t xml:space="preserve">澳瑞杰</t>
  </si>
  <si>
    <t xml:space="preserve">ORG103E-2SY</t>
  </si>
  <si>
    <r>
      <rPr>
        <sz val="11"/>
        <rFont val="宋体"/>
        <family val="0"/>
        <charset val="134"/>
      </rPr>
      <t xml:space="preserve">辅助材料（进线总柜，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</si>
  <si>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辅助材料（进线总柜，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</si>
  <si>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辅助材料（进线总柜，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</si>
  <si>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辅助材料（进线总柜，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</si>
  <si>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辅助材料（联络柜，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</si>
  <si>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辅助材料（联络柜，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</si>
  <si>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辅助材料（联络柜，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</si>
  <si>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辅助材料（联络柜，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台断路器）</t>
    </r>
  </si>
  <si>
    <r>
      <rPr>
        <sz val="11"/>
        <rFont val="宋体"/>
        <family val="0"/>
        <charset val="134"/>
      </rPr>
      <t xml:space="preserve">辅助材料（电容柜，</t>
    </r>
    <r>
      <rPr>
        <sz val="11"/>
        <rFont val="宋体"/>
        <family val="0"/>
      </rPr>
      <t xml:space="preserve">100kvar</t>
    </r>
    <r>
      <rPr>
        <sz val="11"/>
        <rFont val="宋体"/>
        <family val="0"/>
        <charset val="134"/>
      </rPr>
      <t xml:space="preserve">）</t>
    </r>
  </si>
  <si>
    <r>
      <rPr>
        <sz val="11"/>
        <rFont val="宋体"/>
        <family val="0"/>
        <charset val="134"/>
      </rPr>
      <t xml:space="preserve">辅助材料（电容柜，</t>
    </r>
    <r>
      <rPr>
        <sz val="11"/>
        <rFont val="宋体"/>
        <family val="0"/>
      </rPr>
      <t xml:space="preserve">150kvar</t>
    </r>
    <r>
      <rPr>
        <sz val="11"/>
        <rFont val="宋体"/>
        <family val="0"/>
        <charset val="134"/>
      </rPr>
      <t xml:space="preserve">）</t>
    </r>
  </si>
  <si>
    <r>
      <rPr>
        <sz val="11"/>
        <rFont val="宋体"/>
        <family val="0"/>
        <charset val="134"/>
      </rPr>
      <t xml:space="preserve">辅助材料（电容柜，</t>
    </r>
    <r>
      <rPr>
        <sz val="11"/>
        <rFont val="宋体"/>
        <family val="0"/>
      </rPr>
      <t xml:space="preserve">200kvar</t>
    </r>
    <r>
      <rPr>
        <sz val="11"/>
        <rFont val="宋体"/>
        <family val="0"/>
        <charset val="134"/>
      </rPr>
      <t xml:space="preserve">）</t>
    </r>
  </si>
  <si>
    <r>
      <rPr>
        <sz val="11"/>
        <rFont val="宋体"/>
        <family val="0"/>
        <charset val="134"/>
      </rPr>
      <t xml:space="preserve">辅助材料（电容柜，</t>
    </r>
    <r>
      <rPr>
        <sz val="11"/>
        <rFont val="宋体"/>
        <family val="0"/>
      </rPr>
      <t xml:space="preserve">300kvar</t>
    </r>
    <r>
      <rPr>
        <sz val="11"/>
        <rFont val="宋体"/>
        <family val="0"/>
        <charset val="134"/>
      </rPr>
      <t xml:space="preserve">）</t>
    </r>
  </si>
  <si>
    <r>
      <rPr>
        <sz val="11"/>
        <rFont val="宋体"/>
        <family val="0"/>
        <charset val="134"/>
      </rPr>
      <t xml:space="preserve">辅助材料（电容柜，</t>
    </r>
    <r>
      <rPr>
        <sz val="11"/>
        <rFont val="宋体"/>
        <family val="0"/>
      </rPr>
      <t xml:space="preserve">400kvar</t>
    </r>
    <r>
      <rPr>
        <sz val="11"/>
        <rFont val="宋体"/>
        <family val="0"/>
        <charset val="134"/>
      </rPr>
      <t xml:space="preserve">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</si>
  <si>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</si>
  <si>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</si>
  <si>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</si>
  <si>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</si>
  <si>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</si>
  <si>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</si>
  <si>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</si>
  <si>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</si>
  <si>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</si>
  <si>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</si>
  <si>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</si>
  <si>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</si>
  <si>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辅助材料（出线柜，</t>
    </r>
    <r>
      <rPr>
        <sz val="11"/>
        <rFont val="宋体"/>
        <family val="0"/>
      </rPr>
      <t xml:space="preserve">13</t>
    </r>
    <r>
      <rPr>
        <sz val="11"/>
        <rFont val="宋体"/>
        <family val="0"/>
        <charset val="134"/>
      </rPr>
      <t xml:space="preserve">路出线）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</si>
  <si>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:KYN28</t>
    </r>
  </si>
  <si>
    <t xml:space="preserve">柜体</t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</si>
  <si>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:KYN28(</t>
    </r>
    <r>
      <rPr>
        <sz val="11"/>
        <rFont val="宋体"/>
        <family val="0"/>
        <charset val="134"/>
      </rPr>
      <t xml:space="preserve">装</t>
    </r>
    <r>
      <rPr>
        <sz val="11"/>
        <rFont val="宋体"/>
        <family val="0"/>
      </rPr>
      <t xml:space="preserve">VD4)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</si>
  <si>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:HXGN15-12</t>
    </r>
    <r>
      <rPr>
        <sz val="11"/>
        <rFont val="宋体"/>
        <family val="0"/>
        <charset val="134"/>
      </rPr>
      <t xml:space="preserve">（</t>
    </r>
    <r>
      <rPr>
        <sz val="11"/>
        <rFont val="宋体"/>
        <family val="0"/>
      </rPr>
      <t xml:space="preserve">500</t>
    </r>
    <r>
      <rPr>
        <sz val="11"/>
        <rFont val="宋体"/>
        <family val="0"/>
        <charset val="134"/>
      </rPr>
      <t xml:space="preserve">宽）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</si>
  <si>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:HXGN15-12</t>
    </r>
    <r>
      <rPr>
        <sz val="11"/>
        <rFont val="宋体"/>
        <family val="0"/>
        <charset val="134"/>
      </rPr>
      <t xml:space="preserve">（</t>
    </r>
    <r>
      <rPr>
        <sz val="11"/>
        <rFont val="宋体"/>
        <family val="0"/>
      </rPr>
      <t xml:space="preserve">700</t>
    </r>
    <r>
      <rPr>
        <sz val="11"/>
        <rFont val="宋体"/>
        <family val="0"/>
        <charset val="134"/>
      </rPr>
      <t xml:space="preserve">宽）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</si>
  <si>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:GGD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</si>
  <si>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:GGD</t>
    </r>
    <r>
      <rPr>
        <sz val="11"/>
        <rFont val="宋体"/>
        <family val="0"/>
        <charset val="134"/>
      </rPr>
      <t xml:space="preserve">（箱变内）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</si>
  <si>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总柜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</si>
  <si>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电容柜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</si>
  <si>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</si>
  <si>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</si>
  <si>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</si>
  <si>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</si>
  <si>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</si>
  <si>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</si>
  <si>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</si>
  <si>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</si>
  <si>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</si>
  <si>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</si>
  <si>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</si>
  <si>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</si>
  <si>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联络柜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</si>
  <si>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总柜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</si>
  <si>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电容柜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</si>
  <si>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</si>
  <si>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</si>
  <si>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</si>
  <si>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</si>
  <si>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</si>
  <si>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</si>
  <si>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</si>
  <si>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</si>
  <si>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</si>
  <si>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</si>
  <si>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</si>
  <si>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</si>
  <si>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:MD190(</t>
    </r>
    <r>
      <rPr>
        <sz val="11"/>
        <rFont val="宋体"/>
        <family val="0"/>
        <charset val="134"/>
      </rPr>
      <t xml:space="preserve">联络柜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</si>
  <si>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总柜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</si>
  <si>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电容柜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</si>
  <si>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</si>
  <si>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</si>
  <si>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</si>
  <si>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</si>
  <si>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</si>
  <si>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</si>
  <si>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</si>
  <si>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</si>
  <si>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</si>
  <si>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</si>
  <si>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</si>
  <si>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</si>
  <si>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联络柜</t>
    </r>
    <r>
      <rPr>
        <sz val="11"/>
        <rFont val="宋体"/>
        <family val="0"/>
      </rPr>
      <t xml:space="preserve">950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</si>
  <si>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总柜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</si>
  <si>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电容柜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</si>
  <si>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</si>
  <si>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</si>
  <si>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</si>
  <si>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</si>
  <si>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</si>
  <si>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</si>
  <si>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</si>
  <si>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</si>
  <si>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</si>
  <si>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</si>
  <si>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</si>
  <si>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出线柜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深、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</si>
  <si>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:8PT(</t>
    </r>
    <r>
      <rPr>
        <sz val="11"/>
        <rFont val="宋体"/>
        <family val="0"/>
        <charset val="134"/>
      </rPr>
      <t xml:space="preserve">联络柜</t>
    </r>
    <r>
      <rPr>
        <sz val="11"/>
        <rFont val="宋体"/>
        <family val="0"/>
      </rPr>
      <t xml:space="preserve">1140</t>
    </r>
    <r>
      <rPr>
        <sz val="11"/>
        <rFont val="宋体"/>
        <family val="0"/>
        <charset val="134"/>
      </rPr>
      <t xml:space="preserve">深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</si>
  <si>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</si>
  <si>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总柜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</si>
  <si>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电容柜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</si>
  <si>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联络柜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</si>
  <si>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</si>
  <si>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</si>
  <si>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</si>
  <si>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</si>
  <si>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</si>
  <si>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</si>
  <si>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</si>
  <si>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</si>
  <si>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</si>
  <si>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</si>
  <si>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</si>
  <si>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12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</si>
  <si>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出线抽屉柜、</t>
    </r>
    <r>
      <rPr>
        <sz val="11"/>
        <rFont val="宋体"/>
        <family val="0"/>
      </rPr>
      <t xml:space="preserve">13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</si>
  <si>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</si>
  <si>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</si>
  <si>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</si>
  <si>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</si>
  <si>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</si>
  <si>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</si>
  <si>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</si>
  <si>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</si>
  <si>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</si>
  <si>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10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</si>
  <si>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:GCK(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11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</si>
  <si>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</si>
  <si>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</si>
  <si>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</si>
  <si>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</si>
  <si>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</si>
  <si>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</si>
  <si>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</si>
  <si>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</si>
  <si>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:Unimes(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</si>
  <si>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1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</si>
  <si>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2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</si>
  <si>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3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</si>
  <si>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4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</si>
  <si>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5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</si>
  <si>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6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</si>
  <si>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7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</si>
  <si>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8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</si>
  <si>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:MNS(</t>
    </r>
    <r>
      <rPr>
        <sz val="11"/>
        <rFont val="宋体"/>
        <family val="0"/>
        <charset val="134"/>
      </rPr>
      <t xml:space="preserve">出线固定分隔柜、</t>
    </r>
    <r>
      <rPr>
        <sz val="11"/>
        <rFont val="宋体"/>
        <family val="0"/>
      </rPr>
      <t xml:space="preserve">9</t>
    </r>
    <r>
      <rPr>
        <sz val="11"/>
        <rFont val="宋体"/>
        <family val="0"/>
        <charset val="134"/>
      </rPr>
      <t xml:space="preserve">路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</si>
  <si>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HSW1-3200H/R2500A/4P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</si>
  <si>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HSW1-3200H/R2500A/4P</t>
    </r>
    <r>
      <rPr>
        <sz val="11"/>
        <rFont val="宋体"/>
        <family val="0"/>
        <charset val="134"/>
      </rPr>
      <t xml:space="preserve">抽屉电动失压 三锁二钥匙</t>
    </r>
  </si>
  <si>
    <r>
      <rPr>
        <sz val="11"/>
        <rFont val="宋体"/>
        <family val="0"/>
      </rPr>
      <t xml:space="preserve">HSW1-2000H/R2000A/4P</t>
    </r>
    <r>
      <rPr>
        <sz val="11"/>
        <rFont val="宋体"/>
        <family val="0"/>
        <charset val="134"/>
      </rPr>
      <t xml:space="preserve">抽屉电动失压 三锁二钥匙</t>
    </r>
  </si>
  <si>
    <r>
      <rPr>
        <sz val="11"/>
        <rFont val="宋体"/>
        <family val="0"/>
      </rPr>
      <t xml:space="preserve">HSW1-1600H/R1000A/3P</t>
    </r>
    <r>
      <rPr>
        <sz val="11"/>
        <rFont val="宋体"/>
        <family val="0"/>
        <charset val="134"/>
      </rPr>
      <t xml:space="preserve">抽屉电动失压</t>
    </r>
  </si>
  <si>
    <r>
      <rPr>
        <sz val="11"/>
        <rFont val="宋体"/>
        <family val="0"/>
      </rPr>
      <t xml:space="preserve">HSW1-1600H/R1250A/3P</t>
    </r>
    <r>
      <rPr>
        <sz val="11"/>
        <rFont val="宋体"/>
        <family val="0"/>
        <charset val="134"/>
      </rPr>
      <t xml:space="preserve">抽屉电动失压</t>
    </r>
  </si>
  <si>
    <t xml:space="preserve">HSM1-125M/3300 63A</t>
  </si>
  <si>
    <t xml:space="preserve">HSM1-125M/3300 80A</t>
  </si>
  <si>
    <t xml:space="preserve">HSM1-125M/3300 100A</t>
  </si>
  <si>
    <t xml:space="preserve">HSM1-125M/3300 125A</t>
  </si>
  <si>
    <t xml:space="preserve">HSM1-160S/3300 160A</t>
  </si>
  <si>
    <t xml:space="preserve">HSM1-250S/3300 200A</t>
  </si>
  <si>
    <t xml:space="preserve">HSM1-250S/3300 250A</t>
  </si>
  <si>
    <t xml:space="preserve">HSM1-400S/3300 400A</t>
  </si>
  <si>
    <r>
      <rPr>
        <sz val="11"/>
        <rFont val="宋体"/>
        <family val="0"/>
      </rPr>
      <t xml:space="preserve">HSM1-400S/3300 400A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</si>
  <si>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HSW1-1600M/R1250A/3P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</si>
  <si>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HSW1-1600M/R1000A/3P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</si>
  <si>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HSW1-1600M/R800A/3P</t>
    </r>
    <r>
      <rPr>
        <sz val="11"/>
        <rFont val="宋体"/>
        <family val="0"/>
        <charset val="134"/>
      </rPr>
      <t xml:space="preserve">抽屉电动</t>
    </r>
  </si>
  <si>
    <r>
      <rPr>
        <sz val="11"/>
        <rFont val="宋体"/>
        <family val="0"/>
      </rPr>
      <t xml:space="preserve">HSW1-1600M/R630A/3P</t>
    </r>
    <r>
      <rPr>
        <sz val="11"/>
        <rFont val="宋体"/>
        <family val="0"/>
        <charset val="134"/>
      </rPr>
      <t xml:space="preserve">抽屉电动</t>
    </r>
  </si>
  <si>
    <r>
      <rPr>
        <sz val="12"/>
        <rFont val="宋体"/>
        <family val="0"/>
      </rPr>
      <t xml:space="preserve">VL-12E 1250-31.5</t>
    </r>
    <r>
      <rPr>
        <sz val="12"/>
        <rFont val="宋体"/>
        <family val="0"/>
        <charset val="134"/>
      </rPr>
      <t xml:space="preserve">手车式</t>
    </r>
  </si>
  <si>
    <r>
      <rPr>
        <sz val="12"/>
        <rFont val="宋体"/>
        <family val="0"/>
        <charset val="134"/>
      </rPr>
      <t xml:space="preserve">德国</t>
    </r>
    <r>
      <rPr>
        <sz val="12"/>
        <rFont val="宋体"/>
        <family val="0"/>
      </rPr>
      <t xml:space="preserve">/AEG</t>
    </r>
  </si>
  <si>
    <r>
      <rPr>
        <sz val="12"/>
        <rFont val="宋体"/>
        <family val="0"/>
      </rPr>
      <t xml:space="preserve">VL-12E 1250-25</t>
    </r>
    <r>
      <rPr>
        <sz val="12"/>
        <rFont val="宋体"/>
        <family val="0"/>
        <charset val="134"/>
      </rPr>
      <t xml:space="preserve">手车式</t>
    </r>
  </si>
  <si>
    <r>
      <rPr>
        <sz val="12"/>
        <rFont val="宋体"/>
        <family val="0"/>
      </rPr>
      <t xml:space="preserve">VL-12E 630-25</t>
    </r>
    <r>
      <rPr>
        <sz val="12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</si>
  <si>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NDW1-4000C/3200A 3M </t>
    </r>
    <r>
      <rPr>
        <sz val="11"/>
        <rFont val="宋体"/>
        <family val="0"/>
        <charset val="134"/>
      </rPr>
      <t xml:space="preserve">电动欠压</t>
    </r>
    <r>
      <rPr>
        <sz val="11"/>
        <rFont val="宋体"/>
        <family val="0"/>
      </rPr>
      <t xml:space="preserve">+</t>
    </r>
    <r>
      <rPr>
        <sz val="11"/>
        <rFont val="宋体"/>
        <family val="0"/>
        <charset val="134"/>
      </rPr>
      <t xml:space="preserve">四段保护</t>
    </r>
  </si>
  <si>
    <t xml:space="preserve">LBG30-P7/400</t>
  </si>
  <si>
    <t xml:space="preserve">WGK-31-501/10A</t>
  </si>
  <si>
    <r>
      <rPr>
        <sz val="11"/>
        <rFont val="宋体"/>
        <family val="0"/>
      </rPr>
      <t xml:space="preserve">VG1-12 630-25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</si>
  <si>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ZW1-2000/4P M 1600A </t>
    </r>
    <r>
      <rPr>
        <sz val="11"/>
        <rFont val="宋体"/>
        <family val="0"/>
        <charset val="134"/>
      </rPr>
      <t xml:space="preserve">电动抽屉欠压</t>
    </r>
  </si>
  <si>
    <t xml:space="preserve">SM40-63S/3300 50A</t>
  </si>
  <si>
    <t xml:space="preserve">SM40-100C/3300 40A</t>
  </si>
  <si>
    <t xml:space="preserve">SM40-100C/3300 50A</t>
  </si>
  <si>
    <t xml:space="preserve">SM40-100C/3300 63A</t>
  </si>
  <si>
    <t xml:space="preserve">SM40-100C/3300 80A</t>
  </si>
  <si>
    <t xml:space="preserve">SM40-250C/3300 125A</t>
  </si>
  <si>
    <t xml:space="preserve">SM40-250C/3300 140A</t>
  </si>
  <si>
    <t xml:space="preserve">SM40-250C/3300 180A</t>
  </si>
  <si>
    <t xml:space="preserve">SM40-250C/3300 200A</t>
  </si>
  <si>
    <t xml:space="preserve">SM40-400C/3300 315A</t>
  </si>
  <si>
    <t xml:space="preserve">HBD380-M14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</si>
  <si>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纳宇</t>
    </r>
  </si>
  <si>
    <t xml:space="preserve">DT5-2*100V/G </t>
  </si>
  <si>
    <t xml:space="preserve">ZU30-80kA/40kA-4P-420V</t>
  </si>
  <si>
    <r>
      <rPr>
        <sz val="11"/>
        <rFont val="宋体"/>
        <family val="0"/>
      </rPr>
      <t xml:space="preserve">TLW1-1600/4P L4 1250A </t>
    </r>
    <r>
      <rPr>
        <sz val="11"/>
        <rFont val="宋体"/>
        <family val="0"/>
        <charset val="134"/>
      </rPr>
      <t xml:space="preserve">电动抽屉欠压</t>
    </r>
  </si>
  <si>
    <t xml:space="preserve">罗格朗</t>
  </si>
  <si>
    <r>
      <rPr>
        <sz val="11"/>
        <rFont val="宋体"/>
        <family val="0"/>
      </rPr>
      <t xml:space="preserve">TLW1-1600/4P L4 1600A </t>
    </r>
    <r>
      <rPr>
        <sz val="11"/>
        <rFont val="宋体"/>
        <family val="0"/>
        <charset val="134"/>
      </rPr>
      <t xml:space="preserve">电动抽屉欠压</t>
    </r>
  </si>
  <si>
    <t xml:space="preserve">T1N 160 TMD R32 FFC 3P</t>
  </si>
  <si>
    <r>
      <rPr>
        <sz val="12"/>
        <rFont val="黑体"/>
        <family val="3"/>
        <charset val="134"/>
      </rPr>
      <t xml:space="preserve">新会</t>
    </r>
    <r>
      <rPr>
        <sz val="12"/>
        <rFont val="黑体"/>
        <family val="3"/>
      </rPr>
      <t xml:space="preserve">/ABB</t>
    </r>
  </si>
  <si>
    <t xml:space="preserve">T2N 160 TMD R125 FFCL 3P</t>
  </si>
  <si>
    <t xml:space="preserve">T3N 250 TMD R200 FFCL 3P</t>
  </si>
  <si>
    <t xml:space="preserve">T3N 250 TMD R250 FFCL 3P</t>
  </si>
  <si>
    <t xml:space="preserve">T5N 400 TMA R400 FF 3P</t>
  </si>
  <si>
    <t xml:space="preserve">T1N 160 TMD R63 FFC 3P</t>
  </si>
  <si>
    <t xml:space="preserve">T3N 250 TMD R80 FFCL 3P</t>
  </si>
  <si>
    <t xml:space="preserve">T3N 250 TMD R63 FFCL 3P</t>
  </si>
  <si>
    <t xml:space="preserve">T3N 250 TMD R160 FFCL 3P</t>
  </si>
  <si>
    <t xml:space="preserve">T5N 400 TMA R320 FF 3P</t>
  </si>
  <si>
    <t xml:space="preserve">T1N 160 TMD R80 FFC 3P</t>
  </si>
  <si>
    <t xml:space="preserve">T1N 160 TMD R125 FFC 3P</t>
  </si>
  <si>
    <t xml:space="preserve">T3N 250 TMD R100 FFCL 3P</t>
  </si>
  <si>
    <t xml:space="preserve">T1N 160 TMD R100 FFC 3P</t>
  </si>
  <si>
    <t xml:space="preserve">T1N 160 TMD R40 FFC 3P</t>
  </si>
  <si>
    <t xml:space="preserve">T1N 160 TMD R160 FFC 3P</t>
  </si>
  <si>
    <t xml:space="preserve">T3N 250 TMD R125 FFCL 3P</t>
  </si>
  <si>
    <t xml:space="preserve">T5H 630 TMA R500 FF 3P</t>
  </si>
  <si>
    <t xml:space="preserve">T1N 160 TMD R50 FFC 3P</t>
  </si>
  <si>
    <t xml:space="preserve">T5S 400 TMA R320 FF 3P</t>
  </si>
  <si>
    <t xml:space="preserve">T5S 400 TMA R400 FF 3P</t>
  </si>
  <si>
    <t xml:space="preserve">T3S 250 TMD R200 FFCL 3P</t>
  </si>
  <si>
    <t xml:space="preserve">T3S 250 TMD R250 FFCL 3P</t>
  </si>
  <si>
    <t xml:space="preserve">MC6200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</si>
  <si>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美格</t>
    </r>
  </si>
  <si>
    <t xml:space="preserve">JTSC/40-480-3P+JTSR/28-400-7</t>
  </si>
  <si>
    <t xml:space="preserve">JTSC/25-480-3P+JTSR/17-400-7</t>
  </si>
  <si>
    <t xml:space="preserve">JTKL-12</t>
  </si>
  <si>
    <t xml:space="preserve">FST-BSMJ-0.48-40+FST-CKSG-2.8/0.48-7%</t>
  </si>
  <si>
    <t xml:space="preserve">FST-BSMJ-0.48-50+FST-CKSG-3.5/0.48-7%</t>
  </si>
  <si>
    <t xml:space="preserve">FST-BSMJ-0.48-25+FST-CKSG-1.75/0.48-7%</t>
  </si>
  <si>
    <t xml:space="preserve">FST-FT(K)</t>
  </si>
  <si>
    <t xml:space="preserve">OVR T1-25-440-50</t>
  </si>
  <si>
    <r>
      <rPr>
        <sz val="12"/>
        <rFont val="黑体"/>
        <family val="3"/>
        <charset val="134"/>
      </rPr>
      <t xml:space="preserve">北京</t>
    </r>
    <r>
      <rPr>
        <sz val="12"/>
        <rFont val="黑体"/>
        <family val="3"/>
      </rPr>
      <t xml:space="preserve">/ABB</t>
    </r>
  </si>
  <si>
    <t xml:space="preserve">CL2-523</t>
  </si>
  <si>
    <t xml:space="preserve">C P1-10R-10</t>
  </si>
  <si>
    <t xml:space="preserve">按钮</t>
  </si>
  <si>
    <t xml:space="preserve">NLGL-125A/4P</t>
  </si>
  <si>
    <t xml:space="preserve">双投开关</t>
  </si>
  <si>
    <t xml:space="preserve">LQG-0.66 1500/5 0.2S</t>
  </si>
  <si>
    <t xml:space="preserve">LQG-0.66 1000/5 0.2S</t>
  </si>
  <si>
    <t xml:space="preserve">LZZBJ9-10 /5A  0.5/B</t>
  </si>
  <si>
    <r>
      <rPr>
        <sz val="11"/>
        <rFont val="宋体"/>
        <family val="0"/>
      </rPr>
      <t xml:space="preserve">LZZBJ9-10 /5A  0.2S</t>
    </r>
    <r>
      <rPr>
        <sz val="11"/>
        <rFont val="宋体"/>
        <family val="0"/>
        <charset val="134"/>
      </rPr>
      <t xml:space="preserve">级</t>
    </r>
  </si>
  <si>
    <r>
      <rPr>
        <sz val="11"/>
        <rFont val="宋体"/>
        <family val="0"/>
      </rPr>
      <t xml:space="preserve">JDZ10-10 10/0.1 0.2</t>
    </r>
    <r>
      <rPr>
        <sz val="11"/>
        <rFont val="宋体"/>
        <family val="0"/>
        <charset val="134"/>
      </rPr>
      <t xml:space="preserve">级</t>
    </r>
  </si>
  <si>
    <t xml:space="preserve">JDZ10-10 10/0.1</t>
  </si>
  <si>
    <t xml:space="preserve">LMZ1-0.5 1500/5</t>
  </si>
  <si>
    <t xml:space="preserve">LMZ1-0.5 400/5</t>
  </si>
  <si>
    <t xml:space="preserve">LMZ1-0.5 600/5</t>
  </si>
  <si>
    <t xml:space="preserve">LMZ1-0.5 800/5</t>
  </si>
  <si>
    <t xml:space="preserve">LMZ1-0.5 1000/5</t>
  </si>
  <si>
    <t xml:space="preserve">LMZ1-0.5 2000/5</t>
  </si>
  <si>
    <t xml:space="preserve">ED09E3Y</t>
  </si>
  <si>
    <t xml:space="preserve">ED07E3Y</t>
  </si>
  <si>
    <r>
      <rPr>
        <sz val="11"/>
        <rFont val="宋体"/>
        <family val="0"/>
      </rPr>
      <t xml:space="preserve">MT16 H1 4P D/O+MIC 6.0A R1250A </t>
    </r>
    <r>
      <rPr>
        <sz val="11"/>
        <rFont val="宋体"/>
        <family val="0"/>
        <charset val="134"/>
      </rPr>
      <t xml:space="preserve">欠压 三锁二钥匙</t>
    </r>
  </si>
  <si>
    <r>
      <rPr>
        <sz val="11"/>
        <rFont val="宋体"/>
        <family val="0"/>
      </rPr>
      <t xml:space="preserve">MT16 H1 4P D/O+MIC 6.0A R1600A </t>
    </r>
    <r>
      <rPr>
        <sz val="11"/>
        <rFont val="宋体"/>
        <family val="0"/>
        <charset val="134"/>
      </rPr>
      <t xml:space="preserve">欠压 三锁二钥匙</t>
    </r>
  </si>
  <si>
    <r>
      <rPr>
        <sz val="11"/>
        <rFont val="宋体"/>
        <family val="0"/>
      </rPr>
      <t xml:space="preserve">MT16 H1 4P D/O+MIC 5.0A R1250A </t>
    </r>
    <r>
      <rPr>
        <sz val="11"/>
        <rFont val="宋体"/>
        <family val="0"/>
        <charset val="134"/>
      </rPr>
      <t xml:space="preserve">欠压 三锁二钥匙</t>
    </r>
  </si>
  <si>
    <r>
      <rPr>
        <sz val="11"/>
        <rFont val="宋体"/>
        <family val="0"/>
      </rPr>
      <t xml:space="preserve">E2N2000 R1250 PR122/P-LSI WHR 3P </t>
    </r>
    <r>
      <rPr>
        <sz val="11"/>
        <rFont val="宋体"/>
        <family val="0"/>
        <charset val="134"/>
      </rPr>
      <t xml:space="preserve">三锁二钥匙</t>
    </r>
  </si>
  <si>
    <r>
      <rPr>
        <sz val="12"/>
        <rFont val="黑体"/>
        <family val="3"/>
        <charset val="134"/>
      </rPr>
      <t xml:space="preserve">厦门</t>
    </r>
    <r>
      <rPr>
        <sz val="12"/>
        <rFont val="黑体"/>
        <family val="3"/>
      </rPr>
      <t xml:space="preserve">/ABB</t>
    </r>
  </si>
  <si>
    <t xml:space="preserve">E1N800 R800 PR122/P-LSI WHR 3P</t>
  </si>
  <si>
    <t xml:space="preserve">E1N800 R630 PR122/P-LSI WHR 3P</t>
  </si>
  <si>
    <t xml:space="preserve">E1N800 R400 PR122/P-LSI WHR 3P</t>
  </si>
  <si>
    <t xml:space="preserve">NRXC0.48-25-3+NRXL-1.75/0.48-7</t>
  </si>
  <si>
    <t xml:space="preserve">NRXC0.48-50-3+NRXL-3.5/0.48-7</t>
  </si>
  <si>
    <t xml:space="preserve">NRXC0.48-40-3+NRXL-2.8/0.48-7</t>
  </si>
  <si>
    <t xml:space="preserve">RT16-000 63A</t>
  </si>
  <si>
    <t xml:space="preserve">NRXK-12A</t>
  </si>
  <si>
    <t xml:space="preserve">NRXC0.28-10-3Y+NRXL-0.23/0.28-7*3</t>
  </si>
  <si>
    <r>
      <rPr>
        <sz val="11"/>
        <rFont val="宋体"/>
        <family val="0"/>
      </rPr>
      <t xml:space="preserve">TLW1-2000/4P M 1600A </t>
    </r>
    <r>
      <rPr>
        <sz val="11"/>
        <rFont val="宋体"/>
        <family val="0"/>
        <charset val="134"/>
      </rPr>
      <t xml:space="preserve">抽屉式 欠压 三锁二钥匙</t>
    </r>
  </si>
  <si>
    <t xml:space="preserve">TLM1S-160 125A/3300</t>
  </si>
  <si>
    <t xml:space="preserve">TLM1S-250 200A/3300</t>
  </si>
  <si>
    <t xml:space="preserve">TLM1S-250 250A/3300</t>
  </si>
  <si>
    <t xml:space="preserve">TLM1S-400 315A/3300</t>
  </si>
  <si>
    <r>
      <rPr>
        <sz val="11"/>
        <rFont val="宋体"/>
        <family val="0"/>
      </rPr>
      <t xml:space="preserve">GSP-I/50/3P</t>
    </r>
    <r>
      <rPr>
        <sz val="11"/>
        <rFont val="宋体"/>
        <family val="0"/>
        <charset val="134"/>
      </rPr>
      <t xml:space="preserve">＋</t>
    </r>
    <r>
      <rPr>
        <sz val="11"/>
        <rFont val="宋体"/>
        <family val="0"/>
      </rPr>
      <t xml:space="preserve">N</t>
    </r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</si>
  <si>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高盛</t>
    </r>
  </si>
  <si>
    <t xml:space="preserve">AS-63/3P C32A</t>
  </si>
  <si>
    <t xml:space="preserve">OS400D03P</t>
  </si>
  <si>
    <t xml:space="preserve">ABB</t>
  </si>
  <si>
    <t xml:space="preserve">OS800D03P</t>
  </si>
  <si>
    <r>
      <rPr>
        <sz val="11"/>
        <rFont val="宋体"/>
        <family val="0"/>
      </rPr>
      <t xml:space="preserve">HWAN320PDF2CC2A0A0 </t>
    </r>
    <r>
      <rPr>
        <sz val="11"/>
        <rFont val="宋体"/>
        <family val="0"/>
        <charset val="134"/>
      </rPr>
      <t xml:space="preserve">三锁二钥匙</t>
    </r>
  </si>
  <si>
    <t xml:space="preserve">HWAH306PDF1CC2A0A0</t>
  </si>
  <si>
    <r>
      <rPr>
        <sz val="11"/>
        <rFont val="宋体"/>
        <family val="0"/>
      </rPr>
      <t xml:space="preserve">HKG400LSI </t>
    </r>
    <r>
      <rPr>
        <sz val="11"/>
        <rFont val="宋体"/>
        <family val="0"/>
        <charset val="134"/>
      </rPr>
      <t xml:space="preserve">分励辅助 手操 插入式</t>
    </r>
  </si>
  <si>
    <t xml:space="preserve">HNF125</t>
  </si>
  <si>
    <t xml:space="preserve">LMZ4D-ZTNI 1500/5 0.2S</t>
  </si>
  <si>
    <t xml:space="preserve">RT16-63A</t>
  </si>
  <si>
    <t xml:space="preserve">RT16-50A</t>
  </si>
  <si>
    <t xml:space="preserve">RT16-125A</t>
  </si>
  <si>
    <t xml:space="preserve">ED09U3Y</t>
  </si>
  <si>
    <t xml:space="preserve">RT16-000 80A</t>
  </si>
  <si>
    <t xml:space="preserve">FLSK9300</t>
  </si>
  <si>
    <t xml:space="preserve">CJ19-95</t>
  </si>
  <si>
    <t xml:space="preserve">正泰</t>
  </si>
  <si>
    <r>
      <rPr>
        <sz val="11"/>
        <rFont val="宋体"/>
        <family val="0"/>
      </rPr>
      <t xml:space="preserve">RMW1-2000/4P 2000A bse4 </t>
    </r>
    <r>
      <rPr>
        <sz val="11"/>
        <rFont val="宋体"/>
        <family val="0"/>
        <charset val="134"/>
      </rPr>
      <t xml:space="preserve">二锁一钥匙 失压</t>
    </r>
  </si>
  <si>
    <r>
      <rPr>
        <sz val="11"/>
        <rFont val="宋体"/>
        <family val="0"/>
      </rPr>
      <t xml:space="preserve">RMM1-100H/3340 32A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</si>
  <si>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RMM1-100H/3340 63A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</si>
  <si>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RMM1-160H/3340 100A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</si>
  <si>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RMM1-160H/3340 160A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</si>
  <si>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RMM1-250H/3340 180A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</si>
  <si>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RMM1-250H/3340 200A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</si>
  <si>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RMM1-250H/3340 250A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</si>
  <si>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RMM1-400S/3340 315A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</si>
  <si>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RMM1-400S/3340 350A </t>
    </r>
    <r>
      <rPr>
        <sz val="11"/>
        <rFont val="宋体"/>
        <family val="0"/>
        <charset val="134"/>
      </rPr>
      <t xml:space="preserve">插入式</t>
    </r>
  </si>
  <si>
    <r>
      <rPr>
        <sz val="11"/>
        <rFont val="宋体"/>
        <family val="0"/>
      </rPr>
      <t xml:space="preserve">RMM1-400S/3340 400A </t>
    </r>
    <r>
      <rPr>
        <sz val="11"/>
        <rFont val="宋体"/>
        <family val="0"/>
        <charset val="134"/>
      </rPr>
      <t xml:space="preserve">插入式</t>
    </r>
  </si>
  <si>
    <t xml:space="preserve">RMC1-63 C25/1P</t>
  </si>
  <si>
    <t xml:space="preserve">RMC1-63 C16/2P</t>
  </si>
  <si>
    <t xml:space="preserve">RMC1-63 C40/3P</t>
  </si>
  <si>
    <t xml:space="preserve">RMC1-63 C63/4P</t>
  </si>
  <si>
    <t xml:space="preserve">CTB-4</t>
  </si>
  <si>
    <r>
      <rPr>
        <sz val="12"/>
        <rFont val="黑体"/>
        <family val="3"/>
        <charset val="134"/>
      </rPr>
      <t xml:space="preserve">合肥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康德</t>
    </r>
  </si>
  <si>
    <t xml:space="preserve">LS2-BC-25</t>
  </si>
  <si>
    <r>
      <rPr>
        <sz val="12"/>
        <rFont val="黑体"/>
        <family val="3"/>
        <charset val="134"/>
      </rPr>
      <t xml:space="preserve">上海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易雷斯</t>
    </r>
  </si>
  <si>
    <t xml:space="preserve">专变</t>
  </si>
  <si>
    <t xml:space="preserve">1250A</t>
  </si>
  <si>
    <t xml:space="preserve">隔离手车</t>
  </si>
  <si>
    <t xml:space="preserve">海越配套</t>
  </si>
  <si>
    <t xml:space="preserve">630A</t>
  </si>
  <si>
    <r>
      <rPr>
        <sz val="11"/>
        <rFont val="宋体"/>
        <family val="0"/>
      </rPr>
      <t xml:space="preserve">CW1-2000CM/4P-1250A</t>
    </r>
    <r>
      <rPr>
        <sz val="11"/>
        <rFont val="宋体"/>
        <family val="0"/>
        <charset val="134"/>
      </rPr>
      <t xml:space="preserve">电动抽屉式 欠压 三锁二钥匙</t>
    </r>
  </si>
  <si>
    <t xml:space="preserve">CH3N-63/3P C32</t>
  </si>
  <si>
    <t xml:space="preserve">CH3N-63/3P C20</t>
  </si>
  <si>
    <t xml:space="preserve">CH3N-63/3P C63</t>
  </si>
  <si>
    <t xml:space="preserve">CH3N-63/2P C63</t>
  </si>
  <si>
    <t xml:space="preserve">CH3N-63/4P C63</t>
  </si>
  <si>
    <t xml:space="preserve">AD56-22</t>
  </si>
  <si>
    <r>
      <rPr>
        <sz val="12"/>
        <rFont val="黑体"/>
        <family val="3"/>
        <charset val="134"/>
      </rPr>
      <t xml:space="preserve">江苏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双科</t>
    </r>
  </si>
  <si>
    <t xml:space="preserve">LAY50-22</t>
  </si>
  <si>
    <t xml:space="preserve">NLGLZ-125A/4P</t>
  </si>
  <si>
    <t xml:space="preserve">RMC3-6A/3P</t>
  </si>
  <si>
    <t xml:space="preserve">RMC3-6A/2P</t>
  </si>
  <si>
    <t xml:space="preserve">FLDY-15I/4P</t>
  </si>
  <si>
    <r>
      <rPr>
        <sz val="12"/>
        <rFont val="黑体"/>
        <family val="3"/>
        <charset val="134"/>
      </rPr>
      <t xml:space="preserve">宁波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恒辉</t>
    </r>
  </si>
  <si>
    <t xml:space="preserve">成套费</t>
  </si>
  <si>
    <t xml:space="preserve">TB25-385C/4 FM</t>
  </si>
  <si>
    <r>
      <rPr>
        <sz val="12"/>
        <rFont val="黑体"/>
        <family val="3"/>
        <charset val="134"/>
      </rPr>
      <t xml:space="preserve">深圳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中鹏</t>
    </r>
  </si>
  <si>
    <t xml:space="preserve">TB15-385C/4 FM</t>
  </si>
  <si>
    <r>
      <rPr>
        <sz val="11"/>
        <rFont val="宋体"/>
        <family val="0"/>
      </rPr>
      <t xml:space="preserve">RMVS1-12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</si>
  <si>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RMVS1-12 630-25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</si>
  <si>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CV2-12X 1250-31.5</t>
    </r>
    <r>
      <rPr>
        <sz val="11"/>
        <rFont val="宋体"/>
        <family val="0"/>
        <charset val="134"/>
      </rPr>
      <t xml:space="preserve">手车式</t>
    </r>
  </si>
  <si>
    <t xml:space="preserve">常熟</t>
  </si>
  <si>
    <r>
      <rPr>
        <sz val="11"/>
        <rFont val="宋体"/>
        <family val="0"/>
      </rPr>
      <t xml:space="preserve">CV2-12X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</si>
  <si>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NDV1A-12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</si>
  <si>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NDV1A-12 630-25</t>
    </r>
    <r>
      <rPr>
        <sz val="11"/>
        <rFont val="宋体"/>
        <family val="0"/>
        <charset val="134"/>
      </rPr>
      <t xml:space="preserve">手车式</t>
    </r>
  </si>
  <si>
    <t xml:space="preserve">RMC3-63C/3P 6A</t>
  </si>
  <si>
    <t xml:space="preserve">RMC3-63C/2P 6A</t>
  </si>
  <si>
    <t xml:space="preserve">B85</t>
  </si>
  <si>
    <t xml:space="preserve">B65</t>
  </si>
  <si>
    <t xml:space="preserve">NDC1-185</t>
  </si>
  <si>
    <t xml:space="preserve">NDC1-115</t>
  </si>
  <si>
    <t xml:space="preserve">NDC1-95</t>
  </si>
  <si>
    <t xml:space="preserve">NDC1-80</t>
  </si>
  <si>
    <t xml:space="preserve">NDC1-65</t>
  </si>
  <si>
    <t xml:space="preserve">NDC1-50</t>
  </si>
  <si>
    <t xml:space="preserve">CJX2-80</t>
  </si>
  <si>
    <t xml:space="preserve">环宇高科</t>
  </si>
  <si>
    <t xml:space="preserve">CJX2-65</t>
  </si>
  <si>
    <r>
      <rPr>
        <sz val="11"/>
        <rFont val="宋体"/>
        <family val="0"/>
      </rPr>
      <t xml:space="preserve">RMW1-1600/R1250A/4P</t>
    </r>
    <r>
      <rPr>
        <sz val="11"/>
        <rFont val="宋体"/>
        <family val="0"/>
        <charset val="134"/>
      </rPr>
      <t xml:space="preserve">抽屉电动延时欠压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</si>
  <si>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RMW1-3200S/R2500A/4P</t>
    </r>
    <r>
      <rPr>
        <sz val="11"/>
        <rFont val="宋体"/>
        <family val="0"/>
        <charset val="134"/>
      </rPr>
      <t xml:space="preserve">抽屉电动延时欠压</t>
    </r>
    <r>
      <rPr>
        <sz val="11"/>
        <rFont val="宋体"/>
        <family val="0"/>
      </rPr>
      <t xml:space="preserve">bse4</t>
    </r>
  </si>
  <si>
    <r>
      <rPr>
        <sz val="11"/>
        <rFont val="宋体"/>
        <family val="0"/>
      </rPr>
      <t xml:space="preserve">CW1-1600/4P-1250A M</t>
    </r>
    <r>
      <rPr>
        <sz val="11"/>
        <rFont val="宋体"/>
        <family val="0"/>
        <charset val="134"/>
      </rPr>
      <t xml:space="preserve">型 抽屉电动延时欠压</t>
    </r>
  </si>
  <si>
    <r>
      <rPr>
        <sz val="11"/>
        <rFont val="宋体"/>
        <family val="0"/>
      </rPr>
      <t xml:space="preserve">CW1-3200C/4P-2500A M</t>
    </r>
    <r>
      <rPr>
        <sz val="11"/>
        <rFont val="宋体"/>
        <family val="0"/>
        <charset val="134"/>
      </rPr>
      <t xml:space="preserve">型 抽屉电动延时欠压</t>
    </r>
  </si>
  <si>
    <r>
      <rPr>
        <sz val="11"/>
        <rFont val="宋体"/>
        <family val="0"/>
      </rPr>
      <t xml:space="preserve">NDW1A-1600/4P-1000A KY </t>
    </r>
    <r>
      <rPr>
        <sz val="11"/>
        <rFont val="宋体"/>
        <family val="0"/>
        <charset val="134"/>
      </rPr>
      <t xml:space="preserve">抽屉电动延时欠压</t>
    </r>
  </si>
  <si>
    <r>
      <rPr>
        <sz val="11"/>
        <rFont val="宋体"/>
        <family val="0"/>
      </rPr>
      <t xml:space="preserve">NDW1A-1600/4P-1250A KY </t>
    </r>
    <r>
      <rPr>
        <sz val="11"/>
        <rFont val="宋体"/>
        <family val="0"/>
        <charset val="134"/>
      </rPr>
      <t xml:space="preserve">抽屉电动延时欠压</t>
    </r>
  </si>
  <si>
    <r>
      <rPr>
        <sz val="11"/>
        <rFont val="宋体"/>
        <family val="0"/>
      </rPr>
      <t xml:space="preserve">NDW1A-3200/4P-2500A KY </t>
    </r>
    <r>
      <rPr>
        <sz val="11"/>
        <rFont val="宋体"/>
        <family val="0"/>
        <charset val="134"/>
      </rPr>
      <t xml:space="preserve">抽屉电动延时欠压</t>
    </r>
  </si>
  <si>
    <r>
      <rPr>
        <sz val="11"/>
        <rFont val="宋体"/>
        <family val="0"/>
      </rPr>
      <t xml:space="preserve">NDW1A-40C/40/4/KY </t>
    </r>
    <r>
      <rPr>
        <sz val="11"/>
        <rFont val="宋体"/>
        <family val="0"/>
        <charset val="134"/>
      </rPr>
      <t xml:space="preserve">抽屉电动延时欠压</t>
    </r>
  </si>
  <si>
    <r>
      <rPr>
        <sz val="11"/>
        <rFont val="宋体"/>
        <family val="0"/>
      </rPr>
      <t xml:space="preserve">NDW1A-20C/20/4/KY </t>
    </r>
    <r>
      <rPr>
        <sz val="11"/>
        <rFont val="宋体"/>
        <family val="0"/>
        <charset val="134"/>
      </rPr>
      <t xml:space="preserve">抽屉电动延时欠压</t>
    </r>
  </si>
  <si>
    <r>
      <rPr>
        <sz val="11"/>
        <rFont val="宋体"/>
        <family val="0"/>
      </rPr>
      <t xml:space="preserve">NDW1A-16C/12/4/KY </t>
    </r>
    <r>
      <rPr>
        <sz val="11"/>
        <rFont val="宋体"/>
        <family val="0"/>
        <charset val="134"/>
      </rPr>
      <t xml:space="preserve">抽屉电动延时欠压</t>
    </r>
  </si>
  <si>
    <t xml:space="preserve">NDM2-125M/3 32A</t>
  </si>
  <si>
    <t xml:space="preserve">NDM2-125M/3 50A</t>
  </si>
  <si>
    <t xml:space="preserve">NDM2-125M/3 63A</t>
  </si>
  <si>
    <t xml:space="preserve">NDM2-125M/3 80A</t>
  </si>
  <si>
    <t xml:space="preserve">NDM2-125M/3 100A</t>
  </si>
  <si>
    <t xml:space="preserve">NDM2-250L/3 125A</t>
  </si>
  <si>
    <t xml:space="preserve">NDM2-250L/3 160A</t>
  </si>
  <si>
    <t xml:space="preserve">NDM2-250L/3 200A</t>
  </si>
  <si>
    <t xml:space="preserve">NDM2-250L/3 225A</t>
  </si>
  <si>
    <t xml:space="preserve">NDM2-250L/3 250A</t>
  </si>
  <si>
    <t xml:space="preserve">NDM2-400C/3 315A</t>
  </si>
  <si>
    <t xml:space="preserve">NDM2-400C/3 350A</t>
  </si>
  <si>
    <t xml:space="preserve">NDM2-400C/3 400A</t>
  </si>
  <si>
    <t xml:space="preserve">NDM2-630C/3 500A</t>
  </si>
  <si>
    <t xml:space="preserve">NDM2-630C/3 630A</t>
  </si>
  <si>
    <t xml:space="preserve">CM3-63L/3340 32A</t>
  </si>
  <si>
    <t xml:space="preserve">CM3-63L/3340 40A</t>
  </si>
  <si>
    <t xml:space="preserve">CM3-63L/3340 50A</t>
  </si>
  <si>
    <t xml:space="preserve">CM3-63L/3340 63A</t>
  </si>
  <si>
    <t xml:space="preserve">CM3-100C/3340 80A</t>
  </si>
  <si>
    <t xml:space="preserve">CM3-250C/3340 125A</t>
  </si>
  <si>
    <t xml:space="preserve">CM3-250C/3340 160A</t>
  </si>
  <si>
    <t xml:space="preserve">CM3-250C/3340 200A</t>
  </si>
  <si>
    <t xml:space="preserve">CM3-250C/3340 250A</t>
  </si>
  <si>
    <t xml:space="preserve">CM3-400C/3340 315A</t>
  </si>
  <si>
    <t xml:space="preserve">CM3-400C/3340 350A</t>
  </si>
  <si>
    <t xml:space="preserve">CM3-400C/3340 400A</t>
  </si>
  <si>
    <t xml:space="preserve">CM3-630C/3340 500A</t>
  </si>
  <si>
    <t xml:space="preserve">CM3-630C/3340 630A</t>
  </si>
  <si>
    <t xml:space="preserve">YTK9100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</si>
  <si>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盈图</t>
    </r>
  </si>
  <si>
    <t xml:space="preserve">SMC6602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</si>
  <si>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圣迈</t>
    </r>
  </si>
  <si>
    <t xml:space="preserve">NDB1-63 C6/3</t>
  </si>
  <si>
    <t xml:space="preserve">NDB1-63 C6/2</t>
  </si>
  <si>
    <t xml:space="preserve">NDB1-63 C63/3</t>
  </si>
  <si>
    <t xml:space="preserve">NDB1-63 C63/4</t>
  </si>
  <si>
    <t xml:space="preserve">MGP721G</t>
  </si>
  <si>
    <t xml:space="preserve">MGP725G</t>
  </si>
  <si>
    <t xml:space="preserve">MC9600N</t>
  </si>
  <si>
    <t xml:space="preserve">KDP8201F</t>
  </si>
  <si>
    <r>
      <rPr>
        <sz val="12"/>
        <rFont val="黑体"/>
        <family val="3"/>
        <charset val="134"/>
      </rPr>
      <t xml:space="preserve">无锡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凯杰</t>
    </r>
  </si>
  <si>
    <t xml:space="preserve">KDP8234F</t>
  </si>
  <si>
    <t xml:space="preserve">KM9L-E3F</t>
  </si>
  <si>
    <t xml:space="preserve">KM8L-E3F</t>
  </si>
  <si>
    <t xml:space="preserve">NAD-6YAKMJ-0.48-40-3+NAD-6YCKS(L)G-2.8/0.48-7%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</si>
  <si>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南德</t>
    </r>
  </si>
  <si>
    <t xml:space="preserve">NAD-6YAKMJ-0.48-40-3*2+NAD-6YCKS(L)G-5.6/0.48-7%</t>
  </si>
  <si>
    <t xml:space="preserve">NAD-JKWC-12J</t>
  </si>
  <si>
    <t xml:space="preserve">ANJ-BSMJ0.48-30-3+ANJ-CKSG-2.1/0.48-7%</t>
  </si>
  <si>
    <t xml:space="preserve">ANJ-BSMJ0.48-40-3+ANJ-CKSG-2.8/0.48-7%</t>
  </si>
  <si>
    <t xml:space="preserve">ANJ-CKY12</t>
  </si>
  <si>
    <t xml:space="preserve">ANJ-BSMJ0.48-45-3+ANJ-CKSG-3.15/0.48-7%</t>
  </si>
  <si>
    <r>
      <rPr>
        <sz val="11"/>
        <rFont val="宋体"/>
        <family val="0"/>
      </rPr>
      <t xml:space="preserve">HVX-12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</si>
  <si>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HVX-12 630-25</t>
    </r>
    <r>
      <rPr>
        <sz val="11"/>
        <rFont val="宋体"/>
        <family val="0"/>
        <charset val="134"/>
      </rPr>
      <t xml:space="preserve">手车式</t>
    </r>
  </si>
  <si>
    <t xml:space="preserve">熔断器小车</t>
  </si>
  <si>
    <t xml:space="preserve">SC10-50/10</t>
  </si>
  <si>
    <r>
      <rPr>
        <sz val="12"/>
        <rFont val="黑体"/>
        <family val="3"/>
        <charset val="134"/>
      </rPr>
      <t xml:space="preserve">浙江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祥云</t>
    </r>
  </si>
  <si>
    <t xml:space="preserve">NSX100N TMD 100 4P3D F</t>
  </si>
  <si>
    <r>
      <rPr>
        <sz val="11"/>
        <rFont val="宋体"/>
        <family val="0"/>
      </rPr>
      <t xml:space="preserve">MT25 H1 4P D/O MIC 5.0E 2000A </t>
    </r>
    <r>
      <rPr>
        <sz val="11"/>
        <rFont val="宋体"/>
        <family val="0"/>
        <charset val="134"/>
      </rPr>
      <t xml:space="preserve">抽屉电动延时欠压 钥匙锁</t>
    </r>
  </si>
  <si>
    <r>
      <rPr>
        <sz val="11"/>
        <rFont val="宋体"/>
        <family val="0"/>
      </rPr>
      <t xml:space="preserve">MT25 H1 4P D/O MIC 6.0E 2000A </t>
    </r>
    <r>
      <rPr>
        <sz val="11"/>
        <rFont val="宋体"/>
        <family val="0"/>
        <charset val="134"/>
      </rPr>
      <t xml:space="preserve">钥匙锁 通讯</t>
    </r>
  </si>
  <si>
    <t xml:space="preserve">ANJ-ZTGB/480-45/P7</t>
  </si>
  <si>
    <t xml:space="preserve">ANJ-CKY35</t>
  </si>
  <si>
    <t xml:space="preserve">iC65N 3P C40A</t>
  </si>
  <si>
    <t xml:space="preserve">iC65N 3P C63A</t>
  </si>
  <si>
    <t xml:space="preserve">iC65N 4P C63A</t>
  </si>
  <si>
    <t xml:space="preserve">HRM-E-4P 15KA</t>
  </si>
  <si>
    <r>
      <rPr>
        <sz val="12"/>
        <rFont val="黑体"/>
        <family val="3"/>
        <charset val="134"/>
      </rPr>
      <t xml:space="preserve">杭州</t>
    </r>
    <r>
      <rPr>
        <sz val="12"/>
        <rFont val="黑体"/>
        <family val="3"/>
      </rPr>
      <t xml:space="preserve">/</t>
    </r>
    <r>
      <rPr>
        <sz val="12"/>
        <rFont val="黑体"/>
        <family val="3"/>
        <charset val="134"/>
      </rPr>
      <t xml:space="preserve">恒瑞</t>
    </r>
  </si>
  <si>
    <t xml:space="preserve">NSX100N TMD 63 3P3D F</t>
  </si>
  <si>
    <t xml:space="preserve">NSX160N TMD 100 3P3D F</t>
  </si>
  <si>
    <t xml:space="preserve">NSX250N TMD 250 3P3D F</t>
  </si>
  <si>
    <t xml:space="preserve">NSX400N TMD 400 3P3D F</t>
  </si>
  <si>
    <t xml:space="preserve">WATSN-2000/2000/4</t>
  </si>
  <si>
    <t xml:space="preserve">施耐德万高</t>
  </si>
  <si>
    <t xml:space="preserve">WTS-4000/2000/4DL</t>
  </si>
  <si>
    <t xml:space="preserve">辅助材料（切换柜）</t>
  </si>
  <si>
    <r>
      <rPr>
        <sz val="11"/>
        <rFont val="宋体"/>
        <family val="0"/>
        <charset val="134"/>
      </rPr>
      <t xml:space="preserve">箱体</t>
    </r>
    <r>
      <rPr>
        <sz val="11"/>
        <rFont val="宋体"/>
        <family val="0"/>
      </rPr>
      <t xml:space="preserve">:GCS(</t>
    </r>
    <r>
      <rPr>
        <sz val="11"/>
        <rFont val="宋体"/>
        <family val="0"/>
        <charset val="134"/>
      </rPr>
      <t xml:space="preserve">切换柜</t>
    </r>
    <r>
      <rPr>
        <sz val="11"/>
        <rFont val="宋体"/>
        <family val="0"/>
      </rPr>
      <t xml:space="preserve">)</t>
    </r>
  </si>
  <si>
    <r>
      <rPr>
        <sz val="11"/>
        <rFont val="宋体"/>
        <family val="0"/>
      </rPr>
      <t xml:space="preserve">3AE8-12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</si>
  <si>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3AE8-12 630-25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</si>
  <si>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3WT2S20 ETU35WT D/4P </t>
    </r>
    <r>
      <rPr>
        <sz val="11"/>
        <rFont val="宋体"/>
        <family val="0"/>
        <charset val="134"/>
      </rPr>
      <t xml:space="preserve">抽屉电动延时欠压 钥匙锁</t>
    </r>
  </si>
  <si>
    <r>
      <rPr>
        <sz val="11"/>
        <rFont val="宋体"/>
        <family val="0"/>
      </rPr>
      <t xml:space="preserve">3WT2S20 ETU45WT D/4P </t>
    </r>
    <r>
      <rPr>
        <sz val="11"/>
        <rFont val="宋体"/>
        <family val="0"/>
        <charset val="134"/>
      </rPr>
      <t xml:space="preserve">钥匙锁 通讯</t>
    </r>
  </si>
  <si>
    <t xml:space="preserve">5SY6 3P C40A</t>
  </si>
  <si>
    <t xml:space="preserve">5SY6 3P C63A</t>
  </si>
  <si>
    <t xml:space="preserve">5SY6 4P C63A</t>
  </si>
  <si>
    <t xml:space="preserve">3VC2 160 36kA TMA 63A 3P</t>
  </si>
  <si>
    <t xml:space="preserve">3VC2 160 36kA TMA 100A 3P</t>
  </si>
  <si>
    <t xml:space="preserve">3VC2 250 36kA TMA 250A 3P</t>
  </si>
  <si>
    <t xml:space="preserve">3VC2 400 36kA TMA 400A 3P</t>
  </si>
  <si>
    <r>
      <rPr>
        <sz val="11"/>
        <rFont val="宋体"/>
        <family val="0"/>
      </rPr>
      <t xml:space="preserve">VD4-12 1250-31.5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</si>
  <si>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VD4-12 630-25</t>
    </r>
    <r>
      <rPr>
        <sz val="11"/>
        <rFont val="宋体"/>
        <family val="0"/>
        <charset val="134"/>
      </rPr>
      <t xml:space="preserve">手车式</t>
    </r>
  </si>
  <si>
    <r>
      <rPr>
        <sz val="11"/>
        <rFont val="宋体"/>
        <family val="0"/>
      </rPr>
      <t xml:space="preserve">E2N2000 T LSI 4P WHR </t>
    </r>
    <r>
      <rPr>
        <sz val="11"/>
        <rFont val="宋体"/>
        <family val="0"/>
        <charset val="134"/>
      </rPr>
      <t xml:space="preserve">抽屉电动延时欠压 钥匙锁</t>
    </r>
  </si>
  <si>
    <r>
      <rPr>
        <sz val="11"/>
        <rFont val="宋体"/>
        <family val="0"/>
      </rPr>
      <t xml:space="preserve">E2N2000 T LSIG 4P WHR </t>
    </r>
    <r>
      <rPr>
        <sz val="11"/>
        <rFont val="宋体"/>
        <family val="0"/>
        <charset val="134"/>
      </rPr>
      <t xml:space="preserve">钥匙锁 通讯</t>
    </r>
  </si>
  <si>
    <r>
      <rPr>
        <sz val="12"/>
        <rFont val="黑体"/>
        <family val="3"/>
      </rPr>
      <t xml:space="preserve">Tmax XT</t>
    </r>
    <r>
      <rPr>
        <sz val="12"/>
        <rFont val="黑体"/>
        <family val="3"/>
        <charset val="134"/>
      </rPr>
      <t xml:space="preserve">系列配电用塑壳断路器</t>
    </r>
  </si>
  <si>
    <r>
      <rPr>
        <sz val="12"/>
        <rFont val="黑体"/>
        <family val="3"/>
      </rPr>
      <t xml:space="preserve">ABB(</t>
    </r>
    <r>
      <rPr>
        <sz val="12"/>
        <rFont val="黑体"/>
        <family val="3"/>
        <charset val="134"/>
      </rPr>
      <t xml:space="preserve">中国</t>
    </r>
    <r>
      <rPr>
        <sz val="12"/>
        <rFont val="黑体"/>
        <family val="3"/>
      </rPr>
      <t xml:space="preserve">)</t>
    </r>
    <r>
      <rPr>
        <sz val="12"/>
        <rFont val="黑体"/>
        <family val="3"/>
        <charset val="134"/>
      </rPr>
      <t xml:space="preserve">有限公司</t>
    </r>
  </si>
  <si>
    <r>
      <rPr>
        <sz val="12"/>
        <rFont val="黑体"/>
        <family val="3"/>
      </rPr>
      <t xml:space="preserve">Emax2</t>
    </r>
    <r>
      <rPr>
        <sz val="12"/>
        <rFont val="黑体"/>
        <family val="3"/>
        <charset val="134"/>
      </rPr>
      <t xml:space="preserve">系列空气断路器</t>
    </r>
  </si>
  <si>
    <t xml:space="preserve">XT1N160 TMD 100 4P FF</t>
  </si>
  <si>
    <t xml:space="preserve">OTM2000E4C20D380CN</t>
  </si>
  <si>
    <t xml:space="preserve">S203-C40</t>
  </si>
  <si>
    <t xml:space="preserve">S203-C63</t>
  </si>
  <si>
    <t xml:space="preserve">S204-C63</t>
  </si>
  <si>
    <t xml:space="preserve">OXB2000 4P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</si>
</sst>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 "/>
    <numFmt numFmtId="166" formatCode="0.00_ "/>
    <numFmt numFmtId="167" formatCode="[DBNum2][$-804]&quot;人民币(大写):&quot;General&quot;元整。&quot;* "/>
  </numFmts>
  <fonts count="29">
    <font>
      <sz val="12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000000"/>
      <name val="Arial"/>
      <family val="2"/>
    </font>
    <font>
      <b val="true"/>
      <sz val="10"/>
      <name val="Arial"/>
      <family val="2"/>
    </font>
    <font>
      <sz val="22"/>
      <name val="华文楷体"/>
      <family val="3"/>
      <charset val="134"/>
    </font>
    <font>
      <sz val="18"/>
      <name val="楷体_GB2312"/>
      <family val="0"/>
      <charset val="134"/>
    </font>
    <font>
      <sz val="12"/>
      <name val="楷体_GB2312"/>
      <family val="0"/>
      <charset val="134"/>
    </font>
    <font>
      <sz val="14"/>
      <name val="宋体"/>
      <family val="0"/>
      <charset val="134"/>
    </font>
    <font>
      <sz val="11"/>
      <name val="宋体"/>
      <family val="0"/>
    </font>
    <font>
      <sz val="14"/>
      <name val="宋体"/>
      <family val="0"/>
    </font>
    <font>
      <sz val="12"/>
      <name val="宋体"/>
      <family val="0"/>
    </font>
    <font>
      <b val="true"/>
      <sz val="14"/>
      <name val="宋体"/>
      <family val="0"/>
      <charset val="134"/>
    </font>
    <font>
      <b val="true"/>
      <sz val="14"/>
      <name val="宋体"/>
      <family val="0"/>
    </font>
    <font>
      <sz val="13"/>
      <name val="宋体"/>
      <family val="0"/>
      <charset val="134"/>
    </font>
    <font>
      <sz val="10"/>
      <name val="宋体"/>
      <family val="0"/>
      <charset val="134"/>
    </font>
    <font>
      <b val="true"/>
      <sz val="16"/>
      <name val="仿宋_GB2312"/>
      <family val="0"/>
      <charset val="134"/>
    </font>
    <font>
      <sz val="11"/>
      <name val="宋体"/>
      <family val="0"/>
      <charset val="134"/>
    </font>
    <font>
      <b val="true"/>
      <sz val="11"/>
      <name val="宋体"/>
      <family val="0"/>
    </font>
    <font>
      <b val="true"/>
      <sz val="11"/>
      <name val="宋体"/>
      <family val="0"/>
      <charset val="134"/>
    </font>
    <font>
      <sz val="11"/>
      <color rgb="FFFF0000"/>
      <name val="宋体"/>
      <family val="0"/>
    </font>
    <font>
      <sz val="12"/>
      <name val="黑体"/>
      <family val="3"/>
      <charset val="134"/>
    </font>
    <font>
      <sz val="12"/>
      <name val="黑体"/>
      <family val="3"/>
    </font>
    <font>
      <sz val="10.5"/>
      <name val="Times New Roman"/>
      <family val="0"/>
      <charset val="1"/>
    </font>
    <font>
      <sz val="10.5"/>
      <name val="宋体"/>
      <family val="0"/>
      <charset val="134"/>
    </font>
    <font>
      <sz val="11"/>
      <name val="Times New Roman"/>
      <family val="0"/>
      <charset val="1"/>
    </font>
    <font>
      <sz val="10.5"/>
      <name val="宋体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14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143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1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6" fontId="0" fillId="0" borderId="0" xfId="1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14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14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14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145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1" xfId="1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1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9" fillId="0" borderId="1" xfId="1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7" xfId="1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8" xfId="1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1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14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1" xfId="14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1" xfId="1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0" borderId="0" xfId="1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145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1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1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13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4_" xfId="20"/>
    <cellStyle name="_x0004_ 2" xfId="21"/>
    <cellStyle name="_x0004_ 3" xfId="22"/>
    <cellStyle name="_x0004_ 4" xfId="23"/>
    <cellStyle name="ColLevel_0" xfId="24"/>
    <cellStyle name="RowLevel_0" xfId="25"/>
    <cellStyle name="常规 10" xfId="26"/>
    <cellStyle name="常规 10 3" xfId="27"/>
    <cellStyle name="常规 11" xfId="28"/>
    <cellStyle name="常规 2" xfId="29"/>
    <cellStyle name="常规 2 10" xfId="30"/>
    <cellStyle name="常规 2 11" xfId="31"/>
    <cellStyle name="常规 2 12" xfId="32"/>
    <cellStyle name="常规 2 13" xfId="33"/>
    <cellStyle name="常规 2 14" xfId="34"/>
    <cellStyle name="常规 2 2" xfId="35"/>
    <cellStyle name="常规 2 2 2" xfId="36"/>
    <cellStyle name="常规 2 2 3" xfId="37"/>
    <cellStyle name="常规 2 2 4" xfId="38"/>
    <cellStyle name="常规 2 2 5" xfId="39"/>
    <cellStyle name="常规 2 2 6" xfId="40"/>
    <cellStyle name="常规 2 3" xfId="41"/>
    <cellStyle name="常规 2 3 2" xfId="42"/>
    <cellStyle name="常规 2 3 3" xfId="43"/>
    <cellStyle name="常规 2 3 4" xfId="44"/>
    <cellStyle name="常规 2 3 5" xfId="45"/>
    <cellStyle name="常规 2 3 6" xfId="46"/>
    <cellStyle name="常规 2 4" xfId="47"/>
    <cellStyle name="常规 2 4 2" xfId="48"/>
    <cellStyle name="常规 2 4 3" xfId="49"/>
    <cellStyle name="常规 2 4 4" xfId="50"/>
    <cellStyle name="常规 2 4 5" xfId="51"/>
    <cellStyle name="常规 2 4 6" xfId="52"/>
    <cellStyle name="常规 2 5" xfId="53"/>
    <cellStyle name="常规 2 5 2" xfId="54"/>
    <cellStyle name="常规 2 5 3" xfId="55"/>
    <cellStyle name="常规 2 5 4" xfId="56"/>
    <cellStyle name="常规 2 5 5" xfId="57"/>
    <cellStyle name="常规 2 5 6" xfId="58"/>
    <cellStyle name="常规 2 6" xfId="59"/>
    <cellStyle name="常规 2 6 2" xfId="60"/>
    <cellStyle name="常规 2 6 3" xfId="61"/>
    <cellStyle name="常规 2 6 4" xfId="62"/>
    <cellStyle name="常规 2 6 5" xfId="63"/>
    <cellStyle name="常规 2 6 6" xfId="64"/>
    <cellStyle name="常规 2 7" xfId="65"/>
    <cellStyle name="常规 2 7 2" xfId="66"/>
    <cellStyle name="常规 2 7 3" xfId="67"/>
    <cellStyle name="常规 2 7 4" xfId="68"/>
    <cellStyle name="常规 2 7 5" xfId="69"/>
    <cellStyle name="常规 2 7 6" xfId="70"/>
    <cellStyle name="常规 2 8" xfId="71"/>
    <cellStyle name="常规 2 9" xfId="72"/>
    <cellStyle name="常规 3" xfId="73"/>
    <cellStyle name="常规 3 10" xfId="74"/>
    <cellStyle name="常规 3 11" xfId="75"/>
    <cellStyle name="常规 3 12" xfId="76"/>
    <cellStyle name="常规 3 2" xfId="77"/>
    <cellStyle name="常规 3 2 2" xfId="78"/>
    <cellStyle name="常规 3 2 3" xfId="79"/>
    <cellStyle name="常规 3 2 4" xfId="80"/>
    <cellStyle name="常规 3 2 5" xfId="81"/>
    <cellStyle name="常规 3 2 6" xfId="82"/>
    <cellStyle name="常规 3 3" xfId="83"/>
    <cellStyle name="常规 3 3 2" xfId="84"/>
    <cellStyle name="常规 3 3 3" xfId="85"/>
    <cellStyle name="常规 3 3 4" xfId="86"/>
    <cellStyle name="常规 3 3 5" xfId="87"/>
    <cellStyle name="常规 3 3 6" xfId="88"/>
    <cellStyle name="常规 3 4" xfId="89"/>
    <cellStyle name="常规 3 4 2" xfId="90"/>
    <cellStyle name="常规 3 4 3" xfId="91"/>
    <cellStyle name="常规 3 4 4" xfId="92"/>
    <cellStyle name="常规 3 4 5" xfId="93"/>
    <cellStyle name="常规 3 4 6" xfId="94"/>
    <cellStyle name="常规 3 5" xfId="95"/>
    <cellStyle name="常规 3 5 2" xfId="96"/>
    <cellStyle name="常规 3 5 3" xfId="97"/>
    <cellStyle name="常规 3 5 4" xfId="98"/>
    <cellStyle name="常规 3 5 5" xfId="99"/>
    <cellStyle name="常规 3 5 6" xfId="100"/>
    <cellStyle name="常规 3 6" xfId="101"/>
    <cellStyle name="常规 3 6 2" xfId="102"/>
    <cellStyle name="常规 3 6 3" xfId="103"/>
    <cellStyle name="常规 3 6 4" xfId="104"/>
    <cellStyle name="常规 3 6 5" xfId="105"/>
    <cellStyle name="常规 3 6 6" xfId="106"/>
    <cellStyle name="常规 3 7" xfId="107"/>
    <cellStyle name="常规 3 8" xfId="108"/>
    <cellStyle name="常规 3 9" xfId="109"/>
    <cellStyle name="常规 4" xfId="110"/>
    <cellStyle name="常规 4 2" xfId="111"/>
    <cellStyle name="常规 4 3" xfId="112"/>
    <cellStyle name="常规 5" xfId="113"/>
    <cellStyle name="常规 5 2" xfId="114"/>
    <cellStyle name="常规 5 3" xfId="115"/>
    <cellStyle name="常规 5 4" xfId="116"/>
    <cellStyle name="常规 5 5" xfId="117"/>
    <cellStyle name="常规 5 6" xfId="118"/>
    <cellStyle name="常规 6" xfId="119"/>
    <cellStyle name="常规 6 2" xfId="120"/>
    <cellStyle name="常规 6 3" xfId="121"/>
    <cellStyle name="常规 6 4" xfId="122"/>
    <cellStyle name="常规 6 5" xfId="123"/>
    <cellStyle name="常规 6 6" xfId="124"/>
    <cellStyle name="常规 7" xfId="125"/>
    <cellStyle name="常规 7 2" xfId="126"/>
    <cellStyle name="常规 7 3" xfId="127"/>
    <cellStyle name="常规 7 4" xfId="128"/>
    <cellStyle name="常规 7 5" xfId="129"/>
    <cellStyle name="常规 7 6" xfId="130"/>
    <cellStyle name="常规 8" xfId="131"/>
    <cellStyle name="常规 8 2" xfId="132"/>
    <cellStyle name="常规 8 3" xfId="133"/>
    <cellStyle name="常规 8 4" xfId="134"/>
    <cellStyle name="常规 8 5" xfId="135"/>
    <cellStyle name="常规 8 6" xfId="136"/>
    <cellStyle name="常规 9" xfId="137"/>
    <cellStyle name="常规 9 2" xfId="138"/>
    <cellStyle name="常规 9 3" xfId="139"/>
    <cellStyle name="常规 9 4" xfId="140"/>
    <cellStyle name="常规 9 5" xfId="141"/>
    <cellStyle name="常规 9 6" xfId="142"/>
    <cellStyle name="常规_HY1210-0792" xfId="143"/>
    <cellStyle name="常规_Sheet1" xfId="144"/>
    <cellStyle name="常规_洪塘3#地块限价房环网小区变调整后3.9" xfId="145"/>
    <cellStyle name="常规_洪塘3#地块限价房环网小区变调整后3.9 2" xfId="14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0</xdr:rowOff>
    </xdr:from>
    <xdr:to>
      <xdr:col>17</xdr:col>
      <xdr:colOff>993600</xdr:colOff>
      <xdr:row>7</xdr:row>
      <xdr:rowOff>514080</xdr:rowOff>
    </xdr:to>
    <xdr:pic>
      <xdr:nvPicPr>
        <xdr:cNvPr id="1" name="图片 1"/>
        <xdr:cNvPicPr/>
      </xdr:nvPicPr>
      <xdr:blipFill>
        <a:blip r:embed="rId1"/>
        <a:stretch/>
      </xdr:blipFill>
      <xdr:spPr>
        <a:xfrm>
          <a:off x="13301280" y="1336680"/>
          <a:ext cx="4444200" cy="1029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974880</xdr:colOff>
      <xdr:row>2495</xdr:row>
      <xdr:rowOff>101160</xdr:rowOff>
    </xdr:from>
    <xdr:to>
      <xdr:col>15</xdr:col>
      <xdr:colOff>353160</xdr:colOff>
      <xdr:row>2505</xdr:row>
      <xdr:rowOff>34920</xdr:rowOff>
    </xdr:to>
    <xdr:pic>
      <xdr:nvPicPr>
        <xdr:cNvPr id="2" name="图片 2"/>
        <xdr:cNvPicPr/>
      </xdr:nvPicPr>
      <xdr:blipFill>
        <a:blip r:embed="rId1"/>
        <a:stretch/>
      </xdr:blipFill>
      <xdr:spPr>
        <a:xfrm>
          <a:off x="14481360" y="559227600"/>
          <a:ext cx="4199760" cy="216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632520</xdr:colOff>
      <xdr:row>2452</xdr:row>
      <xdr:rowOff>66240</xdr:rowOff>
    </xdr:from>
    <xdr:to>
      <xdr:col>11</xdr:col>
      <xdr:colOff>127800</xdr:colOff>
      <xdr:row>2459</xdr:row>
      <xdr:rowOff>47880</xdr:rowOff>
    </xdr:to>
    <xdr:pic>
      <xdr:nvPicPr>
        <xdr:cNvPr id="3" name="图片 1"/>
        <xdr:cNvPicPr/>
      </xdr:nvPicPr>
      <xdr:blipFill>
        <a:blip r:embed="rId2"/>
        <a:stretch/>
      </xdr:blipFill>
      <xdr:spPr>
        <a:xfrm>
          <a:off x="11469960" y="549581400"/>
          <a:ext cx="3704760" cy="1546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609375" defaultRowHeight="17.6" customHeight="false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20.24"/>
    <col collapsed="false" customWidth="true" hidden="false" outlineLevel="0" max="3" min="3" style="1" width="23.87"/>
    <col collapsed="false" customWidth="true" hidden="false" outlineLevel="0" max="4" min="4" style="1" width="7.75"/>
    <col collapsed="false" customWidth="true" hidden="false" outlineLevel="0" max="5" min="5" style="1" width="8.24"/>
    <col collapsed="false" customWidth="true" hidden="false" outlineLevel="0" max="6" min="6" style="1" width="8.12"/>
    <col collapsed="false" customWidth="true" hidden="false" outlineLevel="0" max="7" min="7" style="2" width="10.24"/>
    <col collapsed="false" customWidth="true" hidden="false" outlineLevel="0" max="8" min="8" style="3" width="10.87"/>
    <col collapsed="false" customWidth="true" hidden="false" outlineLevel="0" max="13" min="9" style="4" width="10.87"/>
    <col collapsed="false" customWidth="false" hidden="false" outlineLevel="0" max="14" min="14" style="1" width="8.99"/>
    <col collapsed="false" customWidth="true" hidden="false" outlineLevel="0" max="15" min="15" style="1" width="14.12"/>
    <col collapsed="false" customWidth="true" hidden="false" outlineLevel="0" max="16" min="16" style="3" width="14.12"/>
    <col collapsed="false" customWidth="true" hidden="false" outlineLevel="0" max="17" min="17" style="5" width="12.62"/>
    <col collapsed="false" customWidth="true" hidden="false" outlineLevel="0" max="18" min="18" style="1" width="14.12"/>
    <col collapsed="false" customWidth="false" hidden="false" outlineLevel="0" max="19" min="19" style="1" width="8.99"/>
    <col collapsed="false" customWidth="true" hidden="false" outlineLevel="0" max="20" min="20" style="1" width="14.12"/>
    <col collapsed="false" customWidth="false" hidden="false" outlineLevel="0" max="22" min="21" style="1" width="8.99"/>
    <col collapsed="false" customWidth="true" hidden="false" outlineLevel="0" max="23" min="23" style="1" width="12.62"/>
    <col collapsed="false" customWidth="false" hidden="false" outlineLevel="0" max="257" min="24" style="1" width="8.99"/>
  </cols>
  <sheetData>
    <row r="1" customFormat="false" ht="31.6" hidden="false" customHeight="false" outlineLevel="0" collapsed="false">
      <c r="A1" s="6" t="s">
        <v>0</v>
      </c>
      <c r="B1" s="6"/>
      <c r="C1" s="6"/>
      <c r="D1" s="6"/>
      <c r="E1" s="6"/>
      <c r="F1" s="6"/>
      <c r="G1" s="6"/>
    </row>
    <row r="2" customFormat="false" ht="26" hidden="false" customHeight="false" outlineLevel="0" collapsed="false">
      <c r="A2" s="7" t="s">
        <v>1</v>
      </c>
      <c r="B2" s="7"/>
      <c r="C2" s="7"/>
      <c r="D2" s="7"/>
      <c r="E2" s="7"/>
      <c r="F2" s="7"/>
      <c r="G2" s="7"/>
    </row>
    <row r="3" customFormat="false" ht="3.75" hidden="false" customHeight="true" outlineLevel="0" collapsed="false">
      <c r="A3" s="8"/>
      <c r="B3" s="8"/>
      <c r="C3" s="8"/>
      <c r="D3" s="8"/>
      <c r="E3" s="8"/>
      <c r="F3" s="8"/>
      <c r="G3" s="9"/>
    </row>
    <row r="4" customFormat="false" ht="21.95" hidden="false" customHeight="true" outlineLevel="0" collapsed="false">
      <c r="A4" s="10" t="s">
        <v>2</v>
      </c>
      <c r="B4" s="10"/>
      <c r="C4" s="10"/>
      <c r="D4" s="10"/>
      <c r="E4" s="10"/>
      <c r="F4" s="10"/>
      <c r="G4" s="10"/>
    </row>
    <row r="5" customFormat="false" ht="21.95" hidden="false" customHeight="true" outlineLevel="0" collapsed="false">
      <c r="A5" s="10" t="s">
        <v>3</v>
      </c>
      <c r="B5" s="10"/>
      <c r="C5" s="10"/>
      <c r="D5" s="10"/>
      <c r="E5" s="10"/>
      <c r="F5" s="10"/>
      <c r="G5" s="10"/>
    </row>
    <row r="6" customFormat="false" ht="21.95" hidden="false" customHeight="true" outlineLevel="0" collapsed="false">
      <c r="A6" s="10" t="s">
        <v>4</v>
      </c>
      <c r="B6" s="10"/>
      <c r="C6" s="10"/>
      <c r="D6" s="10"/>
      <c r="E6" s="10"/>
      <c r="F6" s="10"/>
      <c r="G6" s="10"/>
      <c r="N6" s="5"/>
      <c r="O6" s="11"/>
      <c r="P6" s="12"/>
    </row>
    <row r="7" customFormat="false" ht="18.6" hidden="false" customHeight="true" outlineLevel="0" collapsed="false">
      <c r="A7" s="13" t="s">
        <v>5</v>
      </c>
      <c r="B7" s="13" t="s">
        <v>6</v>
      </c>
      <c r="C7" s="13" t="s">
        <v>7</v>
      </c>
      <c r="D7" s="13" t="s">
        <v>8</v>
      </c>
      <c r="E7" s="13" t="s">
        <v>9</v>
      </c>
      <c r="F7" s="13" t="s">
        <v>10</v>
      </c>
      <c r="G7" s="13" t="s">
        <v>11</v>
      </c>
      <c r="H7" s="12"/>
      <c r="I7" s="14"/>
      <c r="J7" s="14"/>
      <c r="K7" s="14"/>
      <c r="L7" s="14"/>
      <c r="M7" s="14"/>
      <c r="N7" s="5"/>
      <c r="O7" s="5"/>
      <c r="P7" s="12"/>
    </row>
    <row r="8" customFormat="false" ht="71" hidden="false" customHeight="false" outlineLevel="0" collapsed="false">
      <c r="A8" s="13" t="n">
        <v>1</v>
      </c>
      <c r="B8" s="15" t="s">
        <v>12</v>
      </c>
      <c r="C8" s="16" t="s">
        <v>13</v>
      </c>
      <c r="D8" s="13" t="s">
        <v>14</v>
      </c>
      <c r="E8" s="13" t="n">
        <v>12</v>
      </c>
      <c r="F8" s="17" t="n">
        <f aca="false">ROUND(H8,0)</f>
        <v>39861</v>
      </c>
      <c r="G8" s="18" t="n">
        <f aca="false">E8*F8</f>
        <v>478332</v>
      </c>
      <c r="H8" s="19" t="n">
        <f aca="false">F55</f>
        <v>39861</v>
      </c>
      <c r="I8" s="20"/>
      <c r="J8" s="20"/>
      <c r="K8" s="20"/>
      <c r="L8" s="20"/>
      <c r="M8" s="20"/>
      <c r="N8" s="21"/>
      <c r="O8" s="22"/>
      <c r="P8" s="21"/>
    </row>
    <row r="9" customFormat="false" ht="18" hidden="false" customHeight="true" outlineLevel="0" collapsed="false">
      <c r="A9" s="13" t="n">
        <v>2</v>
      </c>
      <c r="B9" s="23"/>
      <c r="C9" s="13"/>
      <c r="D9" s="13"/>
      <c r="E9" s="13"/>
      <c r="F9" s="17"/>
      <c r="G9" s="18"/>
      <c r="H9" s="19"/>
      <c r="I9" s="20"/>
      <c r="J9" s="20"/>
      <c r="K9" s="20"/>
      <c r="L9" s="20"/>
      <c r="M9" s="20"/>
      <c r="N9" s="21"/>
      <c r="O9" s="22"/>
      <c r="P9" s="21"/>
    </row>
    <row r="10" customFormat="false" ht="18" hidden="false" customHeight="true" outlineLevel="0" collapsed="false">
      <c r="A10" s="13" t="n">
        <v>3</v>
      </c>
      <c r="B10" s="24"/>
      <c r="C10" s="13"/>
      <c r="D10" s="13"/>
      <c r="E10" s="13"/>
      <c r="F10" s="17"/>
      <c r="G10" s="18"/>
      <c r="H10" s="19"/>
      <c r="I10" s="20"/>
      <c r="J10" s="20"/>
      <c r="K10" s="20"/>
      <c r="L10" s="20"/>
      <c r="M10" s="20"/>
      <c r="N10" s="22"/>
      <c r="O10" s="22"/>
      <c r="P10" s="25"/>
    </row>
    <row r="11" customFormat="false" ht="17.6" hidden="false" customHeight="false" outlineLevel="0" collapsed="false">
      <c r="A11" s="13" t="n">
        <v>4</v>
      </c>
      <c r="B11" s="15"/>
      <c r="C11" s="13"/>
      <c r="D11" s="13"/>
      <c r="E11" s="13"/>
      <c r="F11" s="17"/>
      <c r="G11" s="18"/>
      <c r="H11" s="19"/>
      <c r="I11" s="20"/>
      <c r="J11" s="20"/>
      <c r="K11" s="20"/>
      <c r="L11" s="20"/>
      <c r="M11" s="20"/>
      <c r="N11" s="22"/>
      <c r="O11" s="22"/>
      <c r="P11" s="25"/>
    </row>
    <row r="12" customFormat="false" ht="18" hidden="false" customHeight="true" outlineLevel="0" collapsed="false">
      <c r="A12" s="13" t="n">
        <v>5</v>
      </c>
      <c r="B12" s="24"/>
      <c r="C12" s="13"/>
      <c r="D12" s="13"/>
      <c r="E12" s="13"/>
      <c r="F12" s="17"/>
      <c r="G12" s="18"/>
      <c r="H12" s="19"/>
      <c r="I12" s="20"/>
      <c r="J12" s="20"/>
      <c r="K12" s="20"/>
      <c r="L12" s="20"/>
      <c r="M12" s="20"/>
      <c r="N12" s="22"/>
      <c r="O12" s="22"/>
      <c r="P12" s="25"/>
    </row>
    <row r="13" customFormat="false" ht="17.6" hidden="false" customHeight="false" outlineLevel="0" collapsed="false">
      <c r="A13" s="13" t="n">
        <v>6</v>
      </c>
      <c r="B13" s="15"/>
      <c r="C13" s="13"/>
      <c r="D13" s="13"/>
      <c r="E13" s="13"/>
      <c r="F13" s="17"/>
      <c r="G13" s="18"/>
      <c r="H13" s="19"/>
      <c r="I13" s="20"/>
      <c r="J13" s="20"/>
      <c r="K13" s="20"/>
      <c r="L13" s="20"/>
      <c r="M13" s="20"/>
      <c r="N13" s="22"/>
      <c r="O13" s="22"/>
      <c r="P13" s="25"/>
    </row>
    <row r="14" customFormat="false" ht="18" hidden="false" customHeight="true" outlineLevel="0" collapsed="false">
      <c r="A14" s="13" t="n">
        <v>7</v>
      </c>
      <c r="B14" s="24"/>
      <c r="C14" s="13"/>
      <c r="D14" s="13"/>
      <c r="E14" s="13"/>
      <c r="F14" s="17"/>
      <c r="G14" s="18"/>
      <c r="H14" s="19"/>
      <c r="I14" s="20"/>
      <c r="J14" s="20"/>
      <c r="K14" s="20"/>
      <c r="L14" s="20"/>
      <c r="M14" s="20"/>
      <c r="N14" s="22"/>
      <c r="O14" s="22"/>
      <c r="P14" s="25"/>
    </row>
    <row r="15" customFormat="false" ht="18" hidden="false" customHeight="true" outlineLevel="0" collapsed="false">
      <c r="A15" s="13" t="n">
        <v>8</v>
      </c>
      <c r="B15" s="24"/>
      <c r="C15" s="13"/>
      <c r="D15" s="13"/>
      <c r="E15" s="13"/>
      <c r="F15" s="17"/>
      <c r="G15" s="18"/>
      <c r="H15" s="19"/>
      <c r="I15" s="20"/>
      <c r="J15" s="20"/>
      <c r="K15" s="20"/>
      <c r="L15" s="20"/>
      <c r="M15" s="20"/>
      <c r="N15" s="22"/>
      <c r="O15" s="22"/>
      <c r="P15" s="25"/>
    </row>
    <row r="16" customFormat="false" ht="18" hidden="false" customHeight="true" outlineLevel="0" collapsed="false">
      <c r="A16" s="13" t="n">
        <v>9</v>
      </c>
      <c r="B16" s="23"/>
      <c r="C16" s="26"/>
      <c r="D16" s="13"/>
      <c r="E16" s="13"/>
      <c r="F16" s="17"/>
      <c r="G16" s="18"/>
      <c r="H16" s="19"/>
      <c r="I16" s="20"/>
      <c r="J16" s="20"/>
      <c r="K16" s="20"/>
      <c r="L16" s="20"/>
      <c r="M16" s="20"/>
      <c r="N16" s="22"/>
      <c r="O16" s="22"/>
      <c r="P16" s="21"/>
    </row>
    <row r="17" customFormat="false" ht="18" hidden="false" customHeight="true" outlineLevel="0" collapsed="false">
      <c r="A17" s="13" t="n">
        <v>10</v>
      </c>
      <c r="B17" s="23"/>
      <c r="C17" s="26"/>
      <c r="D17" s="13"/>
      <c r="E17" s="13"/>
      <c r="F17" s="17"/>
      <c r="G17" s="18"/>
      <c r="H17" s="19"/>
      <c r="I17" s="20"/>
      <c r="J17" s="20"/>
      <c r="K17" s="20"/>
      <c r="L17" s="20"/>
      <c r="M17" s="20"/>
      <c r="N17" s="22"/>
      <c r="O17" s="22"/>
      <c r="P17" s="21"/>
    </row>
    <row r="18" customFormat="false" ht="21.95" hidden="false" customHeight="true" outlineLevel="0" collapsed="false">
      <c r="A18" s="27" t="s">
        <v>15</v>
      </c>
      <c r="B18" s="28" t="n">
        <f aca="false">G18</f>
        <v>478332</v>
      </c>
      <c r="C18" s="28"/>
      <c r="D18" s="28"/>
      <c r="E18" s="28"/>
      <c r="F18" s="28"/>
      <c r="G18" s="29" t="n">
        <f aca="false">SUM(G8:G17)</f>
        <v>478332</v>
      </c>
      <c r="H18" s="3" t="n">
        <v>2155028</v>
      </c>
      <c r="N18" s="5" t="n">
        <f aca="false">H18/G18</f>
        <v>4.50529757574237</v>
      </c>
      <c r="O18" s="5" t="n">
        <f aca="false">G18*1.2</f>
        <v>573998.4</v>
      </c>
      <c r="P18" s="12" t="n">
        <f aca="false">H18*0.73</f>
        <v>1573170.44</v>
      </c>
      <c r="Q18" s="5" t="n">
        <f aca="false">P18/G18</f>
        <v>3.28886723029193</v>
      </c>
      <c r="R18" s="1" t="n">
        <f aca="false">G18/H18</f>
        <v>0.221960921157405</v>
      </c>
    </row>
    <row r="19" customFormat="false" ht="17" hidden="false" customHeight="true" outlineLevel="0" collapsed="false">
      <c r="A19" s="30" t="s">
        <v>16</v>
      </c>
      <c r="B19" s="31" t="s">
        <v>17</v>
      </c>
      <c r="C19" s="31"/>
      <c r="D19" s="31"/>
      <c r="E19" s="31"/>
      <c r="F19" s="31"/>
      <c r="G19" s="31"/>
      <c r="H19" s="3" t="e">
        <f aca="false">#REF!-G18</f>
        <v>#REF!</v>
      </c>
      <c r="O19" s="5"/>
    </row>
    <row r="20" customFormat="false" ht="17" hidden="false" customHeight="true" outlineLevel="0" collapsed="false">
      <c r="A20" s="30"/>
      <c r="B20" s="32" t="s">
        <v>18</v>
      </c>
      <c r="C20" s="32"/>
      <c r="D20" s="32"/>
      <c r="E20" s="32"/>
      <c r="F20" s="32"/>
      <c r="G20" s="32"/>
      <c r="H20" s="19"/>
      <c r="I20" s="20"/>
      <c r="J20" s="20"/>
      <c r="K20" s="20"/>
      <c r="L20" s="20"/>
      <c r="M20" s="20"/>
    </row>
    <row r="21" customFormat="false" ht="17" hidden="false" customHeight="true" outlineLevel="0" collapsed="false">
      <c r="A21" s="30"/>
      <c r="B21" s="32" t="s">
        <v>19</v>
      </c>
      <c r="C21" s="32"/>
      <c r="D21" s="32"/>
      <c r="E21" s="32"/>
      <c r="F21" s="32"/>
      <c r="G21" s="32"/>
      <c r="H21" s="19"/>
      <c r="I21" s="20"/>
      <c r="J21" s="20"/>
      <c r="K21" s="20"/>
      <c r="L21" s="20"/>
      <c r="M21" s="20"/>
    </row>
    <row r="22" customFormat="false" ht="17" hidden="false" customHeight="true" outlineLevel="0" collapsed="false">
      <c r="A22" s="30"/>
      <c r="B22" s="32" t="s">
        <v>20</v>
      </c>
      <c r="C22" s="32"/>
      <c r="D22" s="32"/>
      <c r="E22" s="32"/>
      <c r="F22" s="32"/>
      <c r="G22" s="32"/>
      <c r="H22" s="19"/>
      <c r="I22" s="20"/>
      <c r="J22" s="20"/>
      <c r="K22" s="20"/>
      <c r="L22" s="20"/>
      <c r="M22" s="20"/>
    </row>
    <row r="23" customFormat="false" ht="17" hidden="false" customHeight="true" outlineLevel="0" collapsed="false">
      <c r="A23" s="30"/>
      <c r="B23" s="32" t="s">
        <v>21</v>
      </c>
      <c r="C23" s="32"/>
      <c r="D23" s="32"/>
      <c r="E23" s="32"/>
      <c r="F23" s="32"/>
      <c r="G23" s="32"/>
      <c r="H23" s="19"/>
      <c r="I23" s="20"/>
      <c r="J23" s="20"/>
      <c r="K23" s="20"/>
      <c r="L23" s="20"/>
      <c r="M23" s="20"/>
    </row>
    <row r="24" customFormat="false" ht="17" hidden="false" customHeight="true" outlineLevel="0" collapsed="false">
      <c r="A24" s="30"/>
      <c r="B24" s="32" t="s">
        <v>22</v>
      </c>
      <c r="C24" s="32"/>
      <c r="D24" s="32"/>
      <c r="E24" s="32"/>
      <c r="F24" s="32"/>
      <c r="G24" s="32"/>
      <c r="H24" s="19"/>
      <c r="I24" s="20"/>
      <c r="J24" s="20"/>
      <c r="K24" s="20"/>
      <c r="L24" s="20"/>
      <c r="M24" s="20"/>
    </row>
    <row r="25" customFormat="false" ht="17" hidden="false" customHeight="true" outlineLevel="0" collapsed="false">
      <c r="A25" s="30"/>
      <c r="B25" s="33" t="s">
        <v>23</v>
      </c>
      <c r="C25" s="33"/>
      <c r="D25" s="33"/>
      <c r="E25" s="33"/>
      <c r="F25" s="33"/>
      <c r="G25" s="33"/>
      <c r="H25" s="19"/>
      <c r="I25" s="20"/>
      <c r="J25" s="20"/>
      <c r="K25" s="20"/>
      <c r="L25" s="20"/>
      <c r="M25" s="20"/>
    </row>
    <row r="26" customFormat="false" ht="18" hidden="false" customHeight="true" outlineLevel="0" collapsed="false">
      <c r="A26" s="12" t="s">
        <v>24</v>
      </c>
      <c r="B26" s="12"/>
      <c r="C26" s="12"/>
      <c r="D26" s="12"/>
      <c r="E26" s="12"/>
      <c r="F26" s="12"/>
      <c r="G26" s="12"/>
      <c r="H26" s="19"/>
      <c r="I26" s="20"/>
      <c r="J26" s="20"/>
      <c r="K26" s="20"/>
      <c r="L26" s="20"/>
      <c r="M26" s="20"/>
    </row>
    <row r="27" customFormat="false" ht="4" hidden="false" customHeight="true" outlineLevel="0" collapsed="false">
      <c r="A27" s="12"/>
      <c r="B27" s="5"/>
      <c r="C27" s="12"/>
      <c r="D27" s="14"/>
      <c r="E27" s="12"/>
      <c r="F27" s="12"/>
      <c r="G27" s="34"/>
    </row>
    <row r="28" customFormat="false" ht="18" hidden="false" customHeight="true" outlineLevel="0" collapsed="false">
      <c r="A28" s="12" t="s">
        <v>25</v>
      </c>
      <c r="B28" s="12"/>
      <c r="C28" s="12"/>
      <c r="D28" s="12"/>
      <c r="E28" s="12"/>
      <c r="F28" s="12"/>
      <c r="G28" s="12"/>
    </row>
    <row r="29" customFormat="false" ht="18" hidden="false" customHeight="true" outlineLevel="0" collapsed="false">
      <c r="A29" s="12" t="s">
        <v>26</v>
      </c>
      <c r="B29" s="12"/>
      <c r="C29" s="12"/>
      <c r="D29" s="12"/>
      <c r="E29" s="12"/>
      <c r="F29" s="12"/>
      <c r="G29" s="12"/>
      <c r="Q29" s="35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</row>
    <row r="30" customFormat="false" ht="18" hidden="false" customHeight="true" outlineLevel="0" collapsed="false">
      <c r="A30" s="12" t="s">
        <v>27</v>
      </c>
      <c r="B30" s="12"/>
      <c r="C30" s="12"/>
      <c r="D30" s="12"/>
      <c r="E30" s="12"/>
      <c r="F30" s="12"/>
      <c r="G30" s="12"/>
      <c r="H30" s="12"/>
      <c r="P30" s="12"/>
      <c r="Q30" s="35"/>
      <c r="R30" s="35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  <c r="BO30" s="36"/>
      <c r="BP30" s="36"/>
      <c r="BQ30" s="36"/>
      <c r="BR30" s="36"/>
      <c r="BS30" s="36"/>
      <c r="BT30" s="36"/>
      <c r="BU30" s="36"/>
      <c r="BV30" s="36"/>
      <c r="BW30" s="36"/>
      <c r="BX30" s="36"/>
      <c r="BY30" s="36"/>
      <c r="BZ30" s="36"/>
      <c r="CA30" s="36"/>
      <c r="CB30" s="36"/>
      <c r="CC30" s="36"/>
      <c r="CD30" s="36"/>
      <c r="CE30" s="36"/>
      <c r="CF30" s="36"/>
      <c r="CG30" s="36"/>
      <c r="CH30" s="36"/>
      <c r="CI30" s="36"/>
      <c r="CJ30" s="36"/>
      <c r="CK30" s="36"/>
      <c r="CL30" s="36"/>
      <c r="CM30" s="36"/>
      <c r="CN30" s="36"/>
      <c r="CO30" s="36"/>
      <c r="CP30" s="36"/>
      <c r="CQ30" s="36"/>
      <c r="CR30" s="36"/>
      <c r="CS30" s="36"/>
      <c r="CT30" s="36"/>
      <c r="CU30" s="36"/>
      <c r="CV30" s="36"/>
      <c r="CW30" s="36"/>
      <c r="CX30" s="36"/>
      <c r="CY30" s="36"/>
      <c r="CZ30" s="36"/>
      <c r="DA30" s="36"/>
      <c r="DB30" s="36"/>
      <c r="DC30" s="36"/>
      <c r="DD30" s="36"/>
      <c r="DE30" s="36"/>
      <c r="DF30" s="36"/>
      <c r="DG30" s="36"/>
      <c r="DH30" s="36"/>
      <c r="DI30" s="36"/>
      <c r="DJ30" s="36"/>
      <c r="DK30" s="36"/>
      <c r="DL30" s="36"/>
      <c r="DM30" s="36"/>
      <c r="DN30" s="36"/>
      <c r="DO30" s="36"/>
      <c r="DP30" s="36"/>
      <c r="DQ30" s="36"/>
      <c r="DR30" s="36"/>
      <c r="DS30" s="36"/>
      <c r="DT30" s="36"/>
      <c r="DU30" s="36"/>
      <c r="DV30" s="36"/>
      <c r="DW30" s="36"/>
      <c r="DX30" s="36"/>
      <c r="DY30" s="36"/>
      <c r="DZ30" s="36"/>
      <c r="EA30" s="36"/>
      <c r="EB30" s="36"/>
      <c r="EC30" s="36"/>
      <c r="ED30" s="36"/>
      <c r="EE30" s="36"/>
      <c r="EF30" s="36"/>
      <c r="EG30" s="36"/>
      <c r="EH30" s="36"/>
      <c r="EI30" s="36"/>
      <c r="EJ30" s="36"/>
      <c r="EK30" s="36"/>
      <c r="EL30" s="36"/>
      <c r="EM30" s="36"/>
      <c r="EN30" s="36"/>
      <c r="EO30" s="36"/>
      <c r="EP30" s="36"/>
      <c r="EQ30" s="36"/>
      <c r="ER30" s="36"/>
      <c r="ES30" s="36"/>
      <c r="ET30" s="36"/>
      <c r="EU30" s="36"/>
      <c r="EV30" s="36"/>
      <c r="EW30" s="36"/>
      <c r="EX30" s="36"/>
      <c r="EY30" s="36"/>
      <c r="EZ30" s="36"/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6"/>
      <c r="FM30" s="36"/>
      <c r="FN30" s="36"/>
      <c r="FO30" s="36"/>
      <c r="FP30" s="36"/>
      <c r="FQ30" s="36"/>
      <c r="FR30" s="36"/>
      <c r="FS30" s="36"/>
      <c r="FT30" s="36"/>
      <c r="FU30" s="36"/>
      <c r="FV30" s="36"/>
      <c r="FW30" s="36"/>
      <c r="FX30" s="36"/>
      <c r="FY30" s="36"/>
      <c r="FZ30" s="36"/>
      <c r="GA30" s="36"/>
      <c r="GB30" s="36"/>
      <c r="GC30" s="36"/>
      <c r="GD30" s="36"/>
      <c r="GE30" s="36"/>
      <c r="GF30" s="36"/>
      <c r="GG30" s="36"/>
      <c r="GH30" s="36"/>
      <c r="GI30" s="36"/>
      <c r="GJ30" s="36"/>
      <c r="GK30" s="36"/>
      <c r="GL30" s="36"/>
      <c r="GM30" s="36"/>
      <c r="GN30" s="36"/>
      <c r="GO30" s="36"/>
      <c r="GP30" s="36"/>
      <c r="GQ30" s="36"/>
      <c r="GR30" s="36"/>
      <c r="GS30" s="36"/>
      <c r="GT30" s="36"/>
      <c r="GU30" s="36"/>
      <c r="GV30" s="36"/>
      <c r="GW30" s="36"/>
      <c r="GX30" s="36"/>
      <c r="GY30" s="36"/>
      <c r="GZ30" s="36"/>
      <c r="HA30" s="36"/>
      <c r="HB30" s="36"/>
      <c r="HC30" s="36"/>
      <c r="HD30" s="36"/>
      <c r="HE30" s="36"/>
      <c r="HF30" s="36"/>
      <c r="HG30" s="36"/>
      <c r="HH30" s="36"/>
      <c r="HI30" s="36"/>
      <c r="HJ30" s="36"/>
      <c r="HK30" s="36"/>
      <c r="HL30" s="36"/>
      <c r="HM30" s="36"/>
      <c r="HN30" s="36"/>
      <c r="HO30" s="36"/>
      <c r="HP30" s="36"/>
      <c r="HQ30" s="36"/>
      <c r="HR30" s="36"/>
      <c r="HS30" s="36"/>
      <c r="HT30" s="36"/>
      <c r="HU30" s="36"/>
      <c r="HV30" s="36"/>
      <c r="HW30" s="36"/>
      <c r="HX30" s="36"/>
      <c r="HY30" s="36"/>
      <c r="HZ30" s="36"/>
      <c r="IA30" s="36"/>
      <c r="IB30" s="36"/>
      <c r="IC30" s="36"/>
      <c r="ID30" s="36"/>
      <c r="IE30" s="36"/>
      <c r="IF30" s="36"/>
      <c r="IG30" s="36"/>
      <c r="IH30" s="36"/>
      <c r="II30" s="36"/>
      <c r="IJ30" s="36"/>
      <c r="IK30" s="36"/>
      <c r="IL30" s="36"/>
      <c r="IM30" s="36"/>
      <c r="IN30" s="36"/>
      <c r="IO30" s="36"/>
      <c r="IP30" s="36"/>
      <c r="IQ30" s="36"/>
      <c r="IR30" s="36"/>
      <c r="IS30" s="36"/>
      <c r="IT30" s="36"/>
      <c r="IU30" s="36"/>
      <c r="IV30" s="36"/>
      <c r="IW30" s="36"/>
    </row>
    <row r="31" customFormat="false" ht="18" hidden="false" customHeight="true" outlineLevel="0" collapsed="false">
      <c r="A31" s="37" t="s">
        <v>28</v>
      </c>
      <c r="B31" s="37"/>
      <c r="C31" s="37"/>
      <c r="D31" s="37"/>
      <c r="E31" s="37"/>
      <c r="F31" s="37"/>
      <c r="G31" s="37"/>
    </row>
    <row r="32" customFormat="false" ht="30.95" hidden="false" customHeight="true" outlineLevel="0" collapsed="false">
      <c r="A32" s="6" t="s">
        <v>0</v>
      </c>
      <c r="B32" s="6"/>
      <c r="C32" s="6"/>
      <c r="D32" s="6"/>
      <c r="E32" s="6"/>
      <c r="F32" s="6"/>
      <c r="G32" s="6"/>
    </row>
    <row r="33" customFormat="false" ht="21.95" hidden="false" customHeight="true" outlineLevel="0" collapsed="false">
      <c r="A33" s="38" t="s">
        <v>29</v>
      </c>
      <c r="B33" s="38"/>
      <c r="C33" s="38"/>
      <c r="D33" s="38"/>
      <c r="E33" s="38"/>
      <c r="F33" s="38"/>
      <c r="G33" s="38"/>
    </row>
    <row r="34" customFormat="false" ht="16.8" hidden="false" customHeight="false" outlineLevel="0" collapsed="false">
      <c r="A34" s="39"/>
      <c r="B34" s="40"/>
      <c r="C34" s="39"/>
      <c r="D34" s="39"/>
      <c r="E34" s="39"/>
      <c r="F34" s="41"/>
      <c r="G34" s="42"/>
      <c r="H34" s="43"/>
      <c r="I34" s="44"/>
      <c r="J34" s="44"/>
      <c r="K34" s="44"/>
      <c r="L34" s="44"/>
      <c r="M34" s="44"/>
      <c r="N34" s="45"/>
      <c r="O34" s="45"/>
      <c r="P34" s="43"/>
      <c r="Q34" s="46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</row>
    <row r="35" customFormat="false" ht="16.8" hidden="false" customHeight="false" outlineLevel="0" collapsed="false">
      <c r="A35" s="47" t="str">
        <f aca="false">B8</f>
        <v>低压出线柜3D4 3D5 4D3 4D4 4D6 4D7 5D4 5D5 6D3 6D4 6D6 6D7</v>
      </c>
      <c r="B35" s="47"/>
      <c r="C35" s="47"/>
      <c r="D35" s="47"/>
      <c r="E35" s="47"/>
      <c r="F35" s="47"/>
      <c r="G35" s="48"/>
      <c r="H35" s="43"/>
      <c r="I35" s="44"/>
      <c r="J35" s="44"/>
      <c r="K35" s="44"/>
      <c r="L35" s="44"/>
      <c r="M35" s="44"/>
      <c r="N35" s="45"/>
      <c r="O35" s="45"/>
      <c r="P35" s="43"/>
      <c r="Q35" s="46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  <c r="HM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  <c r="HZ35" s="45"/>
      <c r="IA35" s="45"/>
      <c r="IB35" s="45"/>
      <c r="IC35" s="45"/>
      <c r="ID35" s="45"/>
      <c r="IE35" s="45"/>
      <c r="IF35" s="45"/>
      <c r="IG35" s="45"/>
      <c r="IH35" s="45"/>
      <c r="II35" s="45"/>
      <c r="IJ35" s="45"/>
      <c r="IK35" s="45"/>
      <c r="IL35" s="45"/>
      <c r="IM35" s="45"/>
      <c r="IN35" s="45"/>
      <c r="IO35" s="45"/>
      <c r="IP35" s="45"/>
      <c r="IQ35" s="45"/>
      <c r="IR35" s="45"/>
      <c r="IS35" s="45"/>
      <c r="IT35" s="45"/>
      <c r="IU35" s="45"/>
      <c r="IV35" s="45"/>
      <c r="IW35" s="45"/>
    </row>
    <row r="36" customFormat="false" ht="16.8" hidden="false" customHeight="false" outlineLevel="0" collapsed="false">
      <c r="A36" s="49" t="s">
        <v>5</v>
      </c>
      <c r="B36" s="49" t="s">
        <v>30</v>
      </c>
      <c r="C36" s="49" t="s">
        <v>31</v>
      </c>
      <c r="D36" s="49" t="s">
        <v>32</v>
      </c>
      <c r="E36" s="49" t="s">
        <v>33</v>
      </c>
      <c r="F36" s="49" t="s">
        <v>34</v>
      </c>
      <c r="G36" s="50" t="s">
        <v>35</v>
      </c>
      <c r="H36" s="43"/>
      <c r="I36" s="44" t="s">
        <v>36</v>
      </c>
      <c r="J36" s="44" t="s">
        <v>37</v>
      </c>
      <c r="K36" s="44" t="s">
        <v>38</v>
      </c>
      <c r="L36" s="44" t="s">
        <v>36</v>
      </c>
      <c r="M36" s="44" t="s">
        <v>39</v>
      </c>
      <c r="N36" s="45"/>
      <c r="O36" s="45"/>
      <c r="P36" s="43"/>
      <c r="Q36" s="46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P36" s="45"/>
      <c r="GQ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L36" s="45"/>
      <c r="HM36" s="45"/>
      <c r="HN36" s="45"/>
      <c r="HO36" s="45"/>
      <c r="HP36" s="45"/>
      <c r="HQ36" s="45"/>
      <c r="HR36" s="45"/>
      <c r="HS36" s="45"/>
      <c r="HT36" s="45"/>
      <c r="HU36" s="45"/>
      <c r="HV36" s="45"/>
      <c r="HW36" s="45"/>
      <c r="HX36" s="45"/>
      <c r="HY36" s="45"/>
      <c r="HZ36" s="45"/>
      <c r="IA36" s="45"/>
      <c r="IB36" s="45"/>
      <c r="IC36" s="45"/>
      <c r="ID36" s="45"/>
      <c r="IE36" s="45"/>
      <c r="IF36" s="45"/>
      <c r="IG36" s="45"/>
      <c r="IH36" s="45"/>
      <c r="II36" s="45"/>
      <c r="IJ36" s="45"/>
      <c r="IK36" s="45"/>
      <c r="IL36" s="45"/>
      <c r="IM36" s="45"/>
      <c r="IN36" s="45"/>
      <c r="IO36" s="45"/>
      <c r="IP36" s="45"/>
      <c r="IQ36" s="45"/>
      <c r="IR36" s="45"/>
      <c r="IS36" s="45"/>
      <c r="IT36" s="45"/>
      <c r="IU36" s="45"/>
      <c r="IV36" s="45"/>
      <c r="IW36" s="45"/>
    </row>
    <row r="37" customFormat="false" ht="16.8" hidden="false" customHeight="false" outlineLevel="0" collapsed="false">
      <c r="A37" s="49" t="n">
        <v>1</v>
      </c>
      <c r="B37" s="51" t="s">
        <v>40</v>
      </c>
      <c r="C37" s="52" t="s">
        <v>41</v>
      </c>
      <c r="D37" s="53" t="n">
        <v>0</v>
      </c>
      <c r="E37" s="54" t="n">
        <f aca="false">ROUND(H37,0)</f>
        <v>444</v>
      </c>
      <c r="F37" s="54" t="n">
        <f aca="false">E37*D37</f>
        <v>0</v>
      </c>
      <c r="G37" s="50" t="str">
        <f aca="false">VLOOKUP(C37,库!A:D,4,FALSE())</f>
        <v>ABB</v>
      </c>
      <c r="H37" s="55" t="n">
        <f aca="false">VLOOKUP(C37,库!A:D,3,FALSE())</f>
        <v>443.754</v>
      </c>
      <c r="I37" s="56" t="n">
        <f aca="false">63*D37</f>
        <v>0</v>
      </c>
      <c r="J37" s="56" t="n">
        <f aca="false">80*D37*((K39/105-1)/2+1)</f>
        <v>0</v>
      </c>
      <c r="K37" s="57" t="n">
        <v>0.8</v>
      </c>
      <c r="L37" s="56" t="n">
        <v>500</v>
      </c>
      <c r="M37" s="56" t="n">
        <v>0.18</v>
      </c>
      <c r="N37" s="45" t="n">
        <f aca="false">D37*166</f>
        <v>0</v>
      </c>
      <c r="O37" s="45" t="n">
        <f aca="false">400*D37</f>
        <v>0</v>
      </c>
      <c r="P37" s="43" t="n">
        <f aca="false">IF(F37&lt;10000,F37*0.3,IF(F37&gt;49999.99,F37*0.1,(0.29-0.000003125*F37)*F37))</f>
        <v>0</v>
      </c>
      <c r="Q37" s="46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L37" s="45"/>
      <c r="HM37" s="45"/>
      <c r="HN37" s="45"/>
      <c r="HO37" s="45"/>
      <c r="HP37" s="45"/>
      <c r="HQ37" s="45"/>
      <c r="HR37" s="45"/>
      <c r="HS37" s="45"/>
      <c r="HT37" s="45"/>
      <c r="HU37" s="45"/>
      <c r="HV37" s="45"/>
      <c r="HW37" s="45"/>
      <c r="HX37" s="45"/>
      <c r="HY37" s="45"/>
      <c r="HZ37" s="45"/>
      <c r="IA37" s="45"/>
      <c r="IB37" s="45"/>
      <c r="IC37" s="45"/>
      <c r="ID37" s="45"/>
      <c r="IE37" s="45"/>
      <c r="IF37" s="45"/>
      <c r="IG37" s="45"/>
      <c r="IH37" s="45"/>
      <c r="II37" s="45"/>
      <c r="IJ37" s="45"/>
      <c r="IK37" s="45"/>
      <c r="IL37" s="45"/>
      <c r="IM37" s="45"/>
      <c r="IN37" s="45"/>
      <c r="IO37" s="45"/>
      <c r="IP37" s="45"/>
      <c r="IQ37" s="45"/>
      <c r="IR37" s="45"/>
      <c r="IS37" s="45"/>
      <c r="IT37" s="45"/>
      <c r="IU37" s="45"/>
      <c r="IV37" s="45"/>
      <c r="IW37" s="45"/>
    </row>
    <row r="38" customFormat="false" ht="16.8" hidden="false" customHeight="false" outlineLevel="0" collapsed="false">
      <c r="A38" s="49" t="n">
        <v>2</v>
      </c>
      <c r="B38" s="51" t="s">
        <v>40</v>
      </c>
      <c r="C38" s="52" t="s">
        <v>42</v>
      </c>
      <c r="D38" s="53" t="n">
        <v>1</v>
      </c>
      <c r="E38" s="54" t="n">
        <f aca="false">ROUND(H38,0)</f>
        <v>444</v>
      </c>
      <c r="F38" s="54" t="n">
        <f aca="false">E38*D38</f>
        <v>444</v>
      </c>
      <c r="G38" s="50" t="str">
        <f aca="false">VLOOKUP(C38,库!A:D,4,FALSE())</f>
        <v>ABB</v>
      </c>
      <c r="H38" s="55" t="n">
        <f aca="false">VLOOKUP(C38,库!A:D,3,FALSE())</f>
        <v>443.754</v>
      </c>
      <c r="I38" s="56" t="n">
        <f aca="false">100*D38</f>
        <v>100</v>
      </c>
      <c r="J38" s="56" t="n">
        <f aca="false">120*D38*((K39/105-1)/2+1)</f>
        <v>117.142857142857</v>
      </c>
      <c r="K38" s="58" t="s">
        <v>43</v>
      </c>
      <c r="L38" s="56" t="n">
        <v>755</v>
      </c>
      <c r="M38" s="56" t="n">
        <v>0.24</v>
      </c>
      <c r="N38" s="45" t="n">
        <f aca="false">D38*166</f>
        <v>166</v>
      </c>
      <c r="O38" s="45" t="n">
        <f aca="false">400*D38</f>
        <v>400</v>
      </c>
      <c r="P38" s="43" t="n">
        <f aca="false">IF(F38&lt;10000,F38*0.3,IF(F38&gt;49999.99,F38*0.1,(0.29-0.000003125*F38)*F38))</f>
        <v>133.2</v>
      </c>
      <c r="Q38" s="46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  <c r="GL38" s="45"/>
      <c r="GM38" s="45"/>
      <c r="GN38" s="45"/>
      <c r="GO38" s="45"/>
      <c r="GP38" s="45"/>
      <c r="GQ38" s="45"/>
      <c r="GR38" s="45"/>
      <c r="GS38" s="45"/>
      <c r="GT38" s="45"/>
      <c r="GU38" s="45"/>
      <c r="GV38" s="45"/>
      <c r="GW38" s="45"/>
      <c r="GX38" s="45"/>
      <c r="GY38" s="45"/>
      <c r="GZ38" s="45"/>
      <c r="HA38" s="45"/>
      <c r="HB38" s="45"/>
      <c r="HC38" s="45"/>
      <c r="HD38" s="45"/>
      <c r="HE38" s="45"/>
      <c r="HF38" s="45"/>
      <c r="HG38" s="45"/>
      <c r="HH38" s="45"/>
      <c r="HI38" s="45"/>
      <c r="HJ38" s="45"/>
      <c r="HK38" s="45"/>
      <c r="HL38" s="45"/>
      <c r="HM38" s="45"/>
      <c r="HN38" s="45"/>
      <c r="HO38" s="45"/>
      <c r="HP38" s="45"/>
      <c r="HQ38" s="45"/>
      <c r="HR38" s="45"/>
      <c r="HS38" s="45"/>
      <c r="HT38" s="45"/>
      <c r="HU38" s="45"/>
      <c r="HV38" s="45"/>
      <c r="HW38" s="45"/>
      <c r="HX38" s="45"/>
      <c r="HY38" s="45"/>
      <c r="HZ38" s="45"/>
      <c r="IA38" s="45"/>
      <c r="IB38" s="45"/>
      <c r="IC38" s="45"/>
      <c r="ID38" s="45"/>
      <c r="IE38" s="45"/>
      <c r="IF38" s="45"/>
      <c r="IG38" s="45"/>
      <c r="IH38" s="45"/>
      <c r="II38" s="45"/>
      <c r="IJ38" s="45"/>
      <c r="IK38" s="45"/>
      <c r="IL38" s="45"/>
      <c r="IM38" s="45"/>
      <c r="IN38" s="45"/>
      <c r="IO38" s="45"/>
      <c r="IP38" s="45"/>
      <c r="IQ38" s="45"/>
      <c r="IR38" s="45"/>
      <c r="IS38" s="45"/>
      <c r="IT38" s="45"/>
      <c r="IU38" s="45"/>
      <c r="IV38" s="45"/>
      <c r="IW38" s="45"/>
    </row>
    <row r="39" customFormat="false" ht="16.8" hidden="false" customHeight="false" outlineLevel="0" collapsed="false">
      <c r="A39" s="49" t="n">
        <v>3</v>
      </c>
      <c r="B39" s="51" t="s">
        <v>40</v>
      </c>
      <c r="C39" s="52" t="s">
        <v>44</v>
      </c>
      <c r="D39" s="53" t="n">
        <v>2</v>
      </c>
      <c r="E39" s="54" t="n">
        <f aca="false">ROUND(H39,0)</f>
        <v>737</v>
      </c>
      <c r="F39" s="54" t="n">
        <f aca="false">E39*D39</f>
        <v>1474</v>
      </c>
      <c r="G39" s="50" t="str">
        <f aca="false">VLOOKUP(C39,库!A:D,4,FALSE())</f>
        <v>ABB</v>
      </c>
      <c r="H39" s="55" t="n">
        <f aca="false">VLOOKUP(C39,库!A:D,3,FALSE())</f>
        <v>736.794</v>
      </c>
      <c r="I39" s="56" t="n">
        <f aca="false">160*D39</f>
        <v>320</v>
      </c>
      <c r="J39" s="56" t="n">
        <f aca="false">120*D39*((K39/105-1)/2+1)</f>
        <v>234.285714285714</v>
      </c>
      <c r="K39" s="57" t="n">
        <v>100</v>
      </c>
      <c r="L39" s="56" t="n">
        <v>990</v>
      </c>
      <c r="M39" s="56" t="n">
        <v>0.36</v>
      </c>
      <c r="N39" s="45" t="n">
        <f aca="false">D39*340</f>
        <v>680</v>
      </c>
      <c r="O39" s="45" t="n">
        <f aca="false">400*D39</f>
        <v>800</v>
      </c>
      <c r="P39" s="43" t="n">
        <f aca="false">IF(F39&lt;10000,F39*0.3,IF(F39&gt;49999.99,F39*0.1,(0.29-0.000003125*F39)*F39))</f>
        <v>442.2</v>
      </c>
      <c r="Q39" s="46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  <c r="IW39" s="45"/>
    </row>
    <row r="40" customFormat="false" ht="16.8" hidden="false" customHeight="false" outlineLevel="0" collapsed="false">
      <c r="A40" s="49" t="n">
        <v>4</v>
      </c>
      <c r="B40" s="51" t="s">
        <v>40</v>
      </c>
      <c r="C40" s="52" t="s">
        <v>45</v>
      </c>
      <c r="D40" s="53" t="n">
        <v>2</v>
      </c>
      <c r="E40" s="54" t="n">
        <f aca="false">ROUND(H40,0)</f>
        <v>1056</v>
      </c>
      <c r="F40" s="54" t="n">
        <f aca="false">E40*D40</f>
        <v>2112</v>
      </c>
      <c r="G40" s="50" t="str">
        <f aca="false">VLOOKUP(C40,库!A:D,4,FALSE())</f>
        <v>ABB</v>
      </c>
      <c r="H40" s="55" t="n">
        <f aca="false">VLOOKUP(C40,库!A:D,3,FALSE())</f>
        <v>1055.538</v>
      </c>
      <c r="I40" s="56" t="n">
        <f aca="false">D40*250</f>
        <v>500</v>
      </c>
      <c r="J40" s="56" t="n">
        <f aca="false">192*D40*((K39/105-1)/2+1)</f>
        <v>374.857142857143</v>
      </c>
      <c r="K40" s="56"/>
      <c r="L40" s="56" t="n">
        <v>1160</v>
      </c>
      <c r="M40" s="56" t="n">
        <v>0.48</v>
      </c>
      <c r="N40" s="45" t="n">
        <f aca="false">D40*192</f>
        <v>384</v>
      </c>
      <c r="O40" s="45" t="n">
        <f aca="false">400*D40</f>
        <v>800</v>
      </c>
      <c r="P40" s="43" t="n">
        <f aca="false">IF(F40&lt;10000,F40*0.3,IF(F40&gt;49999.99,F40*0.1,(0.29-0.000003125*F40)*F40))</f>
        <v>633.6</v>
      </c>
      <c r="Q40" s="46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  <c r="GL40" s="45"/>
      <c r="GM40" s="45"/>
      <c r="GN40" s="45"/>
      <c r="GO40" s="45"/>
      <c r="GP40" s="45"/>
      <c r="GQ40" s="45"/>
      <c r="GR40" s="45"/>
      <c r="GS40" s="45"/>
      <c r="GT40" s="45"/>
      <c r="GU40" s="45"/>
      <c r="GV40" s="45"/>
      <c r="GW40" s="45"/>
      <c r="GX40" s="45"/>
      <c r="GY40" s="45"/>
      <c r="GZ40" s="45"/>
      <c r="HA40" s="45"/>
      <c r="HB40" s="45"/>
      <c r="HC40" s="45"/>
      <c r="HD40" s="45"/>
      <c r="HE40" s="45"/>
      <c r="HF40" s="45"/>
      <c r="HG40" s="45"/>
      <c r="HH40" s="45"/>
      <c r="HI40" s="45"/>
      <c r="HJ40" s="45"/>
      <c r="HK40" s="45"/>
      <c r="HL40" s="45"/>
      <c r="HM40" s="45"/>
      <c r="HN40" s="45"/>
      <c r="HO40" s="45"/>
      <c r="HP40" s="45"/>
      <c r="HQ40" s="45"/>
      <c r="HR40" s="45"/>
      <c r="HS40" s="45"/>
      <c r="HT40" s="45"/>
      <c r="HU40" s="45"/>
      <c r="HV40" s="45"/>
      <c r="HW40" s="45"/>
      <c r="HX40" s="45"/>
      <c r="HY40" s="45"/>
      <c r="HZ40" s="45"/>
      <c r="IA40" s="45"/>
      <c r="IB40" s="45"/>
      <c r="IC40" s="45"/>
      <c r="ID40" s="45"/>
      <c r="IE40" s="45"/>
      <c r="IF40" s="45"/>
      <c r="IG40" s="45"/>
      <c r="IH40" s="45"/>
      <c r="II40" s="45"/>
      <c r="IJ40" s="45"/>
      <c r="IK40" s="45"/>
      <c r="IL40" s="45"/>
      <c r="IM40" s="45"/>
      <c r="IN40" s="45"/>
      <c r="IO40" s="45"/>
      <c r="IP40" s="45"/>
      <c r="IQ40" s="45"/>
      <c r="IR40" s="45"/>
      <c r="IS40" s="45"/>
      <c r="IT40" s="45"/>
      <c r="IU40" s="45"/>
      <c r="IV40" s="45"/>
      <c r="IW40" s="45"/>
    </row>
    <row r="41" customFormat="false" ht="16.8" hidden="false" customHeight="false" outlineLevel="0" collapsed="false">
      <c r="A41" s="49" t="n">
        <v>5</v>
      </c>
      <c r="B41" s="51" t="s">
        <v>40</v>
      </c>
      <c r="C41" s="52" t="s">
        <v>46</v>
      </c>
      <c r="D41" s="53" t="n">
        <v>0</v>
      </c>
      <c r="E41" s="54" t="n">
        <f aca="false">ROUND(H41,0)</f>
        <v>1579</v>
      </c>
      <c r="F41" s="54" t="n">
        <f aca="false">E41*D41</f>
        <v>0</v>
      </c>
      <c r="G41" s="50" t="str">
        <f aca="false">VLOOKUP(C41,库!A:D,4,FALSE())</f>
        <v>ABB</v>
      </c>
      <c r="H41" s="55" t="n">
        <f aca="false">VLOOKUP(C41,库!A:D,3,FALSE())</f>
        <v>1578.726</v>
      </c>
      <c r="I41" s="56" t="n">
        <f aca="false">D41*400</f>
        <v>0</v>
      </c>
      <c r="J41" s="56" t="n">
        <f aca="false">192*D41*((K39/105-1)/2+1)</f>
        <v>0</v>
      </c>
      <c r="K41" s="56"/>
      <c r="L41" s="56" t="n">
        <v>1500</v>
      </c>
      <c r="M41" s="56" t="n">
        <v>0.6</v>
      </c>
      <c r="N41" s="45" t="n">
        <f aca="false">D41*192</f>
        <v>0</v>
      </c>
      <c r="O41" s="45" t="n">
        <f aca="false">400*D41</f>
        <v>0</v>
      </c>
      <c r="P41" s="43" t="n">
        <f aca="false">IF(F41&lt;10000,F41*0.3,IF(F41&gt;49999.99,F41*0.1,(0.29-0.000003125*F41)*F41))</f>
        <v>0</v>
      </c>
      <c r="Q41" s="46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  <c r="GL41" s="45"/>
      <c r="GM41" s="45"/>
      <c r="GN41" s="45"/>
      <c r="GO41" s="45"/>
      <c r="GP41" s="45"/>
      <c r="GQ41" s="45"/>
      <c r="GR41" s="45"/>
      <c r="GS41" s="45"/>
      <c r="GT41" s="45"/>
      <c r="GU41" s="45"/>
      <c r="GV41" s="45"/>
      <c r="GW41" s="45"/>
      <c r="GX41" s="45"/>
      <c r="GY41" s="45"/>
      <c r="GZ41" s="45"/>
      <c r="HA41" s="45"/>
      <c r="HB41" s="45"/>
      <c r="HC41" s="45"/>
      <c r="HD41" s="45"/>
      <c r="HE41" s="45"/>
      <c r="HF41" s="45"/>
      <c r="HG41" s="45"/>
      <c r="HH41" s="45"/>
      <c r="HI41" s="45"/>
      <c r="HJ41" s="45"/>
      <c r="HK41" s="45"/>
      <c r="HL41" s="45"/>
      <c r="HM41" s="45"/>
      <c r="HN41" s="45"/>
      <c r="HO41" s="45"/>
      <c r="HP41" s="45"/>
      <c r="HQ41" s="45"/>
      <c r="HR41" s="45"/>
      <c r="HS41" s="45"/>
      <c r="HT41" s="45"/>
      <c r="HU41" s="45"/>
      <c r="HV41" s="45"/>
      <c r="HW41" s="45"/>
      <c r="HX41" s="45"/>
      <c r="HY41" s="45"/>
      <c r="HZ41" s="45"/>
      <c r="IA41" s="45"/>
      <c r="IB41" s="45"/>
      <c r="IC41" s="45"/>
      <c r="ID41" s="45"/>
      <c r="IE41" s="45"/>
      <c r="IF41" s="45"/>
      <c r="IG41" s="45"/>
      <c r="IH41" s="45"/>
      <c r="II41" s="45"/>
      <c r="IJ41" s="45"/>
      <c r="IK41" s="45"/>
      <c r="IL41" s="45"/>
      <c r="IM41" s="45"/>
      <c r="IN41" s="45"/>
      <c r="IO41" s="45"/>
      <c r="IP41" s="45"/>
      <c r="IQ41" s="45"/>
      <c r="IR41" s="45"/>
      <c r="IS41" s="45"/>
      <c r="IT41" s="45"/>
      <c r="IU41" s="45"/>
      <c r="IV41" s="45"/>
      <c r="IW41" s="45"/>
    </row>
    <row r="42" customFormat="false" ht="16.8" hidden="false" customHeight="false" outlineLevel="0" collapsed="false">
      <c r="A42" s="49" t="n">
        <v>6</v>
      </c>
      <c r="B42" s="51" t="s">
        <v>40</v>
      </c>
      <c r="C42" s="52" t="s">
        <v>47</v>
      </c>
      <c r="D42" s="53" t="n">
        <v>0</v>
      </c>
      <c r="E42" s="54" t="n">
        <f aca="false">ROUND(H42,0)</f>
        <v>2960</v>
      </c>
      <c r="F42" s="54" t="n">
        <f aca="false">E42*D42</f>
        <v>0</v>
      </c>
      <c r="G42" s="50" t="str">
        <f aca="false">VLOOKUP(C42,库!A:D,4,FALSE())</f>
        <v>ABB</v>
      </c>
      <c r="H42" s="55" t="n">
        <f aca="false">VLOOKUP(C42,库!A:D,3,FALSE())</f>
        <v>2960.451</v>
      </c>
      <c r="I42" s="56" t="n">
        <f aca="false">D42*500</f>
        <v>0</v>
      </c>
      <c r="J42" s="56" t="n">
        <f aca="false">401*D42*((K39/105-1)/2+1)</f>
        <v>0</v>
      </c>
      <c r="K42" s="56"/>
      <c r="L42" s="56"/>
      <c r="M42" s="56" t="n">
        <v>0.72</v>
      </c>
      <c r="N42" s="45" t="n">
        <f aca="false">D42*192</f>
        <v>0</v>
      </c>
      <c r="O42" s="45" t="n">
        <f aca="false">400*D42</f>
        <v>0</v>
      </c>
      <c r="P42" s="43" t="n">
        <f aca="false">IF(F42&lt;10000,F42*0.3,IF(F42&gt;49999.99,F42*0.1,(0.29-0.000003125*F42)*F42))</f>
        <v>0</v>
      </c>
      <c r="Q42" s="46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  <c r="GL42" s="45"/>
      <c r="GM42" s="45"/>
      <c r="GN42" s="45"/>
      <c r="GO42" s="45"/>
      <c r="GP42" s="45"/>
      <c r="GQ42" s="45"/>
      <c r="GR42" s="45"/>
      <c r="GS42" s="45"/>
      <c r="GT42" s="45"/>
      <c r="GU42" s="45"/>
      <c r="GV42" s="45"/>
      <c r="GW42" s="45"/>
      <c r="GX42" s="45"/>
      <c r="GY42" s="45"/>
      <c r="GZ42" s="45"/>
      <c r="HA42" s="45"/>
      <c r="HB42" s="45"/>
      <c r="HC42" s="45"/>
      <c r="HD42" s="45"/>
      <c r="HE42" s="45"/>
      <c r="HF42" s="45"/>
      <c r="HG42" s="45"/>
      <c r="HH42" s="45"/>
      <c r="HI42" s="45"/>
      <c r="HJ42" s="45"/>
      <c r="HK42" s="45"/>
      <c r="HL42" s="45"/>
      <c r="HM42" s="45"/>
      <c r="HN42" s="45"/>
      <c r="HO42" s="45"/>
      <c r="HP42" s="45"/>
      <c r="HQ42" s="45"/>
      <c r="HR42" s="45"/>
      <c r="HS42" s="45"/>
      <c r="HT42" s="45"/>
      <c r="HU42" s="45"/>
      <c r="HV42" s="45"/>
      <c r="HW42" s="45"/>
      <c r="HX42" s="45"/>
      <c r="HY42" s="45"/>
      <c r="HZ42" s="45"/>
      <c r="IA42" s="45"/>
      <c r="IB42" s="45"/>
      <c r="IC42" s="45"/>
      <c r="ID42" s="45"/>
      <c r="IE42" s="45"/>
      <c r="IF42" s="45"/>
      <c r="IG42" s="45"/>
      <c r="IH42" s="45"/>
      <c r="II42" s="45"/>
      <c r="IJ42" s="45"/>
      <c r="IK42" s="45"/>
      <c r="IL42" s="45"/>
      <c r="IM42" s="45"/>
      <c r="IN42" s="45"/>
      <c r="IO42" s="45"/>
      <c r="IP42" s="45"/>
      <c r="IQ42" s="45"/>
      <c r="IR42" s="45"/>
      <c r="IS42" s="45"/>
      <c r="IT42" s="45"/>
      <c r="IU42" s="45"/>
      <c r="IV42" s="45"/>
      <c r="IW42" s="45"/>
    </row>
    <row r="43" customFormat="false" ht="16.8" hidden="false" customHeight="false" outlineLevel="0" collapsed="false">
      <c r="A43" s="49" t="n">
        <v>7</v>
      </c>
      <c r="B43" s="51" t="s">
        <v>40</v>
      </c>
      <c r="C43" s="52" t="s">
        <v>48</v>
      </c>
      <c r="D43" s="53" t="n">
        <v>0</v>
      </c>
      <c r="E43" s="54" t="n">
        <f aca="false">ROUND(H43,0)</f>
        <v>3746</v>
      </c>
      <c r="F43" s="54" t="n">
        <f aca="false">E43*D43</f>
        <v>0</v>
      </c>
      <c r="G43" s="50" t="str">
        <f aca="false">VLOOKUP(C43,库!A:D,4,FALSE())</f>
        <v>ABB</v>
      </c>
      <c r="H43" s="55" t="n">
        <f aca="false">VLOOKUP(C43,库!A:D,3,FALSE())</f>
        <v>3745.7505</v>
      </c>
      <c r="I43" s="56" t="n">
        <f aca="false">630*D43</f>
        <v>0</v>
      </c>
      <c r="J43" s="56" t="n">
        <f aca="false">401*D43*((K39/105-1)/2+1)</f>
        <v>0</v>
      </c>
      <c r="K43" s="56"/>
      <c r="L43" s="56"/>
      <c r="M43" s="56"/>
      <c r="N43" s="45" t="n">
        <f aca="false">D43*192</f>
        <v>0</v>
      </c>
      <c r="O43" s="45" t="n">
        <f aca="false">400*D43</f>
        <v>0</v>
      </c>
      <c r="P43" s="43" t="n">
        <f aca="false">IF(F43&lt;10000,F43*0.3,IF(F43&gt;49999.99,F43*0.1,(0.29-0.000003125*F43)*F43))</f>
        <v>0</v>
      </c>
      <c r="Q43" s="46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  <c r="GL43" s="45"/>
      <c r="GM43" s="45"/>
      <c r="GN43" s="45"/>
      <c r="GO43" s="45"/>
      <c r="GP43" s="45"/>
      <c r="GQ43" s="45"/>
      <c r="GR43" s="45"/>
      <c r="GS43" s="45"/>
      <c r="GT43" s="45"/>
      <c r="GU43" s="45"/>
      <c r="GV43" s="45"/>
      <c r="GW43" s="45"/>
      <c r="GX43" s="45"/>
      <c r="GY43" s="45"/>
      <c r="GZ43" s="45"/>
      <c r="HA43" s="45"/>
      <c r="HB43" s="45"/>
      <c r="HC43" s="45"/>
      <c r="HD43" s="45"/>
      <c r="HE43" s="45"/>
      <c r="HF43" s="45"/>
      <c r="HG43" s="45"/>
      <c r="HH43" s="45"/>
      <c r="HI43" s="45"/>
      <c r="HJ43" s="45"/>
      <c r="HK43" s="45"/>
      <c r="HL43" s="45"/>
      <c r="HM43" s="45"/>
      <c r="HN43" s="45"/>
      <c r="HO43" s="45"/>
      <c r="HP43" s="45"/>
      <c r="HQ43" s="45"/>
      <c r="HR43" s="45"/>
      <c r="HS43" s="45"/>
      <c r="HT43" s="45"/>
      <c r="HU43" s="45"/>
      <c r="HV43" s="45"/>
      <c r="HW43" s="45"/>
      <c r="HX43" s="45"/>
      <c r="HY43" s="45"/>
      <c r="HZ43" s="45"/>
      <c r="IA43" s="45"/>
      <c r="IB43" s="45"/>
      <c r="IC43" s="45"/>
      <c r="ID43" s="45"/>
      <c r="IE43" s="45"/>
      <c r="IF43" s="45"/>
      <c r="IG43" s="45"/>
      <c r="IH43" s="45"/>
      <c r="II43" s="45"/>
      <c r="IJ43" s="45"/>
      <c r="IK43" s="45"/>
      <c r="IL43" s="45"/>
      <c r="IM43" s="45"/>
      <c r="IN43" s="45"/>
      <c r="IO43" s="45"/>
      <c r="IP43" s="45"/>
      <c r="IQ43" s="45"/>
      <c r="IR43" s="45"/>
      <c r="IS43" s="45"/>
      <c r="IT43" s="45"/>
      <c r="IU43" s="45"/>
      <c r="IV43" s="45"/>
      <c r="IW43" s="45"/>
    </row>
    <row r="44" customFormat="false" ht="16.8" hidden="false" customHeight="false" outlineLevel="0" collapsed="false">
      <c r="A44" s="49" t="n">
        <v>8</v>
      </c>
      <c r="B44" s="51" t="s">
        <v>49</v>
      </c>
      <c r="C44" s="52" t="s">
        <v>50</v>
      </c>
      <c r="D44" s="53" t="n">
        <v>0</v>
      </c>
      <c r="E44" s="54" t="n">
        <f aca="false">ROUND(H44,0)</f>
        <v>16613</v>
      </c>
      <c r="F44" s="54" t="n">
        <f aca="false">E44*D44</f>
        <v>0</v>
      </c>
      <c r="G44" s="50" t="str">
        <f aca="false">VLOOKUP(C44,库!A:D,4,FALSE())</f>
        <v>ABB</v>
      </c>
      <c r="H44" s="55" t="n">
        <f aca="false">VLOOKUP(C44,库!A:D,3,FALSE())</f>
        <v>16612.9915</v>
      </c>
      <c r="I44" s="56" t="n">
        <f aca="false">630*D44</f>
        <v>0</v>
      </c>
      <c r="J44" s="56" t="n">
        <f aca="false">2.5*D44*0.25*K39*8.9*3</f>
        <v>0</v>
      </c>
      <c r="K44" s="56"/>
      <c r="L44" s="56"/>
      <c r="M44" s="56"/>
      <c r="N44" s="45" t="n">
        <f aca="false">D44*192</f>
        <v>0</v>
      </c>
      <c r="O44" s="45" t="n">
        <f aca="false">400*D44</f>
        <v>0</v>
      </c>
      <c r="P44" s="43" t="n">
        <f aca="false">IF(F44&lt;10000,F44*0.3,IF(F44&gt;49999.99,F44*0.1,(0.29-0.000003125*F44)*F44))</f>
        <v>0</v>
      </c>
      <c r="Q44" s="46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  <c r="HM44" s="45"/>
      <c r="HN44" s="45"/>
      <c r="HO44" s="45"/>
      <c r="HP44" s="45"/>
      <c r="HQ44" s="45"/>
      <c r="HR44" s="45"/>
      <c r="HS44" s="45"/>
      <c r="HT44" s="45"/>
      <c r="HU44" s="45"/>
      <c r="HV44" s="45"/>
      <c r="HW44" s="45"/>
      <c r="HX44" s="45"/>
      <c r="HY44" s="45"/>
      <c r="HZ44" s="45"/>
      <c r="IA44" s="45"/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  <c r="IN44" s="45"/>
      <c r="IO44" s="45"/>
      <c r="IP44" s="45"/>
      <c r="IQ44" s="45"/>
      <c r="IR44" s="45"/>
      <c r="IS44" s="45"/>
      <c r="IT44" s="45"/>
      <c r="IU44" s="45"/>
      <c r="IV44" s="45"/>
      <c r="IW44" s="45"/>
    </row>
    <row r="45" customFormat="false" ht="16.8" hidden="false" customHeight="false" outlineLevel="0" collapsed="false">
      <c r="A45" s="49" t="n">
        <v>9</v>
      </c>
      <c r="B45" s="51" t="s">
        <v>49</v>
      </c>
      <c r="C45" s="52" t="s">
        <v>51</v>
      </c>
      <c r="D45" s="53" t="n">
        <v>1</v>
      </c>
      <c r="E45" s="54" t="n">
        <f aca="false">ROUND(H45,0)</f>
        <v>17661</v>
      </c>
      <c r="F45" s="54" t="n">
        <f aca="false">E45*D45</f>
        <v>17661</v>
      </c>
      <c r="G45" s="50" t="str">
        <f aca="false">VLOOKUP(C45,库!A:D,4,FALSE())</f>
        <v>ABB</v>
      </c>
      <c r="H45" s="55" t="n">
        <f aca="false">VLOOKUP(C45,库!A:D,3,FALSE())</f>
        <v>17660.923</v>
      </c>
      <c r="I45" s="56" t="n">
        <f aca="false">800*D45</f>
        <v>800</v>
      </c>
      <c r="J45" s="56" t="n">
        <f aca="false">2.5*D45*0.3*K39*8.9*3</f>
        <v>2002.5</v>
      </c>
      <c r="K45" s="56"/>
      <c r="L45" s="56"/>
      <c r="M45" s="56"/>
      <c r="N45" s="45" t="n">
        <f aca="false">D45*192</f>
        <v>192</v>
      </c>
      <c r="O45" s="45" t="n">
        <f aca="false">400*D45</f>
        <v>400</v>
      </c>
      <c r="P45" s="43" t="n">
        <f aca="false">IF(F45&lt;10000,F45*0.3,IF(F45&gt;49999.99,F45*0.1,(0.29-0.000003125*F45)*F45))</f>
        <v>4146.968371875</v>
      </c>
      <c r="Q45" s="46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  <c r="GL45" s="45"/>
      <c r="GM45" s="45"/>
      <c r="GN45" s="45"/>
      <c r="GO45" s="45"/>
      <c r="GP45" s="45"/>
      <c r="GQ45" s="45"/>
      <c r="GR45" s="45"/>
      <c r="GS45" s="45"/>
      <c r="GT45" s="45"/>
      <c r="GU45" s="45"/>
      <c r="GV45" s="45"/>
      <c r="GW45" s="45"/>
      <c r="GX45" s="45"/>
      <c r="GY45" s="45"/>
      <c r="GZ45" s="45"/>
      <c r="HA45" s="45"/>
      <c r="HB45" s="45"/>
      <c r="HC45" s="45"/>
      <c r="HD45" s="45"/>
      <c r="HE45" s="45"/>
      <c r="HF45" s="45"/>
      <c r="HG45" s="45"/>
      <c r="HH45" s="45"/>
      <c r="HI45" s="45"/>
      <c r="HJ45" s="45"/>
      <c r="HK45" s="45"/>
      <c r="HL45" s="45"/>
      <c r="HM45" s="45"/>
      <c r="HN45" s="45"/>
      <c r="HO45" s="45"/>
      <c r="HP45" s="45"/>
      <c r="HQ45" s="45"/>
      <c r="HR45" s="45"/>
      <c r="HS45" s="45"/>
      <c r="HT45" s="45"/>
      <c r="HU45" s="45"/>
      <c r="HV45" s="45"/>
      <c r="HW45" s="45"/>
      <c r="HX45" s="45"/>
      <c r="HY45" s="45"/>
      <c r="HZ45" s="45"/>
      <c r="IA45" s="45"/>
      <c r="IB45" s="45"/>
      <c r="IC45" s="45"/>
      <c r="ID45" s="45"/>
      <c r="IE45" s="45"/>
      <c r="IF45" s="45"/>
      <c r="IG45" s="45"/>
      <c r="IH45" s="45"/>
      <c r="II45" s="45"/>
      <c r="IJ45" s="45"/>
      <c r="IK45" s="45"/>
      <c r="IL45" s="45"/>
      <c r="IM45" s="45"/>
      <c r="IN45" s="45"/>
      <c r="IO45" s="45"/>
      <c r="IP45" s="45"/>
      <c r="IQ45" s="45"/>
      <c r="IR45" s="45"/>
      <c r="IS45" s="45"/>
      <c r="IT45" s="45"/>
      <c r="IU45" s="45"/>
      <c r="IV45" s="45"/>
      <c r="IW45" s="45"/>
    </row>
    <row r="46" customFormat="false" ht="16.8" hidden="false" customHeight="false" outlineLevel="0" collapsed="false">
      <c r="A46" s="49" t="n">
        <v>10</v>
      </c>
      <c r="B46" s="51" t="s">
        <v>49</v>
      </c>
      <c r="C46" s="52" t="s">
        <v>52</v>
      </c>
      <c r="D46" s="53" t="n">
        <v>0</v>
      </c>
      <c r="E46" s="54" t="n">
        <f aca="false">ROUND(H46,0)</f>
        <v>18988</v>
      </c>
      <c r="F46" s="54" t="n">
        <f aca="false">E46*D46</f>
        <v>0</v>
      </c>
      <c r="G46" s="50" t="str">
        <f aca="false">VLOOKUP(C46,库!A:D,4,FALSE())</f>
        <v>ABB</v>
      </c>
      <c r="H46" s="55" t="n">
        <f aca="false">VLOOKUP(C46,库!A:D,3,FALSE())</f>
        <v>18988.431</v>
      </c>
      <c r="I46" s="56" t="n">
        <f aca="false">1000*D46</f>
        <v>0</v>
      </c>
      <c r="J46" s="56" t="n">
        <f aca="false">2.5*D46*0.48*K39*8.9*3</f>
        <v>0</v>
      </c>
      <c r="K46" s="56"/>
      <c r="L46" s="56"/>
      <c r="M46" s="56"/>
      <c r="N46" s="45" t="n">
        <f aca="false">D46*192</f>
        <v>0</v>
      </c>
      <c r="O46" s="45" t="n">
        <f aca="false">400*D46</f>
        <v>0</v>
      </c>
      <c r="P46" s="43" t="n">
        <f aca="false">IF(F46&lt;10000,F46*0.3,IF(F46&gt;49999.99,F46*0.1,(0.29-0.000003125*F46)*F46))</f>
        <v>0</v>
      </c>
      <c r="Q46" s="46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  <c r="GL46" s="45"/>
      <c r="GM46" s="45"/>
      <c r="GN46" s="45"/>
      <c r="GO46" s="45"/>
      <c r="GP46" s="45"/>
      <c r="GQ46" s="45"/>
      <c r="GR46" s="45"/>
      <c r="GS46" s="45"/>
      <c r="GT46" s="45"/>
      <c r="GU46" s="45"/>
      <c r="GV46" s="45"/>
      <c r="GW46" s="45"/>
      <c r="GX46" s="45"/>
      <c r="GY46" s="45"/>
      <c r="GZ46" s="45"/>
      <c r="HA46" s="45"/>
      <c r="HB46" s="45"/>
      <c r="HC46" s="45"/>
      <c r="HD46" s="45"/>
      <c r="HE46" s="45"/>
      <c r="HF46" s="45"/>
      <c r="HG46" s="45"/>
      <c r="HH46" s="45"/>
      <c r="HI46" s="45"/>
      <c r="HJ46" s="45"/>
      <c r="HK46" s="45"/>
      <c r="HL46" s="45"/>
      <c r="HM46" s="45"/>
      <c r="HN46" s="45"/>
      <c r="HO46" s="45"/>
      <c r="HP46" s="45"/>
      <c r="HQ46" s="45"/>
      <c r="HR46" s="45"/>
      <c r="HS46" s="45"/>
      <c r="HT46" s="45"/>
      <c r="HU46" s="45"/>
      <c r="HV46" s="45"/>
      <c r="HW46" s="45"/>
      <c r="HX46" s="45"/>
      <c r="HY46" s="45"/>
      <c r="HZ46" s="45"/>
      <c r="IA46" s="45"/>
      <c r="IB46" s="45"/>
      <c r="IC46" s="45"/>
      <c r="ID46" s="45"/>
      <c r="IE46" s="45"/>
      <c r="IF46" s="45"/>
      <c r="IG46" s="45"/>
      <c r="IH46" s="45"/>
      <c r="II46" s="45"/>
      <c r="IJ46" s="45"/>
      <c r="IK46" s="45"/>
      <c r="IL46" s="45"/>
      <c r="IM46" s="45"/>
      <c r="IN46" s="45"/>
      <c r="IO46" s="45"/>
      <c r="IP46" s="45"/>
      <c r="IQ46" s="45"/>
      <c r="IR46" s="45"/>
      <c r="IS46" s="45"/>
      <c r="IT46" s="45"/>
      <c r="IU46" s="45"/>
      <c r="IV46" s="45"/>
      <c r="IW46" s="45"/>
    </row>
    <row r="47" customFormat="false" ht="16.8" hidden="false" customHeight="false" outlineLevel="0" collapsed="false">
      <c r="A47" s="49" t="n">
        <v>11</v>
      </c>
      <c r="B47" s="59" t="s">
        <v>53</v>
      </c>
      <c r="C47" s="52" t="s">
        <v>54</v>
      </c>
      <c r="D47" s="49" t="n">
        <f aca="false">SUM(D37:D44)*3</f>
        <v>15</v>
      </c>
      <c r="E47" s="54" t="n">
        <f aca="false">ROUND(H47,0)</f>
        <v>28</v>
      </c>
      <c r="F47" s="54" t="n">
        <f aca="false">E47*D47</f>
        <v>420</v>
      </c>
      <c r="G47" s="50" t="str">
        <f aca="false">VLOOKUP(C47,库!A:D,4,FALSE())</f>
        <v>宁波/天灵</v>
      </c>
      <c r="H47" s="55" t="n">
        <f aca="false">VLOOKUP(C47,库!A:D,3,FALSE())</f>
        <v>28</v>
      </c>
      <c r="I47" s="56"/>
      <c r="J47" s="56"/>
      <c r="K47" s="56"/>
      <c r="L47" s="56"/>
      <c r="M47" s="56"/>
      <c r="N47" s="45"/>
      <c r="O47" s="45"/>
      <c r="P47" s="43" t="n">
        <f aca="false">IF(F47&lt;10000,F47*0.3,IF(F47&gt;49999.99,F47*0.1,(0.29-0.000003125*F47)*F47))</f>
        <v>126</v>
      </c>
      <c r="Q47" s="46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  <c r="GL47" s="45"/>
      <c r="GM47" s="45"/>
      <c r="GN47" s="45"/>
      <c r="GO47" s="45"/>
      <c r="GP47" s="45"/>
      <c r="GQ47" s="45"/>
      <c r="GR47" s="45"/>
      <c r="GS47" s="45"/>
      <c r="GT47" s="45"/>
      <c r="GU47" s="45"/>
      <c r="GV47" s="45"/>
      <c r="GW47" s="45"/>
      <c r="GX47" s="45"/>
      <c r="GY47" s="45"/>
      <c r="GZ47" s="45"/>
      <c r="HA47" s="45"/>
      <c r="HB47" s="45"/>
      <c r="HC47" s="45"/>
      <c r="HD47" s="45"/>
      <c r="HE47" s="45"/>
      <c r="HF47" s="45"/>
      <c r="HG47" s="45"/>
      <c r="HH47" s="45"/>
      <c r="HI47" s="45"/>
      <c r="HJ47" s="45"/>
      <c r="HK47" s="45"/>
      <c r="HL47" s="45"/>
      <c r="HM47" s="45"/>
      <c r="HN47" s="45"/>
      <c r="HO47" s="45"/>
      <c r="HP47" s="45"/>
      <c r="HQ47" s="45"/>
      <c r="HR47" s="45"/>
      <c r="HS47" s="45"/>
      <c r="HT47" s="45"/>
      <c r="HU47" s="45"/>
      <c r="HV47" s="45"/>
      <c r="HW47" s="45"/>
      <c r="HX47" s="45"/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</row>
    <row r="48" customFormat="false" ht="16.8" hidden="false" customHeight="false" outlineLevel="0" collapsed="false">
      <c r="A48" s="49" t="n">
        <v>12</v>
      </c>
      <c r="B48" s="59" t="s">
        <v>53</v>
      </c>
      <c r="C48" s="52" t="s">
        <v>55</v>
      </c>
      <c r="D48" s="49" t="n">
        <f aca="false">D45*3</f>
        <v>3</v>
      </c>
      <c r="E48" s="54" t="n">
        <f aca="false">ROUND(H48,0)</f>
        <v>45</v>
      </c>
      <c r="F48" s="54" t="n">
        <f aca="false">E48*D48</f>
        <v>135</v>
      </c>
      <c r="G48" s="50" t="str">
        <f aca="false">VLOOKUP(C48,库!A:D,4,FALSE())</f>
        <v>宁波/天灵</v>
      </c>
      <c r="H48" s="55" t="n">
        <f aca="false">VLOOKUP(C48,库!A:D,3,FALSE())</f>
        <v>45</v>
      </c>
      <c r="I48" s="56"/>
      <c r="J48" s="56"/>
      <c r="K48" s="56"/>
      <c r="L48" s="56"/>
      <c r="M48" s="56"/>
      <c r="N48" s="45"/>
      <c r="O48" s="45"/>
      <c r="P48" s="43" t="n">
        <f aca="false">IF(F48&lt;10000,F48*0.3,IF(F48&gt;49999.99,F48*0.1,(0.29-0.000003125*F48)*F48))</f>
        <v>40.5</v>
      </c>
      <c r="Q48" s="46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  <c r="GL48" s="45"/>
      <c r="GM48" s="45"/>
      <c r="GN48" s="45"/>
      <c r="GO48" s="45"/>
      <c r="GP48" s="45"/>
      <c r="GQ48" s="45"/>
      <c r="GR48" s="45"/>
      <c r="GS48" s="45"/>
      <c r="GT48" s="45"/>
      <c r="GU48" s="45"/>
      <c r="GV48" s="45"/>
      <c r="GW48" s="45"/>
      <c r="GX48" s="45"/>
      <c r="GY48" s="45"/>
      <c r="GZ48" s="45"/>
      <c r="HA48" s="45"/>
      <c r="HB48" s="45"/>
      <c r="HC48" s="45"/>
      <c r="HD48" s="45"/>
      <c r="HE48" s="45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5"/>
      <c r="HW48" s="45"/>
      <c r="HX48" s="45"/>
      <c r="HY48" s="45"/>
      <c r="HZ48" s="45"/>
      <c r="IA48" s="45"/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  <c r="IN48" s="45"/>
      <c r="IO48" s="45"/>
      <c r="IP48" s="45"/>
      <c r="IQ48" s="45"/>
      <c r="IR48" s="45"/>
      <c r="IS48" s="45"/>
      <c r="IT48" s="45"/>
      <c r="IU48" s="45"/>
      <c r="IV48" s="45"/>
      <c r="IW48" s="45"/>
    </row>
    <row r="49" customFormat="false" ht="16.8" hidden="false" customHeight="false" outlineLevel="0" collapsed="false">
      <c r="A49" s="49" t="n">
        <v>13</v>
      </c>
      <c r="B49" s="59" t="s">
        <v>53</v>
      </c>
      <c r="C49" s="52" t="s">
        <v>56</v>
      </c>
      <c r="D49" s="49" t="n">
        <f aca="false">D46*3</f>
        <v>0</v>
      </c>
      <c r="E49" s="54" t="n">
        <f aca="false">ROUND(H49,0)</f>
        <v>65</v>
      </c>
      <c r="F49" s="54" t="n">
        <f aca="false">E49*D49</f>
        <v>0</v>
      </c>
      <c r="G49" s="50" t="str">
        <f aca="false">VLOOKUP(C49,库!A:D,4,FALSE())</f>
        <v>宁波/天灵</v>
      </c>
      <c r="H49" s="55" t="n">
        <f aca="false">VLOOKUP(C49,库!A:D,3,FALSE())</f>
        <v>65</v>
      </c>
      <c r="I49" s="56"/>
      <c r="J49" s="56"/>
      <c r="K49" s="56"/>
      <c r="L49" s="56"/>
      <c r="M49" s="56"/>
      <c r="N49" s="45"/>
      <c r="O49" s="45"/>
      <c r="P49" s="43" t="n">
        <f aca="false">IF(F49&lt;10000,F49*0.3,IF(F49&gt;49999.99,F49*0.1,(0.29-0.000003125*F49)*F49))</f>
        <v>0</v>
      </c>
      <c r="Q49" s="46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  <c r="GL49" s="45"/>
      <c r="GM49" s="45"/>
      <c r="GN49" s="45"/>
      <c r="GO49" s="45"/>
      <c r="GP49" s="45"/>
      <c r="GQ49" s="45"/>
      <c r="GR49" s="45"/>
      <c r="GS49" s="45"/>
      <c r="GT49" s="45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</row>
    <row r="50" customFormat="false" ht="16.8" hidden="false" customHeight="false" outlineLevel="0" collapsed="false">
      <c r="A50" s="49" t="n">
        <v>14</v>
      </c>
      <c r="B50" s="60" t="s">
        <v>57</v>
      </c>
      <c r="C50" s="61" t="s">
        <v>58</v>
      </c>
      <c r="D50" s="62" t="n">
        <f aca="false">SUM(D47:D49)/3</f>
        <v>6</v>
      </c>
      <c r="E50" s="54" t="n">
        <f aca="false">ROUND(H50,0)</f>
        <v>280</v>
      </c>
      <c r="F50" s="54" t="n">
        <f aca="false">E50*D50</f>
        <v>1680</v>
      </c>
      <c r="G50" s="50" t="str">
        <f aca="false">VLOOKUP(C50,库!A:D,4,FALSE())</f>
        <v>宁波/美格</v>
      </c>
      <c r="H50" s="55" t="n">
        <f aca="false">VLOOKUP(C50,库!A:D,3,FALSE())</f>
        <v>280</v>
      </c>
      <c r="I50" s="56" t="n">
        <f aca="false">SUM(I37:I49)</f>
        <v>1720</v>
      </c>
      <c r="J50" s="45" t="n">
        <f aca="false">K37*4*K39*8.9+K37*0.8*K39*8.9</f>
        <v>3417.6</v>
      </c>
      <c r="K50" s="56"/>
      <c r="L50" s="56"/>
      <c r="M50" s="56"/>
      <c r="N50" s="45" t="n">
        <f aca="false">0.6*4*105*8.9+0.6*0.8*105*8.9</f>
        <v>2691.36</v>
      </c>
      <c r="O50" s="45"/>
      <c r="P50" s="63" t="n">
        <f aca="false">IF(F50&lt;10000,F50*0.3,IF(F50&gt;49999.99,F50*0.1,(0.29-0.000003125*F50)*F50))</f>
        <v>504</v>
      </c>
      <c r="Q50" s="64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5"/>
      <c r="BH50" s="65"/>
      <c r="BI50" s="65"/>
      <c r="BJ50" s="65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  <c r="CE50" s="65"/>
      <c r="CF50" s="65"/>
      <c r="CG50" s="65"/>
      <c r="CH50" s="65"/>
      <c r="CI50" s="65"/>
      <c r="CJ50" s="65"/>
      <c r="CK50" s="65"/>
      <c r="CL50" s="65"/>
      <c r="CM50" s="65"/>
      <c r="CN50" s="65"/>
      <c r="CO50" s="65"/>
      <c r="CP50" s="65"/>
      <c r="CQ50" s="65"/>
      <c r="CR50" s="65"/>
      <c r="CS50" s="65"/>
      <c r="CT50" s="65"/>
      <c r="CU50" s="65"/>
      <c r="CV50" s="65"/>
      <c r="CW50" s="65"/>
      <c r="CX50" s="65"/>
      <c r="CY50" s="65"/>
      <c r="CZ50" s="65"/>
      <c r="DA50" s="65"/>
      <c r="DB50" s="65"/>
      <c r="DC50" s="65"/>
      <c r="DD50" s="65"/>
      <c r="DE50" s="65"/>
      <c r="DF50" s="65"/>
      <c r="DG50" s="65"/>
      <c r="DH50" s="65"/>
      <c r="DI50" s="65"/>
      <c r="DJ50" s="65"/>
      <c r="DK50" s="65"/>
      <c r="DL50" s="65"/>
      <c r="DM50" s="65"/>
      <c r="DN50" s="65"/>
      <c r="DO50" s="65"/>
      <c r="DP50" s="65"/>
      <c r="DQ50" s="65"/>
      <c r="DR50" s="65"/>
      <c r="DS50" s="65"/>
      <c r="DT50" s="65"/>
      <c r="DU50" s="65"/>
      <c r="DV50" s="65"/>
      <c r="DW50" s="65"/>
      <c r="DX50" s="65"/>
      <c r="DY50" s="65"/>
      <c r="DZ50" s="65"/>
      <c r="EA50" s="65"/>
      <c r="EB50" s="65"/>
      <c r="EC50" s="65"/>
      <c r="ED50" s="65"/>
      <c r="EE50" s="65"/>
      <c r="EF50" s="65"/>
      <c r="EG50" s="65"/>
      <c r="EH50" s="65"/>
      <c r="EI50" s="65"/>
      <c r="EJ50" s="65"/>
      <c r="EK50" s="65"/>
      <c r="EL50" s="65"/>
      <c r="EM50" s="65"/>
      <c r="EN50" s="65"/>
      <c r="EO50" s="65"/>
      <c r="EP50" s="65"/>
      <c r="EQ50" s="65"/>
      <c r="ER50" s="65"/>
      <c r="ES50" s="65"/>
      <c r="ET50" s="65"/>
      <c r="EU50" s="65"/>
      <c r="EV50" s="65"/>
      <c r="EW50" s="65"/>
      <c r="EX50" s="65"/>
      <c r="EY50" s="65"/>
      <c r="EZ50" s="65"/>
      <c r="FA50" s="65"/>
      <c r="FB50" s="65"/>
      <c r="FC50" s="65"/>
      <c r="FD50" s="65"/>
      <c r="FE50" s="65"/>
      <c r="FF50" s="65"/>
      <c r="FG50" s="65"/>
      <c r="FH50" s="65"/>
      <c r="FI50" s="65"/>
      <c r="FJ50" s="65"/>
      <c r="FK50" s="65"/>
      <c r="FL50" s="65"/>
      <c r="FM50" s="65"/>
      <c r="FN50" s="65"/>
      <c r="FO50" s="65"/>
      <c r="FP50" s="65"/>
      <c r="FQ50" s="65"/>
      <c r="FR50" s="65"/>
      <c r="FS50" s="65"/>
      <c r="FT50" s="65"/>
      <c r="FU50" s="65"/>
      <c r="FV50" s="65"/>
      <c r="FW50" s="65"/>
      <c r="FX50" s="65"/>
      <c r="FY50" s="65"/>
      <c r="FZ50" s="65"/>
      <c r="GA50" s="65"/>
      <c r="GB50" s="65"/>
      <c r="GC50" s="65"/>
      <c r="GD50" s="65"/>
      <c r="GE50" s="65"/>
      <c r="GF50" s="65"/>
      <c r="GG50" s="65"/>
      <c r="GH50" s="65"/>
      <c r="GI50" s="65"/>
      <c r="GJ50" s="65"/>
      <c r="GK50" s="65"/>
      <c r="GL50" s="65"/>
      <c r="GM50" s="65"/>
      <c r="GN50" s="65"/>
      <c r="GO50" s="65"/>
      <c r="GP50" s="65"/>
      <c r="GQ50" s="65"/>
      <c r="GR50" s="65"/>
      <c r="GS50" s="65"/>
      <c r="GT50" s="65"/>
      <c r="GU50" s="65"/>
      <c r="GV50" s="65"/>
      <c r="GW50" s="65"/>
      <c r="GX50" s="65"/>
      <c r="GY50" s="65"/>
      <c r="GZ50" s="65"/>
      <c r="HA50" s="65"/>
      <c r="HB50" s="65"/>
      <c r="HC50" s="65"/>
      <c r="HD50" s="65"/>
      <c r="HE50" s="65"/>
      <c r="HF50" s="65"/>
      <c r="HG50" s="65"/>
      <c r="HH50" s="65"/>
      <c r="HI50" s="65"/>
      <c r="HJ50" s="65"/>
      <c r="HK50" s="65"/>
      <c r="HL50" s="65"/>
      <c r="HM50" s="65"/>
      <c r="HN50" s="65"/>
      <c r="HO50" s="65"/>
      <c r="HP50" s="65"/>
      <c r="HQ50" s="65"/>
      <c r="HR50" s="65"/>
      <c r="HS50" s="65"/>
      <c r="HT50" s="65"/>
      <c r="HU50" s="65"/>
      <c r="HV50" s="65"/>
      <c r="HW50" s="65"/>
      <c r="HX50" s="65"/>
      <c r="HY50" s="65"/>
      <c r="HZ50" s="65"/>
      <c r="IA50" s="65"/>
      <c r="IB50" s="65"/>
      <c r="IC50" s="65"/>
      <c r="ID50" s="65"/>
      <c r="IE50" s="65"/>
      <c r="IF50" s="65"/>
      <c r="IG50" s="65"/>
      <c r="IH50" s="65"/>
      <c r="II50" s="65"/>
      <c r="IJ50" s="65"/>
      <c r="IK50" s="65"/>
      <c r="IL50" s="65"/>
      <c r="IM50" s="65"/>
      <c r="IN50" s="65"/>
      <c r="IO50" s="65"/>
      <c r="IP50" s="65"/>
      <c r="IQ50" s="65"/>
      <c r="IR50" s="65"/>
      <c r="IS50" s="65"/>
      <c r="IT50" s="65"/>
      <c r="IU50" s="65"/>
      <c r="IV50" s="65"/>
      <c r="IW50" s="65"/>
    </row>
    <row r="51" customFormat="false" ht="16.8" hidden="false" customHeight="false" outlineLevel="0" collapsed="false">
      <c r="A51" s="49" t="n">
        <v>15</v>
      </c>
      <c r="B51" s="66" t="s">
        <v>59</v>
      </c>
      <c r="C51" s="67" t="s">
        <v>60</v>
      </c>
      <c r="D51" s="68"/>
      <c r="E51" s="69"/>
      <c r="F51" s="70" t="n">
        <f aca="false">ROUND(H51,0)</f>
        <v>10685</v>
      </c>
      <c r="G51" s="50" t="str">
        <f aca="false">VLOOKUP(B51,库!A:D,4,FALSE())</f>
        <v>江西/金来</v>
      </c>
      <c r="H51" s="51" t="n">
        <f aca="false">ROUND((7)*L51*K39*8.9+2*L51/2*K39*8.9+2*L51/4*K39*8.9+J51,0)</f>
        <v>10685</v>
      </c>
      <c r="I51" s="44" t="n">
        <f aca="false">IF(D50&gt;9,I50*0.7,IF(I50&gt;5,I50*0.8))</f>
        <v>1376</v>
      </c>
      <c r="J51" s="45" t="n">
        <f aca="false">SUM(J37:J50)</f>
        <v>6146.38571428572</v>
      </c>
      <c r="K51" s="44"/>
      <c r="L51" s="44" t="n">
        <f aca="false">IF(I51&lt;500.1,M37,(IF(I51&lt;755.1,M38,IF(I51&lt;990.1,M39,IF(I51&lt;1160.1,M40,IF(I51&lt;1500,M41,M42))))))</f>
        <v>0.6</v>
      </c>
      <c r="M51" s="44"/>
      <c r="N51" s="45" t="n">
        <f aca="false">SUM(N37:N50)</f>
        <v>4113.36</v>
      </c>
      <c r="O51" s="45" t="n">
        <f aca="false">SUM(O37:O50)</f>
        <v>2400</v>
      </c>
      <c r="P51" s="43" t="n">
        <f aca="false">IF(F51&lt;10000,F51*0.3,IF(F51&gt;49999.99,F51*0.1,(0.29-0.000003125*F51)*F51))</f>
        <v>2741.871171875</v>
      </c>
      <c r="Q51" s="46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  <c r="GL51" s="45"/>
      <c r="GM51" s="45"/>
      <c r="GN51" s="45"/>
      <c r="GO51" s="45"/>
      <c r="GP51" s="45"/>
      <c r="GQ51" s="45"/>
      <c r="GR51" s="45"/>
      <c r="GS51" s="45"/>
      <c r="GT51" s="45"/>
      <c r="GU51" s="45"/>
      <c r="GV51" s="45"/>
      <c r="GW51" s="45"/>
      <c r="GX51" s="45"/>
      <c r="GY51" s="45"/>
      <c r="GZ51" s="45"/>
      <c r="HA51" s="45"/>
      <c r="HB51" s="45"/>
      <c r="HC51" s="45"/>
      <c r="HD51" s="45"/>
      <c r="HE51" s="45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</row>
    <row r="52" customFormat="false" ht="16.8" hidden="false" customHeight="false" outlineLevel="0" collapsed="false">
      <c r="A52" s="49" t="n">
        <v>16</v>
      </c>
      <c r="B52" s="71" t="str">
        <f aca="false">Q52</f>
        <v>辅助材料（出线柜，6路出线）</v>
      </c>
      <c r="C52" s="71"/>
      <c r="D52" s="71"/>
      <c r="E52" s="71"/>
      <c r="F52" s="54" t="n">
        <f aca="false">ROUND(H52*1,)</f>
        <v>650</v>
      </c>
      <c r="G52" s="50" t="str">
        <f aca="false">VLOOKUP(B52,库!A:D,4,FALSE())</f>
        <v>湖北/恒晟</v>
      </c>
      <c r="H52" s="55" t="n">
        <f aca="false">VLOOKUP(B52,库!A:D,3,FALSE())</f>
        <v>650</v>
      </c>
      <c r="I52" s="56"/>
      <c r="J52" s="56"/>
      <c r="K52" s="56"/>
      <c r="L52" s="56"/>
      <c r="M52" s="56"/>
      <c r="N52" s="45"/>
      <c r="O52" s="45" t="n">
        <f aca="false">63*2+100+250*2+400*3</f>
        <v>1926</v>
      </c>
      <c r="P52" s="43" t="n">
        <f aca="false">IF(F52&lt;10000,F52*0.3,IF(F52&gt;49999.99,F52*0.1,(0.29-0.000003125*F52)*F52))</f>
        <v>195</v>
      </c>
      <c r="Q52" s="45" t="str">
        <f aca="false">_xlfn.CONCAT(R52,S52,T52)</f>
        <v>辅助材料（出线柜，6路出线）</v>
      </c>
      <c r="R52" s="46" t="s">
        <v>61</v>
      </c>
      <c r="S52" s="45" t="n">
        <f aca="false">D50</f>
        <v>6</v>
      </c>
      <c r="T52" s="45" t="s">
        <v>62</v>
      </c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  <c r="GL52" s="45"/>
      <c r="GM52" s="45"/>
      <c r="GN52" s="45"/>
      <c r="GO52" s="45"/>
      <c r="GP52" s="45"/>
      <c r="GQ52" s="45"/>
      <c r="GR52" s="45"/>
      <c r="GS52" s="45"/>
      <c r="GT52" s="45"/>
      <c r="GU52" s="45"/>
      <c r="GV52" s="45"/>
      <c r="GW52" s="45"/>
      <c r="GX52" s="45"/>
      <c r="GY52" s="45"/>
      <c r="GZ52" s="45"/>
      <c r="HA52" s="45"/>
      <c r="HB52" s="45"/>
      <c r="HC52" s="45"/>
      <c r="HD52" s="45"/>
      <c r="HE52" s="45"/>
      <c r="HF52" s="45"/>
      <c r="HG52" s="45"/>
      <c r="HH52" s="45"/>
      <c r="HI52" s="45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5"/>
      <c r="HV52" s="45"/>
      <c r="HW52" s="45"/>
      <c r="HX52" s="45"/>
      <c r="HY52" s="45"/>
      <c r="HZ52" s="45"/>
      <c r="IA52" s="45"/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  <c r="IN52" s="45"/>
      <c r="IO52" s="45"/>
      <c r="IP52" s="45"/>
      <c r="IQ52" s="45"/>
      <c r="IR52" s="45"/>
      <c r="IS52" s="45"/>
      <c r="IT52" s="45"/>
      <c r="IU52" s="45"/>
      <c r="IV52" s="45"/>
      <c r="IW52" s="45"/>
    </row>
    <row r="53" customFormat="false" ht="15" hidden="false" customHeight="true" outlineLevel="0" collapsed="false">
      <c r="A53" s="49" t="n">
        <v>17</v>
      </c>
      <c r="B53" s="51" t="s">
        <v>63</v>
      </c>
      <c r="C53" s="72"/>
      <c r="D53" s="73"/>
      <c r="E53" s="74"/>
      <c r="F53" s="75"/>
      <c r="G53" s="50" t="str">
        <f aca="false">VLOOKUP(B53,库!A:D,4,FALSE())</f>
        <v>宁波/海越</v>
      </c>
      <c r="H53" s="76"/>
      <c r="I53" s="77" t="n">
        <f aca="false">I51/I50</f>
        <v>0.8</v>
      </c>
      <c r="J53" s="78"/>
      <c r="K53" s="78"/>
      <c r="L53" s="78"/>
      <c r="M53" s="78"/>
      <c r="N53" s="45"/>
      <c r="O53" s="45" t="n">
        <f aca="false">O52*0.7</f>
        <v>1348.2</v>
      </c>
      <c r="P53" s="43" t="n">
        <f aca="false">SUM(P37:P52)</f>
        <v>8963.33954375</v>
      </c>
      <c r="Q53" s="46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  <c r="GL53" s="45"/>
      <c r="GM53" s="45"/>
      <c r="GN53" s="45"/>
      <c r="GO53" s="45"/>
      <c r="GP53" s="45"/>
      <c r="GQ53" s="45"/>
      <c r="GR53" s="45"/>
      <c r="GS53" s="45"/>
      <c r="GT53" s="45"/>
      <c r="GU53" s="45"/>
      <c r="GV53" s="45"/>
      <c r="GW53" s="45"/>
      <c r="GX53" s="45"/>
      <c r="GY53" s="45"/>
      <c r="GZ53" s="45"/>
      <c r="HA53" s="45"/>
      <c r="HB53" s="45"/>
      <c r="HC53" s="45"/>
      <c r="HD53" s="45"/>
      <c r="HE53" s="45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5"/>
      <c r="IU53" s="45"/>
      <c r="IV53" s="45"/>
      <c r="IW53" s="45"/>
    </row>
    <row r="54" customFormat="false" ht="17" hidden="false" customHeight="false" outlineLevel="0" collapsed="false">
      <c r="A54" s="49" t="n">
        <v>18</v>
      </c>
      <c r="B54" s="71" t="str">
        <f aca="false">Q54</f>
        <v>箱体:GCS(出线抽屉柜、6路)</v>
      </c>
      <c r="C54" s="71"/>
      <c r="D54" s="71"/>
      <c r="E54" s="71"/>
      <c r="F54" s="54" t="n">
        <f aca="false">ROUND(H54,0)</f>
        <v>4600</v>
      </c>
      <c r="G54" s="50" t="str">
        <f aca="false">VLOOKUP(B54,库!A:D,4,FALSE())</f>
        <v>宁波/海越</v>
      </c>
      <c r="H54" s="55" t="n">
        <f aca="false">2200+O51</f>
        <v>4600</v>
      </c>
      <c r="I54" s="56"/>
      <c r="J54" s="56"/>
      <c r="K54" s="56"/>
      <c r="L54" s="56"/>
      <c r="M54" s="56"/>
      <c r="N54" s="45"/>
      <c r="O54" s="45"/>
      <c r="P54" s="43"/>
      <c r="Q54" s="45" t="str">
        <f aca="false">_xlfn.CONCAT(R54,S54,T54)</f>
        <v>箱体:GCS(出线抽屉柜、6路)</v>
      </c>
      <c r="R54" s="46" t="s">
        <v>64</v>
      </c>
      <c r="S54" s="45" t="n">
        <f aca="false">D50</f>
        <v>6</v>
      </c>
      <c r="T54" s="45" t="s">
        <v>65</v>
      </c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5"/>
      <c r="HN54" s="45"/>
      <c r="HO54" s="45"/>
      <c r="HP54" s="45"/>
      <c r="HQ54" s="45"/>
      <c r="HR54" s="45"/>
      <c r="HS54" s="45"/>
      <c r="HT54" s="45"/>
      <c r="HU54" s="45"/>
      <c r="HV54" s="45"/>
      <c r="HW54" s="45"/>
      <c r="HX54" s="45"/>
      <c r="HY54" s="45"/>
      <c r="HZ54" s="45"/>
      <c r="IA54" s="45"/>
      <c r="IB54" s="45"/>
      <c r="IC54" s="45"/>
      <c r="ID54" s="45"/>
      <c r="IE54" s="45"/>
      <c r="IF54" s="45"/>
      <c r="IG54" s="45"/>
      <c r="IH54" s="45"/>
      <c r="II54" s="45"/>
      <c r="IJ54" s="45"/>
      <c r="IK54" s="45"/>
      <c r="IL54" s="45"/>
      <c r="IM54" s="45"/>
      <c r="IN54" s="45"/>
      <c r="IO54" s="45"/>
      <c r="IP54" s="45"/>
      <c r="IQ54" s="45"/>
      <c r="IR54" s="45"/>
      <c r="IS54" s="45"/>
      <c r="IT54" s="45"/>
      <c r="IU54" s="45"/>
      <c r="IV54" s="45"/>
      <c r="IW54" s="45"/>
    </row>
    <row r="55" customFormat="false" ht="16.8" hidden="false" customHeight="false" outlineLevel="0" collapsed="false">
      <c r="A55" s="49" t="n">
        <v>19</v>
      </c>
      <c r="B55" s="79" t="s">
        <v>15</v>
      </c>
      <c r="C55" s="49"/>
      <c r="D55" s="49"/>
      <c r="E55" s="49"/>
      <c r="F55" s="80" t="n">
        <f aca="false">SUM(F37:F54)</f>
        <v>39861</v>
      </c>
      <c r="G55" s="81"/>
      <c r="H55" s="82" t="n">
        <f aca="false">SUM(F54,F37:F52)</f>
        <v>39861</v>
      </c>
      <c r="I55" s="44"/>
      <c r="J55" s="44"/>
      <c r="K55" s="44"/>
      <c r="L55" s="45"/>
      <c r="M55" s="44"/>
      <c r="N55" s="45"/>
      <c r="O55" s="45"/>
      <c r="P55" s="43"/>
      <c r="Q55" s="46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45"/>
      <c r="HP55" s="45"/>
      <c r="HQ55" s="45"/>
      <c r="HR55" s="45"/>
      <c r="HS55" s="45"/>
      <c r="HT55" s="45"/>
      <c r="HU55" s="45"/>
      <c r="HV55" s="45"/>
      <c r="HW55" s="45"/>
      <c r="HX55" s="45"/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45"/>
      <c r="IV55" s="45"/>
      <c r="IW55" s="45"/>
    </row>
    <row r="56" customFormat="false" ht="16.8" hidden="false" customHeight="false" outlineLevel="0" collapsed="false">
      <c r="A56" s="83"/>
      <c r="B56" s="83"/>
      <c r="C56" s="83"/>
      <c r="D56" s="83"/>
      <c r="E56" s="83"/>
      <c r="F56" s="83"/>
      <c r="G56" s="84"/>
      <c r="H56" s="43"/>
      <c r="I56" s="44"/>
      <c r="J56" s="44"/>
      <c r="K56" s="44"/>
      <c r="L56" s="44"/>
      <c r="M56" s="44"/>
      <c r="N56" s="45"/>
      <c r="O56" s="45"/>
      <c r="P56" s="43"/>
      <c r="Q56" s="46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  <c r="HM56" s="45"/>
      <c r="HN56" s="45"/>
      <c r="HO56" s="45"/>
      <c r="HP56" s="45"/>
      <c r="HQ56" s="45"/>
      <c r="HR56" s="45"/>
      <c r="HS56" s="45"/>
      <c r="HT56" s="45"/>
      <c r="HU56" s="45"/>
      <c r="HV56" s="45"/>
      <c r="HW56" s="45"/>
      <c r="HX56" s="45"/>
      <c r="HY56" s="45"/>
      <c r="HZ56" s="45"/>
      <c r="IA56" s="45"/>
      <c r="IB56" s="45"/>
      <c r="IC56" s="45"/>
      <c r="ID56" s="45"/>
      <c r="IE56" s="45"/>
      <c r="IF56" s="45"/>
      <c r="IG56" s="45"/>
      <c r="IH56" s="45"/>
      <c r="II56" s="45"/>
      <c r="IJ56" s="45"/>
      <c r="IK56" s="45"/>
      <c r="IL56" s="45"/>
      <c r="IM56" s="45"/>
      <c r="IN56" s="45"/>
      <c r="IO56" s="45"/>
      <c r="IP56" s="45"/>
      <c r="IQ56" s="45"/>
      <c r="IR56" s="45"/>
      <c r="IS56" s="45"/>
      <c r="IT56" s="45"/>
      <c r="IU56" s="45"/>
      <c r="IV56" s="45"/>
      <c r="IW56" s="45"/>
    </row>
    <row r="57" customFormat="false" ht="16.8" hidden="false" customHeight="false" outlineLevel="0" collapsed="false">
      <c r="A57" s="47" t="n">
        <f aca="false">B30</f>
        <v>0</v>
      </c>
      <c r="B57" s="47"/>
      <c r="C57" s="47"/>
      <c r="D57" s="47"/>
      <c r="E57" s="47"/>
      <c r="F57" s="47"/>
      <c r="G57" s="48"/>
      <c r="H57" s="43"/>
      <c r="I57" s="44"/>
      <c r="J57" s="44"/>
      <c r="K57" s="44"/>
      <c r="L57" s="44"/>
      <c r="M57" s="44"/>
      <c r="N57" s="45"/>
      <c r="O57" s="45"/>
      <c r="P57" s="43"/>
      <c r="Q57" s="46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  <c r="IK57" s="45"/>
      <c r="IL57" s="45"/>
      <c r="IM57" s="45"/>
      <c r="IN57" s="45"/>
      <c r="IO57" s="45"/>
      <c r="IP57" s="45"/>
      <c r="IQ57" s="45"/>
      <c r="IR57" s="45"/>
      <c r="IS57" s="45"/>
      <c r="IT57" s="45"/>
      <c r="IU57" s="45"/>
      <c r="IV57" s="45"/>
      <c r="IW57" s="45"/>
    </row>
    <row r="58" customFormat="false" ht="16.8" hidden="false" customHeight="false" outlineLevel="0" collapsed="false">
      <c r="A58" s="49" t="s">
        <v>5</v>
      </c>
      <c r="B58" s="49" t="s">
        <v>30</v>
      </c>
      <c r="C58" s="49" t="s">
        <v>31</v>
      </c>
      <c r="D58" s="49" t="s">
        <v>32</v>
      </c>
      <c r="E58" s="49" t="s">
        <v>33</v>
      </c>
      <c r="F58" s="49" t="s">
        <v>34</v>
      </c>
      <c r="G58" s="50" t="s">
        <v>35</v>
      </c>
      <c r="H58" s="43"/>
      <c r="I58" s="44" t="s">
        <v>36</v>
      </c>
      <c r="J58" s="44" t="s">
        <v>37</v>
      </c>
      <c r="K58" s="44" t="s">
        <v>38</v>
      </c>
      <c r="L58" s="44" t="s">
        <v>36</v>
      </c>
      <c r="M58" s="44" t="s">
        <v>39</v>
      </c>
      <c r="N58" s="45"/>
      <c r="O58" s="45"/>
      <c r="P58" s="43"/>
      <c r="Q58" s="46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  <c r="IN58" s="45"/>
      <c r="IO58" s="45"/>
      <c r="IP58" s="45"/>
      <c r="IQ58" s="45"/>
      <c r="IR58" s="45"/>
      <c r="IS58" s="45"/>
      <c r="IT58" s="45"/>
      <c r="IU58" s="45"/>
      <c r="IV58" s="45"/>
      <c r="IW58" s="45"/>
    </row>
    <row r="59" customFormat="false" ht="16.8" hidden="false" customHeight="false" outlineLevel="0" collapsed="false">
      <c r="A59" s="49" t="n">
        <v>1</v>
      </c>
      <c r="B59" s="51" t="s">
        <v>40</v>
      </c>
      <c r="C59" s="52" t="s">
        <v>41</v>
      </c>
      <c r="D59" s="53" t="n">
        <v>2</v>
      </c>
      <c r="E59" s="54" t="n">
        <f aca="false">ROUND(H59,0)</f>
        <v>444</v>
      </c>
      <c r="F59" s="54" t="n">
        <f aca="false">E59*D59</f>
        <v>888</v>
      </c>
      <c r="G59" s="50" t="str">
        <f aca="false">VLOOKUP(C59,库!A:D,4,FALSE())</f>
        <v>ABB</v>
      </c>
      <c r="H59" s="55" t="n">
        <f aca="false">VLOOKUP(C59,库!A:D,3,FALSE())</f>
        <v>443.754</v>
      </c>
      <c r="I59" s="56" t="n">
        <f aca="false">63*D59</f>
        <v>126</v>
      </c>
      <c r="J59" s="56" t="n">
        <f aca="false">80*D59*((K61/105-1)/2+1)</f>
        <v>156.190476190476</v>
      </c>
      <c r="K59" s="57" t="n">
        <v>0.6</v>
      </c>
      <c r="L59" s="56" t="n">
        <v>500</v>
      </c>
      <c r="M59" s="56" t="n">
        <v>0.18</v>
      </c>
      <c r="N59" s="45" t="n">
        <f aca="false">D59*166</f>
        <v>332</v>
      </c>
      <c r="O59" s="45" t="n">
        <f aca="false">400*D59</f>
        <v>800</v>
      </c>
      <c r="P59" s="43" t="n">
        <f aca="false">IF(F59&lt;10000,F59*0.3,IF(F59&gt;49999.99,F59*0.1,(0.29-0.000003125*F59)*F59))</f>
        <v>266.4</v>
      </c>
      <c r="Q59" s="46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</row>
    <row r="60" customFormat="false" ht="16.8" hidden="false" customHeight="false" outlineLevel="0" collapsed="false">
      <c r="A60" s="49" t="n">
        <v>2</v>
      </c>
      <c r="B60" s="51" t="s">
        <v>40</v>
      </c>
      <c r="C60" s="52" t="s">
        <v>42</v>
      </c>
      <c r="D60" s="53" t="n">
        <v>0</v>
      </c>
      <c r="E60" s="54" t="n">
        <f aca="false">ROUND(H60,0)</f>
        <v>444</v>
      </c>
      <c r="F60" s="54" t="n">
        <f aca="false">E60*D60</f>
        <v>0</v>
      </c>
      <c r="G60" s="50" t="str">
        <f aca="false">VLOOKUP(C60,库!A:D,4,FALSE())</f>
        <v>ABB</v>
      </c>
      <c r="H60" s="55" t="n">
        <f aca="false">VLOOKUP(C60,库!A:D,3,FALSE())</f>
        <v>443.754</v>
      </c>
      <c r="I60" s="56" t="n">
        <f aca="false">100*D60</f>
        <v>0</v>
      </c>
      <c r="J60" s="56" t="n">
        <f aca="false">120*D60*((K61/105-1)/2+1)</f>
        <v>0</v>
      </c>
      <c r="K60" s="58" t="s">
        <v>43</v>
      </c>
      <c r="L60" s="56" t="n">
        <v>755</v>
      </c>
      <c r="M60" s="56" t="n">
        <v>0.24</v>
      </c>
      <c r="N60" s="45" t="n">
        <f aca="false">D60*166</f>
        <v>0</v>
      </c>
      <c r="O60" s="45" t="n">
        <f aca="false">400*D60</f>
        <v>0</v>
      </c>
      <c r="P60" s="43" t="n">
        <f aca="false">IF(F60&lt;10000,F60*0.3,IF(F60&gt;49999.99,F60*0.1,(0.29-0.000003125*F60)*F60))</f>
        <v>0</v>
      </c>
      <c r="Q60" s="46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45"/>
      <c r="IQ60" s="45"/>
      <c r="IR60" s="45"/>
      <c r="IS60" s="45"/>
      <c r="IT60" s="45"/>
      <c r="IU60" s="45"/>
      <c r="IV60" s="45"/>
      <c r="IW60" s="45"/>
    </row>
    <row r="61" customFormat="false" ht="16.8" hidden="false" customHeight="false" outlineLevel="0" collapsed="false">
      <c r="A61" s="49" t="n">
        <v>3</v>
      </c>
      <c r="B61" s="51" t="s">
        <v>40</v>
      </c>
      <c r="C61" s="52" t="s">
        <v>44</v>
      </c>
      <c r="D61" s="53" t="n">
        <v>3</v>
      </c>
      <c r="E61" s="54" t="n">
        <f aca="false">ROUND(H61,0)</f>
        <v>737</v>
      </c>
      <c r="F61" s="54" t="n">
        <f aca="false">E61*D61</f>
        <v>2211</v>
      </c>
      <c r="G61" s="50" t="str">
        <f aca="false">VLOOKUP(C61,库!A:D,4,FALSE())</f>
        <v>ABB</v>
      </c>
      <c r="H61" s="55" t="n">
        <f aca="false">VLOOKUP(C61,库!A:D,3,FALSE())</f>
        <v>736.794</v>
      </c>
      <c r="I61" s="56" t="n">
        <f aca="false">160*D61</f>
        <v>480</v>
      </c>
      <c r="J61" s="56" t="n">
        <f aca="false">120*D61*((K61/105-1)/2+1)</f>
        <v>351.428571428571</v>
      </c>
      <c r="K61" s="57" t="n">
        <v>100</v>
      </c>
      <c r="L61" s="56" t="n">
        <v>990</v>
      </c>
      <c r="M61" s="56" t="n">
        <v>0.36</v>
      </c>
      <c r="N61" s="45" t="n">
        <f aca="false">D61*340</f>
        <v>1020</v>
      </c>
      <c r="O61" s="45" t="n">
        <f aca="false">400*D61</f>
        <v>1200</v>
      </c>
      <c r="P61" s="43" t="n">
        <f aca="false">IF(F61&lt;10000,F61*0.3,IF(F61&gt;49999.99,F61*0.1,(0.29-0.000003125*F61)*F61))</f>
        <v>663.3</v>
      </c>
      <c r="Q61" s="46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</row>
    <row r="62" customFormat="false" ht="16.8" hidden="false" customHeight="false" outlineLevel="0" collapsed="false">
      <c r="A62" s="49" t="n">
        <v>4</v>
      </c>
      <c r="B62" s="51" t="s">
        <v>40</v>
      </c>
      <c r="C62" s="52" t="s">
        <v>45</v>
      </c>
      <c r="D62" s="53" t="n">
        <v>4</v>
      </c>
      <c r="E62" s="54" t="n">
        <f aca="false">ROUND(H62,0)</f>
        <v>1056</v>
      </c>
      <c r="F62" s="54" t="n">
        <f aca="false">E62*D62</f>
        <v>4224</v>
      </c>
      <c r="G62" s="50" t="str">
        <f aca="false">VLOOKUP(C62,库!A:D,4,FALSE())</f>
        <v>ABB</v>
      </c>
      <c r="H62" s="55" t="n">
        <f aca="false">VLOOKUP(C62,库!A:D,3,FALSE())</f>
        <v>1055.538</v>
      </c>
      <c r="I62" s="56" t="n">
        <f aca="false">D62*250</f>
        <v>1000</v>
      </c>
      <c r="J62" s="56" t="n">
        <f aca="false">192*D62*((K61/105-1)/2+1)</f>
        <v>749.714285714286</v>
      </c>
      <c r="K62" s="56"/>
      <c r="L62" s="56" t="n">
        <v>1160</v>
      </c>
      <c r="M62" s="56" t="n">
        <v>0.48</v>
      </c>
      <c r="N62" s="45" t="n">
        <f aca="false">D62*192</f>
        <v>768</v>
      </c>
      <c r="O62" s="45" t="n">
        <f aca="false">400*D62</f>
        <v>1600</v>
      </c>
      <c r="P62" s="43" t="n">
        <f aca="false">IF(F62&lt;10000,F62*0.3,IF(F62&gt;49999.99,F62*0.1,(0.29-0.000003125*F62)*F62))</f>
        <v>1267.2</v>
      </c>
      <c r="Q62" s="46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  <c r="IR62" s="45"/>
      <c r="IS62" s="45"/>
      <c r="IT62" s="45"/>
      <c r="IU62" s="45"/>
      <c r="IV62" s="45"/>
      <c r="IW62" s="45"/>
    </row>
    <row r="63" customFormat="false" ht="16.8" hidden="false" customHeight="false" outlineLevel="0" collapsed="false">
      <c r="A63" s="49" t="n">
        <v>5</v>
      </c>
      <c r="B63" s="51" t="s">
        <v>40</v>
      </c>
      <c r="C63" s="52" t="s">
        <v>46</v>
      </c>
      <c r="D63" s="53" t="n">
        <v>1</v>
      </c>
      <c r="E63" s="54" t="n">
        <f aca="false">ROUND(H63,0)</f>
        <v>1579</v>
      </c>
      <c r="F63" s="54" t="n">
        <f aca="false">E63*D63</f>
        <v>1579</v>
      </c>
      <c r="G63" s="50" t="str">
        <f aca="false">VLOOKUP(C63,库!A:D,4,FALSE())</f>
        <v>ABB</v>
      </c>
      <c r="H63" s="55" t="n">
        <f aca="false">VLOOKUP(C63,库!A:D,3,FALSE())</f>
        <v>1578.726</v>
      </c>
      <c r="I63" s="56" t="n">
        <f aca="false">D63*400</f>
        <v>400</v>
      </c>
      <c r="J63" s="56" t="n">
        <f aca="false">192*D63*((K61/105-1)/2+1)</f>
        <v>187.428571428571</v>
      </c>
      <c r="K63" s="56"/>
      <c r="L63" s="56" t="n">
        <v>1500</v>
      </c>
      <c r="M63" s="56" t="n">
        <v>0.6</v>
      </c>
      <c r="N63" s="45" t="n">
        <f aca="false">D63*192</f>
        <v>192</v>
      </c>
      <c r="O63" s="45" t="n">
        <f aca="false">400*D63</f>
        <v>400</v>
      </c>
      <c r="P63" s="43" t="n">
        <f aca="false">IF(F63&lt;10000,F63*0.3,IF(F63&gt;49999.99,F63*0.1,(0.29-0.000003125*F63)*F63))</f>
        <v>473.7</v>
      </c>
      <c r="Q63" s="46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  <c r="HM63" s="45"/>
      <c r="HN63" s="45"/>
      <c r="HO63" s="45"/>
      <c r="HP63" s="45"/>
      <c r="HQ63" s="45"/>
      <c r="HR63" s="45"/>
      <c r="HS63" s="45"/>
      <c r="HT63" s="45"/>
      <c r="HU63" s="45"/>
      <c r="HV63" s="45"/>
      <c r="HW63" s="45"/>
      <c r="HX63" s="45"/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</row>
    <row r="64" customFormat="false" ht="16.8" hidden="false" customHeight="false" outlineLevel="0" collapsed="false">
      <c r="A64" s="49" t="n">
        <v>6</v>
      </c>
      <c r="B64" s="51" t="s">
        <v>40</v>
      </c>
      <c r="C64" s="52" t="s">
        <v>47</v>
      </c>
      <c r="D64" s="53" t="n">
        <v>0</v>
      </c>
      <c r="E64" s="54" t="n">
        <f aca="false">ROUND(H64,0)</f>
        <v>2960</v>
      </c>
      <c r="F64" s="54" t="n">
        <f aca="false">E64*D64</f>
        <v>0</v>
      </c>
      <c r="G64" s="50" t="str">
        <f aca="false">VLOOKUP(C64,库!A:D,4,FALSE())</f>
        <v>ABB</v>
      </c>
      <c r="H64" s="55" t="n">
        <f aca="false">VLOOKUP(C64,库!A:D,3,FALSE())</f>
        <v>2960.451</v>
      </c>
      <c r="I64" s="56" t="n">
        <f aca="false">D64*500</f>
        <v>0</v>
      </c>
      <c r="J64" s="56" t="n">
        <f aca="false">401*D64*((K61/105-1)/2+1)</f>
        <v>0</v>
      </c>
      <c r="K64" s="56"/>
      <c r="L64" s="56"/>
      <c r="M64" s="56" t="n">
        <v>0.72</v>
      </c>
      <c r="N64" s="45" t="n">
        <f aca="false">D64*192</f>
        <v>0</v>
      </c>
      <c r="O64" s="45" t="n">
        <f aca="false">400*D64</f>
        <v>0</v>
      </c>
      <c r="P64" s="43" t="n">
        <f aca="false">IF(F64&lt;10000,F64*0.3,IF(F64&gt;49999.99,F64*0.1,(0.29-0.000003125*F64)*F64))</f>
        <v>0</v>
      </c>
      <c r="Q64" s="46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  <c r="HM64" s="45"/>
      <c r="HN64" s="45"/>
      <c r="HO64" s="45"/>
      <c r="HP64" s="45"/>
      <c r="HQ64" s="45"/>
      <c r="HR64" s="45"/>
      <c r="HS64" s="45"/>
      <c r="HT64" s="45"/>
      <c r="HU64" s="45"/>
      <c r="HV64" s="45"/>
      <c r="HW64" s="45"/>
      <c r="HX64" s="45"/>
      <c r="HY64" s="45"/>
      <c r="HZ64" s="45"/>
      <c r="IA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  <c r="IR64" s="45"/>
      <c r="IS64" s="45"/>
      <c r="IT64" s="45"/>
      <c r="IU64" s="45"/>
      <c r="IV64" s="45"/>
      <c r="IW64" s="45"/>
    </row>
    <row r="65" customFormat="false" ht="16.8" hidden="false" customHeight="false" outlineLevel="0" collapsed="false">
      <c r="A65" s="49" t="n">
        <v>7</v>
      </c>
      <c r="B65" s="51" t="s">
        <v>40</v>
      </c>
      <c r="C65" s="52" t="s">
        <v>48</v>
      </c>
      <c r="D65" s="53" t="n">
        <v>0</v>
      </c>
      <c r="E65" s="54" t="n">
        <f aca="false">ROUND(H65,0)</f>
        <v>3746</v>
      </c>
      <c r="F65" s="54" t="n">
        <f aca="false">E65*D65</f>
        <v>0</v>
      </c>
      <c r="G65" s="50" t="str">
        <f aca="false">VLOOKUP(C65,库!A:D,4,FALSE())</f>
        <v>ABB</v>
      </c>
      <c r="H65" s="55" t="n">
        <f aca="false">VLOOKUP(C65,库!A:D,3,FALSE())</f>
        <v>3745.7505</v>
      </c>
      <c r="I65" s="56" t="n">
        <f aca="false">630*D65</f>
        <v>0</v>
      </c>
      <c r="J65" s="56" t="n">
        <f aca="false">401*D65*((K61/105-1)/2+1)</f>
        <v>0</v>
      </c>
      <c r="K65" s="56"/>
      <c r="L65" s="56"/>
      <c r="M65" s="56"/>
      <c r="N65" s="45" t="n">
        <f aca="false">D65*192</f>
        <v>0</v>
      </c>
      <c r="O65" s="45" t="n">
        <f aca="false">400*D65</f>
        <v>0</v>
      </c>
      <c r="P65" s="43" t="n">
        <f aca="false">IF(F65&lt;10000,F65*0.3,IF(F65&gt;49999.99,F65*0.1,(0.29-0.000003125*F65)*F65))</f>
        <v>0</v>
      </c>
      <c r="Q65" s="46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  <c r="GO65" s="45"/>
      <c r="GP65" s="45"/>
      <c r="GQ65" s="45"/>
      <c r="GR65" s="45"/>
      <c r="GS65" s="45"/>
      <c r="GT65" s="45"/>
      <c r="GU65" s="45"/>
      <c r="GV65" s="45"/>
      <c r="GW65" s="45"/>
      <c r="GX65" s="45"/>
      <c r="GY65" s="45"/>
      <c r="GZ65" s="45"/>
      <c r="HA65" s="45"/>
      <c r="HB65" s="45"/>
      <c r="HC65" s="45"/>
      <c r="HD65" s="45"/>
      <c r="HE65" s="45"/>
      <c r="HF65" s="45"/>
      <c r="HG65" s="45"/>
      <c r="HH65" s="45"/>
      <c r="HI65" s="45"/>
      <c r="HJ65" s="45"/>
      <c r="HK65" s="45"/>
      <c r="HL65" s="45"/>
      <c r="HM65" s="45"/>
      <c r="HN65" s="45"/>
      <c r="HO65" s="45"/>
      <c r="HP65" s="45"/>
      <c r="HQ65" s="45"/>
      <c r="HR65" s="45"/>
      <c r="HS65" s="45"/>
      <c r="HT65" s="45"/>
      <c r="HU65" s="45"/>
      <c r="HV65" s="45"/>
      <c r="HW65" s="45"/>
      <c r="HX65" s="45"/>
      <c r="HY65" s="45"/>
      <c r="HZ65" s="45"/>
      <c r="IA65" s="45"/>
      <c r="IB65" s="45"/>
      <c r="IC65" s="45"/>
      <c r="ID65" s="45"/>
      <c r="IE65" s="45"/>
      <c r="IF65" s="45"/>
      <c r="IG65" s="45"/>
      <c r="IH65" s="45"/>
      <c r="II65" s="45"/>
      <c r="IJ65" s="45"/>
      <c r="IK65" s="45"/>
      <c r="IL65" s="45"/>
      <c r="IM65" s="45"/>
      <c r="IN65" s="45"/>
      <c r="IO65" s="45"/>
      <c r="IP65" s="45"/>
      <c r="IQ65" s="45"/>
      <c r="IR65" s="45"/>
      <c r="IS65" s="45"/>
      <c r="IT65" s="45"/>
      <c r="IU65" s="45"/>
      <c r="IV65" s="45"/>
      <c r="IW65" s="45"/>
    </row>
    <row r="66" customFormat="false" ht="16.8" hidden="false" customHeight="false" outlineLevel="0" collapsed="false">
      <c r="A66" s="49" t="n">
        <v>8</v>
      </c>
      <c r="B66" s="51" t="s">
        <v>49</v>
      </c>
      <c r="C66" s="52" t="s">
        <v>50</v>
      </c>
      <c r="D66" s="53" t="n">
        <v>0</v>
      </c>
      <c r="E66" s="54" t="n">
        <f aca="false">ROUND(H66,0)</f>
        <v>16613</v>
      </c>
      <c r="F66" s="54" t="n">
        <f aca="false">E66*D66</f>
        <v>0</v>
      </c>
      <c r="G66" s="50" t="str">
        <f aca="false">VLOOKUP(C66,库!A:D,4,FALSE())</f>
        <v>ABB</v>
      </c>
      <c r="H66" s="55" t="n">
        <f aca="false">VLOOKUP(C66,库!A:D,3,FALSE())</f>
        <v>16612.9915</v>
      </c>
      <c r="I66" s="56" t="n">
        <f aca="false">630*D66</f>
        <v>0</v>
      </c>
      <c r="J66" s="56" t="n">
        <f aca="false">2.5*D66*0.25*K61*8.9*3</f>
        <v>0</v>
      </c>
      <c r="K66" s="56"/>
      <c r="L66" s="56"/>
      <c r="M66" s="56"/>
      <c r="N66" s="45" t="n">
        <f aca="false">D66*192</f>
        <v>0</v>
      </c>
      <c r="O66" s="45" t="n">
        <f aca="false">400*D66</f>
        <v>0</v>
      </c>
      <c r="P66" s="43" t="n">
        <f aca="false">IF(F66&lt;10000,F66*0.3,IF(F66&gt;49999.99,F66*0.1,(0.29-0.000003125*F66)*F66))</f>
        <v>0</v>
      </c>
      <c r="Q66" s="46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  <c r="IR66" s="45"/>
      <c r="IS66" s="45"/>
      <c r="IT66" s="45"/>
      <c r="IU66" s="45"/>
      <c r="IV66" s="45"/>
      <c r="IW66" s="45"/>
    </row>
    <row r="67" customFormat="false" ht="16.8" hidden="false" customHeight="false" outlineLevel="0" collapsed="false">
      <c r="A67" s="49" t="n">
        <v>9</v>
      </c>
      <c r="B67" s="51" t="s">
        <v>49</v>
      </c>
      <c r="C67" s="52" t="s">
        <v>51</v>
      </c>
      <c r="D67" s="53" t="n">
        <v>0</v>
      </c>
      <c r="E67" s="54" t="n">
        <f aca="false">ROUND(H67,0)</f>
        <v>17661</v>
      </c>
      <c r="F67" s="54" t="n">
        <f aca="false">E67*D67</f>
        <v>0</v>
      </c>
      <c r="G67" s="50" t="str">
        <f aca="false">VLOOKUP(C67,库!A:D,4,FALSE())</f>
        <v>ABB</v>
      </c>
      <c r="H67" s="55" t="n">
        <f aca="false">VLOOKUP(C67,库!A:D,3,FALSE())</f>
        <v>17660.923</v>
      </c>
      <c r="I67" s="56" t="n">
        <f aca="false">800*D67</f>
        <v>0</v>
      </c>
      <c r="J67" s="56" t="n">
        <f aca="false">2.5*D67*0.3*K61*8.9*3</f>
        <v>0</v>
      </c>
      <c r="K67" s="56"/>
      <c r="L67" s="56"/>
      <c r="M67" s="56"/>
      <c r="N67" s="45" t="n">
        <f aca="false">D67*192</f>
        <v>0</v>
      </c>
      <c r="O67" s="45" t="n">
        <f aca="false">400*D67</f>
        <v>0</v>
      </c>
      <c r="P67" s="43" t="n">
        <f aca="false">IF(F67&lt;10000,F67*0.3,IF(F67&gt;49999.99,F67*0.1,(0.29-0.000003125*F67)*F67))</f>
        <v>0</v>
      </c>
      <c r="Q67" s="46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  <c r="GL67" s="45"/>
      <c r="GM67" s="45"/>
      <c r="GN67" s="45"/>
      <c r="GO67" s="45"/>
      <c r="GP67" s="45"/>
      <c r="GQ67" s="45"/>
      <c r="GR67" s="45"/>
      <c r="GS67" s="45"/>
      <c r="GT67" s="45"/>
      <c r="GU67" s="45"/>
      <c r="GV67" s="45"/>
      <c r="GW67" s="45"/>
      <c r="GX67" s="45"/>
      <c r="GY67" s="45"/>
      <c r="GZ67" s="45"/>
      <c r="HA67" s="45"/>
      <c r="HB67" s="45"/>
      <c r="HC67" s="45"/>
      <c r="HD67" s="45"/>
      <c r="HE67" s="45"/>
      <c r="HF67" s="45"/>
      <c r="HG67" s="45"/>
      <c r="HH67" s="45"/>
      <c r="HI67" s="45"/>
      <c r="HJ67" s="45"/>
      <c r="HK67" s="45"/>
      <c r="HL67" s="45"/>
      <c r="HM67" s="45"/>
      <c r="HN67" s="45"/>
      <c r="HO67" s="45"/>
      <c r="HP67" s="45"/>
      <c r="HQ67" s="45"/>
      <c r="HR67" s="45"/>
      <c r="HS67" s="45"/>
      <c r="HT67" s="45"/>
      <c r="HU67" s="45"/>
      <c r="HV67" s="45"/>
      <c r="HW67" s="45"/>
      <c r="HX67" s="45"/>
      <c r="HY67" s="45"/>
      <c r="HZ67" s="45"/>
      <c r="IA67" s="45"/>
      <c r="IB67" s="45"/>
      <c r="IC67" s="45"/>
      <c r="ID67" s="45"/>
      <c r="IE67" s="45"/>
      <c r="IF67" s="45"/>
      <c r="IG67" s="45"/>
      <c r="IH67" s="45"/>
      <c r="II67" s="45"/>
      <c r="IJ67" s="45"/>
      <c r="IK67" s="45"/>
      <c r="IL67" s="45"/>
      <c r="IM67" s="45"/>
      <c r="IN67" s="45"/>
      <c r="IO67" s="45"/>
      <c r="IP67" s="45"/>
      <c r="IQ67" s="45"/>
      <c r="IR67" s="45"/>
      <c r="IS67" s="45"/>
      <c r="IT67" s="45"/>
      <c r="IU67" s="45"/>
      <c r="IV67" s="45"/>
      <c r="IW67" s="45"/>
    </row>
    <row r="68" customFormat="false" ht="16.8" hidden="false" customHeight="false" outlineLevel="0" collapsed="false">
      <c r="A68" s="49" t="n">
        <v>10</v>
      </c>
      <c r="B68" s="51" t="s">
        <v>49</v>
      </c>
      <c r="C68" s="52" t="s">
        <v>52</v>
      </c>
      <c r="D68" s="53" t="n">
        <v>1</v>
      </c>
      <c r="E68" s="54" t="n">
        <f aca="false">ROUND(H68,0)</f>
        <v>18988</v>
      </c>
      <c r="F68" s="54" t="n">
        <f aca="false">E68*D68</f>
        <v>18988</v>
      </c>
      <c r="G68" s="50" t="str">
        <f aca="false">VLOOKUP(C68,库!A:D,4,FALSE())</f>
        <v>ABB</v>
      </c>
      <c r="H68" s="55" t="n">
        <f aca="false">VLOOKUP(C68,库!A:D,3,FALSE())</f>
        <v>18988.431</v>
      </c>
      <c r="I68" s="56" t="n">
        <f aca="false">1000*D68</f>
        <v>1000</v>
      </c>
      <c r="J68" s="56" t="n">
        <f aca="false">2.5*D68*0.48*K61*8.9*3</f>
        <v>3204</v>
      </c>
      <c r="K68" s="56"/>
      <c r="L68" s="56"/>
      <c r="M68" s="56"/>
      <c r="N68" s="45" t="n">
        <f aca="false">D68*192</f>
        <v>192</v>
      </c>
      <c r="O68" s="45" t="n">
        <f aca="false">400*D68</f>
        <v>400</v>
      </c>
      <c r="P68" s="43" t="n">
        <f aca="false">IF(F68&lt;10000,F68*0.3,IF(F68&gt;49999.99,F68*0.1,(0.29-0.000003125*F68)*F68))</f>
        <v>4379.81955</v>
      </c>
      <c r="Q68" s="46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  <c r="GL68" s="45"/>
      <c r="GM68" s="45"/>
      <c r="GN68" s="45"/>
      <c r="GO68" s="45"/>
      <c r="GP68" s="45"/>
      <c r="GQ68" s="45"/>
      <c r="GR68" s="45"/>
      <c r="GS68" s="45"/>
      <c r="GT68" s="45"/>
      <c r="GU68" s="45"/>
      <c r="GV68" s="45"/>
      <c r="GW68" s="45"/>
      <c r="GX68" s="45"/>
      <c r="GY68" s="45"/>
      <c r="GZ68" s="45"/>
      <c r="HA68" s="45"/>
      <c r="HB68" s="45"/>
      <c r="HC68" s="45"/>
      <c r="HD68" s="45"/>
      <c r="HE68" s="45"/>
      <c r="HF68" s="45"/>
      <c r="HG68" s="45"/>
      <c r="HH68" s="45"/>
      <c r="HI68" s="45"/>
      <c r="HJ68" s="45"/>
      <c r="HK68" s="45"/>
      <c r="HL68" s="45"/>
      <c r="HM68" s="45"/>
      <c r="HN68" s="45"/>
      <c r="HO68" s="45"/>
      <c r="HP68" s="45"/>
      <c r="HQ68" s="45"/>
      <c r="HR68" s="45"/>
      <c r="HS68" s="45"/>
      <c r="HT68" s="45"/>
      <c r="HU68" s="45"/>
      <c r="HV68" s="45"/>
      <c r="HW68" s="45"/>
      <c r="HX68" s="45"/>
      <c r="HY68" s="45"/>
      <c r="HZ68" s="45"/>
      <c r="IA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  <c r="IR68" s="45"/>
      <c r="IS68" s="45"/>
      <c r="IT68" s="45"/>
      <c r="IU68" s="45"/>
      <c r="IV68" s="45"/>
      <c r="IW68" s="45"/>
    </row>
    <row r="69" customFormat="false" ht="16.8" hidden="false" customHeight="false" outlineLevel="0" collapsed="false">
      <c r="A69" s="49" t="n">
        <v>11</v>
      </c>
      <c r="B69" s="59" t="s">
        <v>53</v>
      </c>
      <c r="C69" s="52" t="s">
        <v>54</v>
      </c>
      <c r="D69" s="49" t="n">
        <f aca="false">SUM(D59:D66)*3</f>
        <v>30</v>
      </c>
      <c r="E69" s="54" t="n">
        <f aca="false">ROUND(H69,0)</f>
        <v>28</v>
      </c>
      <c r="F69" s="54" t="n">
        <f aca="false">E69*D69</f>
        <v>840</v>
      </c>
      <c r="G69" s="50" t="str">
        <f aca="false">VLOOKUP(C69,库!A:D,4,FALSE())</f>
        <v>宁波/天灵</v>
      </c>
      <c r="H69" s="55" t="n">
        <f aca="false">VLOOKUP(C69,库!A:D,3,FALSE())</f>
        <v>28</v>
      </c>
      <c r="I69" s="56"/>
      <c r="J69" s="56"/>
      <c r="K69" s="56"/>
      <c r="L69" s="56"/>
      <c r="M69" s="56"/>
      <c r="N69" s="45"/>
      <c r="O69" s="45"/>
      <c r="P69" s="43" t="n">
        <f aca="false">IF(F69&lt;10000,F69*0.3,IF(F69&gt;49999.99,F69*0.1,(0.29-0.000003125*F69)*F69))</f>
        <v>252</v>
      </c>
      <c r="Q69" s="46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  <c r="GL69" s="45"/>
      <c r="GM69" s="45"/>
      <c r="GN69" s="45"/>
      <c r="GO69" s="45"/>
      <c r="GP69" s="45"/>
      <c r="GQ69" s="45"/>
      <c r="GR69" s="45"/>
      <c r="GS69" s="45"/>
      <c r="GT69" s="45"/>
      <c r="GU69" s="45"/>
      <c r="GV69" s="45"/>
      <c r="GW69" s="45"/>
      <c r="GX69" s="45"/>
      <c r="GY69" s="45"/>
      <c r="GZ69" s="45"/>
      <c r="HA69" s="45"/>
      <c r="HB69" s="45"/>
      <c r="HC69" s="45"/>
      <c r="HD69" s="45"/>
      <c r="HE69" s="45"/>
      <c r="HF69" s="45"/>
      <c r="HG69" s="45"/>
      <c r="HH69" s="45"/>
      <c r="HI69" s="45"/>
      <c r="HJ69" s="45"/>
      <c r="HK69" s="45"/>
      <c r="HL69" s="45"/>
      <c r="HM69" s="45"/>
      <c r="HN69" s="45"/>
      <c r="HO69" s="45"/>
      <c r="HP69" s="45"/>
      <c r="HQ69" s="45"/>
      <c r="HR69" s="45"/>
      <c r="HS69" s="45"/>
      <c r="HT69" s="45"/>
      <c r="HU69" s="45"/>
      <c r="HV69" s="45"/>
      <c r="HW69" s="45"/>
      <c r="HX69" s="45"/>
      <c r="HY69" s="45"/>
      <c r="HZ69" s="45"/>
      <c r="IA69" s="45"/>
      <c r="IB69" s="45"/>
      <c r="IC69" s="45"/>
      <c r="ID69" s="45"/>
      <c r="IE69" s="45"/>
      <c r="IF69" s="45"/>
      <c r="IG69" s="45"/>
      <c r="IH69" s="45"/>
      <c r="II69" s="45"/>
      <c r="IJ69" s="45"/>
      <c r="IK69" s="45"/>
      <c r="IL69" s="45"/>
      <c r="IM69" s="45"/>
      <c r="IN69" s="45"/>
      <c r="IO69" s="45"/>
      <c r="IP69" s="45"/>
      <c r="IQ69" s="45"/>
      <c r="IR69" s="45"/>
      <c r="IS69" s="45"/>
      <c r="IT69" s="45"/>
      <c r="IU69" s="45"/>
      <c r="IV69" s="45"/>
      <c r="IW69" s="45"/>
    </row>
    <row r="70" customFormat="false" ht="16.8" hidden="false" customHeight="false" outlineLevel="0" collapsed="false">
      <c r="A70" s="49" t="n">
        <v>12</v>
      </c>
      <c r="B70" s="59" t="s">
        <v>53</v>
      </c>
      <c r="C70" s="52" t="s">
        <v>55</v>
      </c>
      <c r="D70" s="49" t="n">
        <f aca="false">D67*3</f>
        <v>0</v>
      </c>
      <c r="E70" s="54" t="n">
        <f aca="false">ROUND(H70,0)</f>
        <v>45</v>
      </c>
      <c r="F70" s="54" t="n">
        <f aca="false">E70*D70</f>
        <v>0</v>
      </c>
      <c r="G70" s="50" t="str">
        <f aca="false">VLOOKUP(C70,库!A:D,4,FALSE())</f>
        <v>宁波/天灵</v>
      </c>
      <c r="H70" s="55" t="n">
        <f aca="false">VLOOKUP(C70,库!A:D,3,FALSE())</f>
        <v>45</v>
      </c>
      <c r="I70" s="56"/>
      <c r="J70" s="56"/>
      <c r="K70" s="56"/>
      <c r="L70" s="56"/>
      <c r="M70" s="56"/>
      <c r="N70" s="45"/>
      <c r="O70" s="45"/>
      <c r="P70" s="43" t="n">
        <f aca="false">IF(F70&lt;10000,F70*0.3,IF(F70&gt;49999.99,F70*0.1,(0.29-0.000003125*F70)*F70))</f>
        <v>0</v>
      </c>
      <c r="Q70" s="46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  <c r="HM70" s="45"/>
      <c r="HN70" s="45"/>
      <c r="HO70" s="45"/>
      <c r="HP70" s="45"/>
      <c r="HQ70" s="45"/>
      <c r="HR70" s="45"/>
      <c r="HS70" s="45"/>
      <c r="HT70" s="45"/>
      <c r="HU70" s="45"/>
      <c r="HV70" s="45"/>
      <c r="HW70" s="45"/>
      <c r="HX70" s="45"/>
      <c r="HY70" s="45"/>
      <c r="HZ70" s="45"/>
      <c r="IA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  <c r="IR70" s="45"/>
      <c r="IS70" s="45"/>
      <c r="IT70" s="45"/>
      <c r="IU70" s="45"/>
      <c r="IV70" s="45"/>
      <c r="IW70" s="45"/>
    </row>
    <row r="71" customFormat="false" ht="16.8" hidden="false" customHeight="false" outlineLevel="0" collapsed="false">
      <c r="A71" s="49" t="n">
        <v>13</v>
      </c>
      <c r="B71" s="59" t="s">
        <v>53</v>
      </c>
      <c r="C71" s="52" t="s">
        <v>56</v>
      </c>
      <c r="D71" s="49" t="n">
        <f aca="false">D68*3</f>
        <v>3</v>
      </c>
      <c r="E71" s="54" t="n">
        <f aca="false">ROUND(H71,0)</f>
        <v>65</v>
      </c>
      <c r="F71" s="54" t="n">
        <f aca="false">E71*D71</f>
        <v>195</v>
      </c>
      <c r="G71" s="50" t="str">
        <f aca="false">VLOOKUP(C71,库!A:D,4,FALSE())</f>
        <v>宁波/天灵</v>
      </c>
      <c r="H71" s="55" t="n">
        <f aca="false">VLOOKUP(C71,库!A:D,3,FALSE())</f>
        <v>65</v>
      </c>
      <c r="I71" s="56"/>
      <c r="J71" s="56"/>
      <c r="K71" s="56"/>
      <c r="L71" s="56"/>
      <c r="M71" s="56"/>
      <c r="N71" s="45"/>
      <c r="O71" s="45"/>
      <c r="P71" s="43" t="n">
        <f aca="false">IF(F71&lt;10000,F71*0.3,IF(F71&gt;49999.99,F71*0.1,(0.29-0.000003125*F71)*F71))</f>
        <v>58.5</v>
      </c>
      <c r="Q71" s="46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  <c r="GL71" s="45"/>
      <c r="GM71" s="45"/>
      <c r="GN71" s="45"/>
      <c r="GO71" s="45"/>
      <c r="GP71" s="45"/>
      <c r="GQ71" s="45"/>
      <c r="GR71" s="45"/>
      <c r="GS71" s="45"/>
      <c r="GT71" s="45"/>
      <c r="GU71" s="45"/>
      <c r="GV71" s="45"/>
      <c r="GW71" s="45"/>
      <c r="GX71" s="45"/>
      <c r="GY71" s="45"/>
      <c r="GZ71" s="45"/>
      <c r="HA71" s="45"/>
      <c r="HB71" s="45"/>
      <c r="HC71" s="45"/>
      <c r="HD71" s="45"/>
      <c r="HE71" s="45"/>
      <c r="HF71" s="45"/>
      <c r="HG71" s="45"/>
      <c r="HH71" s="45"/>
      <c r="HI71" s="45"/>
      <c r="HJ71" s="45"/>
      <c r="HK71" s="45"/>
      <c r="HL71" s="45"/>
      <c r="HM71" s="45"/>
      <c r="HN71" s="45"/>
      <c r="HO71" s="45"/>
      <c r="HP71" s="45"/>
      <c r="HQ71" s="45"/>
      <c r="HR71" s="45"/>
      <c r="HS71" s="45"/>
      <c r="HT71" s="45"/>
      <c r="HU71" s="45"/>
      <c r="HV71" s="45"/>
      <c r="HW71" s="45"/>
      <c r="HX71" s="45"/>
      <c r="HY71" s="45"/>
      <c r="HZ71" s="45"/>
      <c r="IA71" s="45"/>
      <c r="IB71" s="45"/>
      <c r="IC71" s="45"/>
      <c r="ID71" s="45"/>
      <c r="IE71" s="45"/>
      <c r="IF71" s="45"/>
      <c r="IG71" s="45"/>
      <c r="IH71" s="45"/>
      <c r="II71" s="45"/>
      <c r="IJ71" s="45"/>
      <c r="IK71" s="45"/>
      <c r="IL71" s="45"/>
      <c r="IM71" s="45"/>
      <c r="IN71" s="45"/>
      <c r="IO71" s="45"/>
      <c r="IP71" s="45"/>
      <c r="IQ71" s="45"/>
      <c r="IR71" s="45"/>
      <c r="IS71" s="45"/>
      <c r="IT71" s="45"/>
      <c r="IU71" s="45"/>
      <c r="IV71" s="45"/>
      <c r="IW71" s="45"/>
    </row>
    <row r="72" customFormat="false" ht="16.8" hidden="false" customHeight="false" outlineLevel="0" collapsed="false">
      <c r="A72" s="49" t="n">
        <v>14</v>
      </c>
      <c r="B72" s="60" t="s">
        <v>57</v>
      </c>
      <c r="C72" s="61" t="s">
        <v>58</v>
      </c>
      <c r="D72" s="62" t="n">
        <f aca="false">SUM(D69:D71)/3</f>
        <v>11</v>
      </c>
      <c r="E72" s="54" t="n">
        <f aca="false">ROUND(H72,0)</f>
        <v>280</v>
      </c>
      <c r="F72" s="54" t="n">
        <f aca="false">E72*D72</f>
        <v>3080</v>
      </c>
      <c r="G72" s="50" t="str">
        <f aca="false">VLOOKUP(C72,库!A:D,4,FALSE())</f>
        <v>宁波/美格</v>
      </c>
      <c r="H72" s="55" t="n">
        <f aca="false">VLOOKUP(C72,库!A:D,3,FALSE())</f>
        <v>280</v>
      </c>
      <c r="I72" s="56" t="n">
        <f aca="false">SUM(I59:I71)</f>
        <v>3006</v>
      </c>
      <c r="J72" s="45" t="n">
        <f aca="false">K59*4*K61*8.9+K59*0.8*K61*8.9</f>
        <v>2563.2</v>
      </c>
      <c r="K72" s="56"/>
      <c r="L72" s="56"/>
      <c r="M72" s="56"/>
      <c r="N72" s="45" t="n">
        <f aca="false">0.6*4*105*8.9+0.6*0.8*105*8.9</f>
        <v>2691.36</v>
      </c>
      <c r="O72" s="45"/>
      <c r="P72" s="63" t="n">
        <f aca="false">IF(F72&lt;10000,F72*0.3,IF(F72&gt;49999.99,F72*0.1,(0.29-0.000003125*F72)*F72))</f>
        <v>924</v>
      </c>
      <c r="Q72" s="64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  <c r="BD72" s="65"/>
      <c r="BE72" s="65"/>
      <c r="BF72" s="65"/>
      <c r="BG72" s="65"/>
      <c r="BH72" s="65"/>
      <c r="BI72" s="65"/>
      <c r="BJ72" s="65"/>
      <c r="BK72" s="65"/>
      <c r="BL72" s="65"/>
      <c r="BM72" s="65"/>
      <c r="BN72" s="65"/>
      <c r="BO72" s="65"/>
      <c r="BP72" s="65"/>
      <c r="BQ72" s="65"/>
      <c r="BR72" s="65"/>
      <c r="BS72" s="65"/>
      <c r="BT72" s="65"/>
      <c r="BU72" s="65"/>
      <c r="BV72" s="65"/>
      <c r="BW72" s="65"/>
      <c r="BX72" s="65"/>
      <c r="BY72" s="65"/>
      <c r="BZ72" s="65"/>
      <c r="CA72" s="65"/>
      <c r="CB72" s="65"/>
      <c r="CC72" s="65"/>
      <c r="CD72" s="65"/>
      <c r="CE72" s="65"/>
      <c r="CF72" s="65"/>
      <c r="CG72" s="65"/>
      <c r="CH72" s="65"/>
      <c r="CI72" s="65"/>
      <c r="CJ72" s="65"/>
      <c r="CK72" s="65"/>
      <c r="CL72" s="65"/>
      <c r="CM72" s="65"/>
      <c r="CN72" s="65"/>
      <c r="CO72" s="65"/>
      <c r="CP72" s="65"/>
      <c r="CQ72" s="65"/>
      <c r="CR72" s="65"/>
      <c r="CS72" s="65"/>
      <c r="CT72" s="65"/>
      <c r="CU72" s="65"/>
      <c r="CV72" s="65"/>
      <c r="CW72" s="65"/>
      <c r="CX72" s="65"/>
      <c r="CY72" s="65"/>
      <c r="CZ72" s="65"/>
      <c r="DA72" s="65"/>
      <c r="DB72" s="65"/>
      <c r="DC72" s="65"/>
      <c r="DD72" s="65"/>
      <c r="DE72" s="65"/>
      <c r="DF72" s="65"/>
      <c r="DG72" s="65"/>
      <c r="DH72" s="65"/>
      <c r="DI72" s="65"/>
      <c r="DJ72" s="65"/>
      <c r="DK72" s="65"/>
      <c r="DL72" s="65"/>
      <c r="DM72" s="65"/>
      <c r="DN72" s="65"/>
      <c r="DO72" s="65"/>
      <c r="DP72" s="65"/>
      <c r="DQ72" s="65"/>
      <c r="DR72" s="65"/>
      <c r="DS72" s="65"/>
      <c r="DT72" s="65"/>
      <c r="DU72" s="65"/>
      <c r="DV72" s="65"/>
      <c r="DW72" s="65"/>
      <c r="DX72" s="65"/>
      <c r="DY72" s="65"/>
      <c r="DZ72" s="65"/>
      <c r="EA72" s="65"/>
      <c r="EB72" s="65"/>
      <c r="EC72" s="65"/>
      <c r="ED72" s="65"/>
      <c r="EE72" s="65"/>
      <c r="EF72" s="65"/>
      <c r="EG72" s="65"/>
      <c r="EH72" s="65"/>
      <c r="EI72" s="65"/>
      <c r="EJ72" s="65"/>
      <c r="EK72" s="65"/>
      <c r="EL72" s="65"/>
      <c r="EM72" s="65"/>
      <c r="EN72" s="65"/>
      <c r="EO72" s="65"/>
      <c r="EP72" s="65"/>
      <c r="EQ72" s="65"/>
      <c r="ER72" s="65"/>
      <c r="ES72" s="65"/>
      <c r="ET72" s="65"/>
      <c r="EU72" s="65"/>
      <c r="EV72" s="65"/>
      <c r="EW72" s="65"/>
      <c r="EX72" s="65"/>
      <c r="EY72" s="65"/>
      <c r="EZ72" s="65"/>
      <c r="FA72" s="65"/>
      <c r="FB72" s="65"/>
      <c r="FC72" s="65"/>
      <c r="FD72" s="65"/>
      <c r="FE72" s="65"/>
      <c r="FF72" s="65"/>
      <c r="FG72" s="65"/>
      <c r="FH72" s="65"/>
      <c r="FI72" s="65"/>
      <c r="FJ72" s="65"/>
      <c r="FK72" s="65"/>
      <c r="FL72" s="65"/>
      <c r="FM72" s="65"/>
      <c r="FN72" s="65"/>
      <c r="FO72" s="65"/>
      <c r="FP72" s="65"/>
      <c r="FQ72" s="65"/>
      <c r="FR72" s="65"/>
      <c r="FS72" s="65"/>
      <c r="FT72" s="65"/>
      <c r="FU72" s="65"/>
      <c r="FV72" s="65"/>
      <c r="FW72" s="65"/>
      <c r="FX72" s="65"/>
      <c r="FY72" s="65"/>
      <c r="FZ72" s="65"/>
      <c r="GA72" s="65"/>
      <c r="GB72" s="65"/>
      <c r="GC72" s="65"/>
      <c r="GD72" s="65"/>
      <c r="GE72" s="65"/>
      <c r="GF72" s="65"/>
      <c r="GG72" s="65"/>
      <c r="GH72" s="65"/>
      <c r="GI72" s="65"/>
      <c r="GJ72" s="65"/>
      <c r="GK72" s="65"/>
      <c r="GL72" s="65"/>
      <c r="GM72" s="65"/>
      <c r="GN72" s="65"/>
      <c r="GO72" s="65"/>
      <c r="GP72" s="65"/>
      <c r="GQ72" s="65"/>
      <c r="GR72" s="65"/>
      <c r="GS72" s="65"/>
      <c r="GT72" s="65"/>
      <c r="GU72" s="65"/>
      <c r="GV72" s="65"/>
      <c r="GW72" s="65"/>
      <c r="GX72" s="65"/>
      <c r="GY72" s="65"/>
      <c r="GZ72" s="65"/>
      <c r="HA72" s="65"/>
      <c r="HB72" s="65"/>
      <c r="HC72" s="65"/>
      <c r="HD72" s="65"/>
      <c r="HE72" s="65"/>
      <c r="HF72" s="65"/>
      <c r="HG72" s="65"/>
      <c r="HH72" s="65"/>
      <c r="HI72" s="65"/>
      <c r="HJ72" s="65"/>
      <c r="HK72" s="65"/>
      <c r="HL72" s="65"/>
      <c r="HM72" s="65"/>
      <c r="HN72" s="65"/>
      <c r="HO72" s="65"/>
      <c r="HP72" s="65"/>
      <c r="HQ72" s="65"/>
      <c r="HR72" s="65"/>
      <c r="HS72" s="65"/>
      <c r="HT72" s="65"/>
      <c r="HU72" s="65"/>
      <c r="HV72" s="65"/>
      <c r="HW72" s="65"/>
      <c r="HX72" s="65"/>
      <c r="HY72" s="65"/>
      <c r="HZ72" s="65"/>
      <c r="IA72" s="65"/>
      <c r="IB72" s="65"/>
      <c r="IC72" s="65"/>
      <c r="ID72" s="65"/>
      <c r="IE72" s="65"/>
      <c r="IF72" s="65"/>
      <c r="IG72" s="65"/>
      <c r="IH72" s="65"/>
      <c r="II72" s="65"/>
      <c r="IJ72" s="65"/>
      <c r="IK72" s="65"/>
      <c r="IL72" s="65"/>
      <c r="IM72" s="65"/>
      <c r="IN72" s="65"/>
      <c r="IO72" s="65"/>
      <c r="IP72" s="65"/>
      <c r="IQ72" s="65"/>
      <c r="IR72" s="65"/>
      <c r="IS72" s="65"/>
      <c r="IT72" s="65"/>
      <c r="IU72" s="65"/>
      <c r="IV72" s="65"/>
      <c r="IW72" s="65"/>
    </row>
    <row r="73" customFormat="false" ht="16.8" hidden="false" customHeight="false" outlineLevel="0" collapsed="false">
      <c r="A73" s="49" t="n">
        <v>15</v>
      </c>
      <c r="B73" s="66" t="s">
        <v>59</v>
      </c>
      <c r="C73" s="67" t="s">
        <v>60</v>
      </c>
      <c r="D73" s="68"/>
      <c r="E73" s="69"/>
      <c r="F73" s="70" t="n">
        <f aca="false">ROUND(H73,0)</f>
        <v>12659</v>
      </c>
      <c r="G73" s="50" t="str">
        <f aca="false">VLOOKUP(B73,库!A:D,4,FALSE())</f>
        <v>江西/金来</v>
      </c>
      <c r="H73" s="51" t="n">
        <f aca="false">ROUND((7)*L73*K61*8.9+2*L73/2*K61*8.9+2*L73/4*K61*8.9+J73,0)</f>
        <v>12659</v>
      </c>
      <c r="I73" s="44" t="n">
        <f aca="false">IF(D72&gt;9,I72*0.7,IF(I72&gt;5,I72*0.8))</f>
        <v>2104.2</v>
      </c>
      <c r="J73" s="45" t="n">
        <f aca="false">SUM(J59:J72)</f>
        <v>7211.9619047619</v>
      </c>
      <c r="K73" s="44"/>
      <c r="L73" s="44" t="n">
        <f aca="false">IF(I73&lt;500.1,M59,(IF(I73&lt;755.1,M60,IF(I73&lt;990.1,M61,IF(I73&lt;1160.1,M62,IF(I73&lt;1500,M63,M64))))))</f>
        <v>0.72</v>
      </c>
      <c r="M73" s="44"/>
      <c r="N73" s="45" t="n">
        <f aca="false">SUM(N59:N72)</f>
        <v>5195.36</v>
      </c>
      <c r="O73" s="45" t="n">
        <f aca="false">SUM(O59:O72)</f>
        <v>4400</v>
      </c>
      <c r="P73" s="43" t="n">
        <f aca="false">IF(F73&lt;10000,F73*0.3,IF(F73&gt;49999.99,F73*0.1,(0.29-0.000003125*F73)*F73))</f>
        <v>3170.327871875</v>
      </c>
      <c r="Q73" s="46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  <c r="GL73" s="45"/>
      <c r="GM73" s="45"/>
      <c r="GN73" s="45"/>
      <c r="GO73" s="45"/>
      <c r="GP73" s="45"/>
      <c r="GQ73" s="45"/>
      <c r="GR73" s="45"/>
      <c r="GS73" s="45"/>
      <c r="GT73" s="45"/>
      <c r="GU73" s="45"/>
      <c r="GV73" s="45"/>
      <c r="GW73" s="45"/>
      <c r="GX73" s="45"/>
      <c r="GY73" s="45"/>
      <c r="GZ73" s="45"/>
      <c r="HA73" s="45"/>
      <c r="HB73" s="45"/>
      <c r="HC73" s="45"/>
      <c r="HD73" s="45"/>
      <c r="HE73" s="45"/>
      <c r="HF73" s="45"/>
      <c r="HG73" s="45"/>
      <c r="HH73" s="45"/>
      <c r="HI73" s="45"/>
      <c r="HJ73" s="45"/>
      <c r="HK73" s="45"/>
      <c r="HL73" s="45"/>
      <c r="HM73" s="45"/>
      <c r="HN73" s="45"/>
      <c r="HO73" s="45"/>
      <c r="HP73" s="45"/>
      <c r="HQ73" s="45"/>
      <c r="HR73" s="45"/>
      <c r="HS73" s="45"/>
      <c r="HT73" s="45"/>
      <c r="HU73" s="45"/>
      <c r="HV73" s="45"/>
      <c r="HW73" s="45"/>
      <c r="HX73" s="45"/>
      <c r="HY73" s="45"/>
      <c r="HZ73" s="45"/>
      <c r="IA73" s="45"/>
      <c r="IB73" s="45"/>
      <c r="IC73" s="45"/>
      <c r="ID73" s="45"/>
      <c r="IE73" s="45"/>
      <c r="IF73" s="45"/>
      <c r="IG73" s="45"/>
      <c r="IH73" s="45"/>
      <c r="II73" s="45"/>
      <c r="IJ73" s="45"/>
      <c r="IK73" s="45"/>
      <c r="IL73" s="45"/>
      <c r="IM73" s="45"/>
      <c r="IN73" s="45"/>
      <c r="IO73" s="45"/>
      <c r="IP73" s="45"/>
      <c r="IQ73" s="45"/>
      <c r="IR73" s="45"/>
      <c r="IS73" s="45"/>
      <c r="IT73" s="45"/>
      <c r="IU73" s="45"/>
      <c r="IV73" s="45"/>
      <c r="IW73" s="45"/>
    </row>
    <row r="74" customFormat="false" ht="16.8" hidden="false" customHeight="false" outlineLevel="0" collapsed="false">
      <c r="A74" s="49" t="n">
        <v>16</v>
      </c>
      <c r="B74" s="71" t="str">
        <f aca="false">Q74</f>
        <v>辅助材料（出线柜，11路出线）</v>
      </c>
      <c r="C74" s="71"/>
      <c r="D74" s="71"/>
      <c r="E74" s="71"/>
      <c r="F74" s="54" t="n">
        <f aca="false">ROUND(H74*1,)</f>
        <v>900</v>
      </c>
      <c r="G74" s="50" t="str">
        <f aca="false">VLOOKUP(B74,库!A:D,4,FALSE())</f>
        <v>湖北/恒晟</v>
      </c>
      <c r="H74" s="55" t="n">
        <f aca="false">VLOOKUP(B74,库!A:D,3,FALSE())</f>
        <v>900</v>
      </c>
      <c r="I74" s="56"/>
      <c r="J74" s="56"/>
      <c r="K74" s="56"/>
      <c r="L74" s="56"/>
      <c r="M74" s="56"/>
      <c r="N74" s="45"/>
      <c r="O74" s="45" t="n">
        <f aca="false">63*2+100+250*2+400*3</f>
        <v>1926</v>
      </c>
      <c r="P74" s="43" t="n">
        <f aca="false">IF(F74&lt;10000,F74*0.3,IF(F74&gt;49999.99,F74*0.1,(0.29-0.000003125*F74)*F74))</f>
        <v>270</v>
      </c>
      <c r="Q74" s="45" t="str">
        <f aca="false">_xlfn.CONCAT(R74,S74,T74)</f>
        <v>辅助材料（出线柜，11路出线）</v>
      </c>
      <c r="R74" s="46" t="s">
        <v>61</v>
      </c>
      <c r="S74" s="45" t="n">
        <f aca="false">D72</f>
        <v>11</v>
      </c>
      <c r="T74" s="45" t="s">
        <v>62</v>
      </c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  <c r="GL74" s="45"/>
      <c r="GM74" s="45"/>
      <c r="GN74" s="45"/>
      <c r="GO74" s="45"/>
      <c r="GP74" s="45"/>
      <c r="GQ74" s="45"/>
      <c r="GR74" s="45"/>
      <c r="GS74" s="45"/>
      <c r="GT74" s="45"/>
      <c r="GU74" s="45"/>
      <c r="GV74" s="45"/>
      <c r="GW74" s="45"/>
      <c r="GX74" s="45"/>
      <c r="GY74" s="45"/>
      <c r="GZ74" s="45"/>
      <c r="HA74" s="45"/>
      <c r="HB74" s="45"/>
      <c r="HC74" s="45"/>
      <c r="HD74" s="45"/>
      <c r="HE74" s="45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5"/>
      <c r="HT74" s="45"/>
      <c r="HU74" s="45"/>
      <c r="HV74" s="45"/>
      <c r="HW74" s="45"/>
      <c r="HX74" s="45"/>
      <c r="HY74" s="45"/>
      <c r="HZ74" s="45"/>
      <c r="IA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  <c r="IR74" s="45"/>
      <c r="IS74" s="45"/>
      <c r="IT74" s="45"/>
      <c r="IU74" s="45"/>
      <c r="IV74" s="45"/>
      <c r="IW74" s="45"/>
    </row>
    <row r="75" customFormat="false" ht="15" hidden="false" customHeight="true" outlineLevel="0" collapsed="false">
      <c r="A75" s="49" t="n">
        <v>17</v>
      </c>
      <c r="B75" s="51" t="s">
        <v>63</v>
      </c>
      <c r="C75" s="72"/>
      <c r="D75" s="73"/>
      <c r="E75" s="74"/>
      <c r="F75" s="75"/>
      <c r="G75" s="50" t="str">
        <f aca="false">VLOOKUP(B75,库!A:D,4,FALSE())</f>
        <v>宁波/海越</v>
      </c>
      <c r="H75" s="76"/>
      <c r="I75" s="77" t="n">
        <f aca="false">I73/I72</f>
        <v>0.7</v>
      </c>
      <c r="J75" s="78"/>
      <c r="K75" s="78"/>
      <c r="L75" s="78"/>
      <c r="M75" s="78"/>
      <c r="N75" s="45"/>
      <c r="O75" s="45" t="n">
        <f aca="false">O74*0.7</f>
        <v>1348.2</v>
      </c>
      <c r="P75" s="43" t="n">
        <f aca="false">SUM(P59:P74)</f>
        <v>11725.247421875</v>
      </c>
      <c r="Q75" s="46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  <c r="GL75" s="45"/>
      <c r="GM75" s="45"/>
      <c r="GN75" s="45"/>
      <c r="GO75" s="45"/>
      <c r="GP75" s="45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5"/>
      <c r="HC75" s="45"/>
      <c r="HD75" s="45"/>
      <c r="HE75" s="45"/>
      <c r="HF75" s="45"/>
      <c r="HG75" s="45"/>
      <c r="HH75" s="45"/>
      <c r="HI75" s="45"/>
      <c r="HJ75" s="45"/>
      <c r="HK75" s="45"/>
      <c r="HL75" s="45"/>
      <c r="HM75" s="45"/>
      <c r="HN75" s="45"/>
      <c r="HO75" s="45"/>
      <c r="HP75" s="45"/>
      <c r="HQ75" s="45"/>
      <c r="HR75" s="45"/>
      <c r="HS75" s="45"/>
      <c r="HT75" s="45"/>
      <c r="HU75" s="45"/>
      <c r="HV75" s="45"/>
      <c r="HW75" s="45"/>
      <c r="HX75" s="45"/>
      <c r="HY75" s="45"/>
      <c r="HZ75" s="45"/>
      <c r="IA75" s="45"/>
      <c r="IB75" s="45"/>
      <c r="IC75" s="45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5"/>
      <c r="IP75" s="45"/>
      <c r="IQ75" s="45"/>
      <c r="IR75" s="45"/>
      <c r="IS75" s="45"/>
      <c r="IT75" s="45"/>
      <c r="IU75" s="45"/>
      <c r="IV75" s="45"/>
      <c r="IW75" s="45"/>
    </row>
    <row r="76" customFormat="false" ht="17" hidden="false" customHeight="false" outlineLevel="0" collapsed="false">
      <c r="A76" s="49" t="n">
        <v>18</v>
      </c>
      <c r="B76" s="71" t="str">
        <f aca="false">Q76</f>
        <v>箱体:GCS(出线抽屉柜、11路)</v>
      </c>
      <c r="C76" s="71"/>
      <c r="D76" s="71"/>
      <c r="E76" s="71"/>
      <c r="F76" s="54" t="n">
        <f aca="false">ROUND(H76,0)</f>
        <v>6600</v>
      </c>
      <c r="G76" s="50" t="str">
        <f aca="false">VLOOKUP(B76,库!A:D,4,FALSE())</f>
        <v>宁波/海越</v>
      </c>
      <c r="H76" s="55" t="n">
        <f aca="false">2200+O73</f>
        <v>6600</v>
      </c>
      <c r="I76" s="56"/>
      <c r="J76" s="56"/>
      <c r="K76" s="56"/>
      <c r="L76" s="56"/>
      <c r="M76" s="56"/>
      <c r="N76" s="45"/>
      <c r="O76" s="45"/>
      <c r="P76" s="43"/>
      <c r="Q76" s="45" t="str">
        <f aca="false">_xlfn.CONCAT(R76,S76,T76)</f>
        <v>箱体:GCS(出线抽屉柜、11路)</v>
      </c>
      <c r="R76" s="46" t="s">
        <v>64</v>
      </c>
      <c r="S76" s="45" t="n">
        <f aca="false">D72</f>
        <v>11</v>
      </c>
      <c r="T76" s="45" t="s">
        <v>65</v>
      </c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5"/>
      <c r="HV76" s="45"/>
      <c r="HW76" s="45"/>
      <c r="HX76" s="45"/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45"/>
      <c r="IW76" s="45"/>
    </row>
    <row r="77" customFormat="false" ht="16.8" hidden="false" customHeight="false" outlineLevel="0" collapsed="false">
      <c r="A77" s="49" t="n">
        <v>19</v>
      </c>
      <c r="B77" s="79" t="s">
        <v>15</v>
      </c>
      <c r="C77" s="49"/>
      <c r="D77" s="49"/>
      <c r="E77" s="49"/>
      <c r="F77" s="80" t="n">
        <f aca="false">SUM(F59:F76)</f>
        <v>52164</v>
      </c>
      <c r="G77" s="81"/>
      <c r="H77" s="82" t="n">
        <f aca="false">SUM(F76,F59:F74)</f>
        <v>52164</v>
      </c>
      <c r="I77" s="44"/>
      <c r="J77" s="44"/>
      <c r="K77" s="44"/>
      <c r="L77" s="45"/>
      <c r="M77" s="44"/>
      <c r="N77" s="45"/>
      <c r="O77" s="45"/>
      <c r="P77" s="43"/>
      <c r="Q77" s="46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  <c r="HM77" s="45"/>
      <c r="HN77" s="45"/>
      <c r="HO77" s="45"/>
      <c r="HP77" s="45"/>
      <c r="HQ77" s="45"/>
      <c r="HR77" s="45"/>
      <c r="HS77" s="45"/>
      <c r="HT77" s="45"/>
      <c r="HU77" s="45"/>
      <c r="HV77" s="45"/>
      <c r="HW77" s="45"/>
      <c r="HX77" s="45"/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  <c r="IW77" s="45"/>
    </row>
    <row r="78" customFormat="false" ht="16.8" hidden="false" customHeight="false" outlineLevel="0" collapsed="false">
      <c r="A78" s="85"/>
      <c r="B78" s="85"/>
      <c r="C78" s="85"/>
      <c r="D78" s="85"/>
      <c r="E78" s="85"/>
      <c r="F78" s="85"/>
      <c r="G78" s="84"/>
      <c r="H78" s="43"/>
      <c r="I78" s="44"/>
      <c r="J78" s="44"/>
      <c r="K78" s="44"/>
      <c r="L78" s="44"/>
      <c r="M78" s="44"/>
      <c r="N78" s="45"/>
      <c r="O78" s="45"/>
      <c r="P78" s="43"/>
      <c r="Q78" s="46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  <c r="GL78" s="45"/>
      <c r="GM78" s="45"/>
      <c r="GN78" s="45"/>
      <c r="GO78" s="45"/>
      <c r="GP78" s="45"/>
      <c r="GQ78" s="45"/>
      <c r="GR78" s="45"/>
      <c r="GS78" s="45"/>
      <c r="GT78" s="45"/>
      <c r="GU78" s="45"/>
      <c r="GV78" s="45"/>
      <c r="GW78" s="45"/>
      <c r="GX78" s="45"/>
      <c r="GY78" s="45"/>
      <c r="GZ78" s="45"/>
      <c r="HA78" s="45"/>
      <c r="HB78" s="45"/>
      <c r="HC78" s="45"/>
      <c r="HD78" s="45"/>
      <c r="HE78" s="45"/>
      <c r="HF78" s="45"/>
      <c r="HG78" s="45"/>
      <c r="HH78" s="45"/>
      <c r="HI78" s="45"/>
      <c r="HJ78" s="45"/>
      <c r="HK78" s="45"/>
      <c r="HL78" s="45"/>
      <c r="HM78" s="45"/>
      <c r="HN78" s="45"/>
      <c r="HO78" s="45"/>
      <c r="HP78" s="45"/>
      <c r="HQ78" s="45"/>
      <c r="HR78" s="45"/>
      <c r="HS78" s="45"/>
      <c r="HT78" s="45"/>
      <c r="HU78" s="45"/>
      <c r="HV78" s="45"/>
      <c r="HW78" s="45"/>
      <c r="HX78" s="45"/>
      <c r="HY78" s="45"/>
      <c r="HZ78" s="45"/>
      <c r="IA78" s="45"/>
      <c r="IB78" s="45"/>
      <c r="IC78" s="45"/>
      <c r="ID78" s="45"/>
      <c r="IE78" s="45"/>
      <c r="IF78" s="45"/>
      <c r="IG78" s="45"/>
      <c r="IH78" s="45"/>
      <c r="II78" s="45"/>
      <c r="IJ78" s="45"/>
      <c r="IK78" s="45"/>
      <c r="IL78" s="45"/>
      <c r="IM78" s="45"/>
      <c r="IN78" s="45"/>
      <c r="IO78" s="45"/>
      <c r="IP78" s="45"/>
      <c r="IQ78" s="45"/>
      <c r="IR78" s="45"/>
      <c r="IS78" s="45"/>
      <c r="IT78" s="45"/>
      <c r="IU78" s="45"/>
      <c r="IV78" s="45"/>
      <c r="IW78" s="45"/>
    </row>
    <row r="79" customFormat="false" ht="16.8" hidden="false" customHeight="false" outlineLevel="0" collapsed="false">
      <c r="A79" s="85"/>
      <c r="B79" s="85"/>
      <c r="C79" s="85"/>
      <c r="D79" s="85"/>
      <c r="E79" s="85"/>
      <c r="F79" s="85"/>
      <c r="G79" s="84"/>
      <c r="H79" s="43"/>
      <c r="I79" s="44"/>
      <c r="J79" s="44"/>
      <c r="K79" s="44"/>
      <c r="L79" s="44"/>
      <c r="M79" s="44"/>
      <c r="N79" s="45"/>
      <c r="O79" s="45"/>
      <c r="P79" s="43"/>
      <c r="Q79" s="46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  <c r="HM79" s="45"/>
      <c r="HN79" s="45"/>
      <c r="HO79" s="45"/>
      <c r="HP79" s="45"/>
      <c r="HQ79" s="45"/>
      <c r="HR79" s="45"/>
      <c r="HS79" s="45"/>
      <c r="HT79" s="45"/>
      <c r="HU79" s="45"/>
      <c r="HV79" s="45"/>
      <c r="HW79" s="45"/>
      <c r="HX79" s="45"/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  <c r="IW79" s="45"/>
    </row>
    <row r="80" customFormat="false" ht="16.8" hidden="false" customHeight="false" outlineLevel="0" collapsed="false">
      <c r="A80" s="85"/>
      <c r="B80" s="85"/>
      <c r="C80" s="85"/>
      <c r="D80" s="85"/>
      <c r="E80" s="85"/>
      <c r="F80" s="85"/>
      <c r="G80" s="84"/>
      <c r="H80" s="43"/>
      <c r="I80" s="44"/>
      <c r="J80" s="44"/>
      <c r="K80" s="44"/>
      <c r="L80" s="44"/>
      <c r="M80" s="44"/>
      <c r="N80" s="45"/>
      <c r="O80" s="45"/>
      <c r="P80" s="43"/>
      <c r="Q80" s="46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  <c r="GL80" s="45"/>
      <c r="GM80" s="45"/>
      <c r="GN80" s="45"/>
      <c r="GO80" s="45"/>
      <c r="GP80" s="45"/>
      <c r="GQ80" s="45"/>
      <c r="GR80" s="45"/>
      <c r="GS80" s="45"/>
      <c r="GT80" s="45"/>
      <c r="GU80" s="45"/>
      <c r="GV80" s="45"/>
      <c r="GW80" s="45"/>
      <c r="GX80" s="45"/>
      <c r="GY80" s="45"/>
      <c r="GZ80" s="45"/>
      <c r="HA80" s="45"/>
      <c r="HB80" s="45"/>
      <c r="HC80" s="45"/>
      <c r="HD80" s="45"/>
      <c r="HE80" s="45"/>
      <c r="HF80" s="45"/>
      <c r="HG80" s="45"/>
      <c r="HH80" s="45"/>
      <c r="HI80" s="45"/>
      <c r="HJ80" s="45"/>
      <c r="HK80" s="45"/>
      <c r="HL80" s="45"/>
      <c r="HM80" s="45"/>
      <c r="HN80" s="45"/>
      <c r="HO80" s="45"/>
      <c r="HP80" s="45"/>
      <c r="HQ80" s="45"/>
      <c r="HR80" s="45"/>
      <c r="HS80" s="45"/>
      <c r="HT80" s="45"/>
      <c r="HU80" s="45"/>
      <c r="HV80" s="45"/>
      <c r="HW80" s="45"/>
      <c r="HX80" s="45"/>
      <c r="HY80" s="45"/>
      <c r="HZ80" s="45"/>
      <c r="IA80" s="45"/>
      <c r="IB80" s="45"/>
      <c r="IC80" s="45"/>
      <c r="ID80" s="45"/>
      <c r="IE80" s="45"/>
      <c r="IF80" s="45"/>
      <c r="IG80" s="45"/>
      <c r="IH80" s="45"/>
      <c r="II80" s="45"/>
      <c r="IJ80" s="45"/>
      <c r="IK80" s="45"/>
      <c r="IL80" s="45"/>
      <c r="IM80" s="45"/>
      <c r="IN80" s="45"/>
      <c r="IO80" s="45"/>
      <c r="IP80" s="45"/>
      <c r="IQ80" s="45"/>
      <c r="IR80" s="45"/>
      <c r="IS80" s="45"/>
      <c r="IT80" s="45"/>
      <c r="IU80" s="45"/>
      <c r="IV80" s="45"/>
      <c r="IW80" s="45"/>
    </row>
    <row r="81" customFormat="false" ht="16.8" hidden="false" customHeight="false" outlineLevel="0" collapsed="false">
      <c r="A81" s="85"/>
      <c r="B81" s="85"/>
      <c r="C81" s="85"/>
      <c r="D81" s="85"/>
      <c r="E81" s="85"/>
      <c r="F81" s="85"/>
      <c r="G81" s="84"/>
      <c r="H81" s="43"/>
      <c r="I81" s="44"/>
      <c r="J81" s="44"/>
      <c r="K81" s="44"/>
      <c r="L81" s="44"/>
      <c r="M81" s="44"/>
      <c r="N81" s="45"/>
      <c r="O81" s="45"/>
      <c r="P81" s="43"/>
      <c r="Q81" s="46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  <c r="GL81" s="45"/>
      <c r="GM81" s="45"/>
      <c r="GN81" s="45"/>
      <c r="GO81" s="45"/>
      <c r="GP81" s="45"/>
      <c r="GQ81" s="45"/>
      <c r="GR81" s="45"/>
      <c r="GS81" s="45"/>
      <c r="GT81" s="45"/>
      <c r="GU81" s="45"/>
      <c r="GV81" s="45"/>
      <c r="GW81" s="45"/>
      <c r="GX81" s="45"/>
      <c r="GY81" s="45"/>
      <c r="GZ81" s="45"/>
      <c r="HA81" s="45"/>
      <c r="HB81" s="45"/>
      <c r="HC81" s="45"/>
      <c r="HD81" s="45"/>
      <c r="HE81" s="45"/>
      <c r="HF81" s="45"/>
      <c r="HG81" s="45"/>
      <c r="HH81" s="45"/>
      <c r="HI81" s="45"/>
      <c r="HJ81" s="45"/>
      <c r="HK81" s="45"/>
      <c r="HL81" s="45"/>
      <c r="HM81" s="45"/>
      <c r="HN81" s="45"/>
      <c r="HO81" s="45"/>
      <c r="HP81" s="45"/>
      <c r="HQ81" s="45"/>
      <c r="HR81" s="45"/>
      <c r="HS81" s="45"/>
      <c r="HT81" s="45"/>
      <c r="HU81" s="45"/>
      <c r="HV81" s="45"/>
      <c r="HW81" s="45"/>
      <c r="HX81" s="45"/>
      <c r="HY81" s="45"/>
      <c r="HZ81" s="45"/>
      <c r="IA81" s="45"/>
      <c r="IB81" s="45"/>
      <c r="IC81" s="45"/>
      <c r="ID81" s="45"/>
      <c r="IE81" s="45"/>
      <c r="IF81" s="45"/>
      <c r="IG81" s="45"/>
      <c r="IH81" s="45"/>
      <c r="II81" s="45"/>
      <c r="IJ81" s="45"/>
      <c r="IK81" s="45"/>
      <c r="IL81" s="45"/>
      <c r="IM81" s="45"/>
      <c r="IN81" s="45"/>
      <c r="IO81" s="45"/>
      <c r="IP81" s="45"/>
      <c r="IQ81" s="45"/>
      <c r="IR81" s="45"/>
      <c r="IS81" s="45"/>
      <c r="IT81" s="45"/>
      <c r="IU81" s="45"/>
      <c r="IV81" s="45"/>
      <c r="IW81" s="45"/>
    </row>
    <row r="82" customFormat="false" ht="16.8" hidden="false" customHeight="false" outlineLevel="0" collapsed="false">
      <c r="A82" s="85"/>
      <c r="B82" s="85"/>
      <c r="C82" s="85"/>
      <c r="D82" s="85"/>
      <c r="E82" s="85"/>
      <c r="F82" s="85"/>
      <c r="G82" s="84"/>
      <c r="H82" s="43"/>
      <c r="I82" s="44"/>
      <c r="J82" s="44"/>
      <c r="K82" s="44"/>
      <c r="L82" s="44"/>
      <c r="M82" s="44"/>
      <c r="N82" s="45"/>
      <c r="O82" s="45"/>
      <c r="P82" s="43"/>
      <c r="Q82" s="46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  <c r="GL82" s="45"/>
      <c r="GM82" s="45"/>
      <c r="GN82" s="45"/>
      <c r="GO82" s="45"/>
      <c r="GP82" s="45"/>
      <c r="GQ82" s="45"/>
      <c r="GR82" s="45"/>
      <c r="GS82" s="45"/>
      <c r="GT82" s="45"/>
      <c r="GU82" s="45"/>
      <c r="GV82" s="45"/>
      <c r="GW82" s="45"/>
      <c r="GX82" s="45"/>
      <c r="GY82" s="45"/>
      <c r="GZ82" s="45"/>
      <c r="HA82" s="45"/>
      <c r="HB82" s="45"/>
      <c r="HC82" s="45"/>
      <c r="HD82" s="45"/>
      <c r="HE82" s="45"/>
      <c r="HF82" s="45"/>
      <c r="HG82" s="45"/>
      <c r="HH82" s="45"/>
      <c r="HI82" s="45"/>
      <c r="HJ82" s="45"/>
      <c r="HK82" s="45"/>
      <c r="HL82" s="45"/>
      <c r="HM82" s="45"/>
      <c r="HN82" s="45"/>
      <c r="HO82" s="45"/>
      <c r="HP82" s="45"/>
      <c r="HQ82" s="45"/>
      <c r="HR82" s="45"/>
      <c r="HS82" s="45"/>
      <c r="HT82" s="45"/>
      <c r="HU82" s="45"/>
      <c r="HV82" s="45"/>
      <c r="HW82" s="45"/>
      <c r="HX82" s="45"/>
      <c r="HY82" s="45"/>
      <c r="HZ82" s="45"/>
      <c r="IA82" s="45"/>
      <c r="IB82" s="45"/>
      <c r="IC82" s="45"/>
      <c r="ID82" s="45"/>
      <c r="IE82" s="45"/>
      <c r="IF82" s="45"/>
      <c r="IG82" s="45"/>
      <c r="IH82" s="45"/>
      <c r="II82" s="45"/>
      <c r="IJ82" s="45"/>
      <c r="IK82" s="45"/>
      <c r="IL82" s="45"/>
      <c r="IM82" s="45"/>
      <c r="IN82" s="45"/>
      <c r="IO82" s="45"/>
      <c r="IP82" s="45"/>
      <c r="IQ82" s="45"/>
      <c r="IR82" s="45"/>
      <c r="IS82" s="45"/>
      <c r="IT82" s="45"/>
      <c r="IU82" s="45"/>
      <c r="IV82" s="45"/>
      <c r="IW82" s="45"/>
    </row>
    <row r="83" customFormat="false" ht="16.8" hidden="false" customHeight="false" outlineLevel="0" collapsed="false">
      <c r="A83" s="85"/>
      <c r="B83" s="85"/>
      <c r="C83" s="85"/>
      <c r="D83" s="85"/>
      <c r="E83" s="85"/>
      <c r="F83" s="85"/>
      <c r="G83" s="84"/>
      <c r="H83" s="43"/>
      <c r="I83" s="44"/>
      <c r="J83" s="44"/>
      <c r="K83" s="44"/>
      <c r="L83" s="44"/>
      <c r="M83" s="44"/>
      <c r="N83" s="45"/>
      <c r="O83" s="45"/>
      <c r="P83" s="43"/>
      <c r="Q83" s="46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5"/>
      <c r="IP83" s="45"/>
      <c r="IQ83" s="45"/>
      <c r="IR83" s="45"/>
      <c r="IS83" s="45"/>
      <c r="IT83" s="45"/>
      <c r="IU83" s="45"/>
      <c r="IV83" s="45"/>
      <c r="IW83" s="45"/>
    </row>
    <row r="84" customFormat="false" ht="16.8" hidden="false" customHeight="false" outlineLevel="0" collapsed="false">
      <c r="A84" s="85"/>
      <c r="B84" s="85"/>
      <c r="C84" s="85"/>
      <c r="D84" s="85"/>
      <c r="E84" s="85"/>
      <c r="F84" s="85"/>
      <c r="G84" s="84"/>
      <c r="H84" s="43"/>
      <c r="I84" s="44"/>
      <c r="J84" s="44"/>
      <c r="K84" s="44"/>
      <c r="L84" s="44"/>
      <c r="M84" s="44"/>
      <c r="N84" s="45"/>
      <c r="O84" s="45"/>
      <c r="P84" s="43"/>
      <c r="Q84" s="46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  <c r="GL84" s="45"/>
      <c r="GM84" s="45"/>
      <c r="GN84" s="45"/>
      <c r="GO84" s="45"/>
      <c r="GP84" s="45"/>
      <c r="GQ84" s="45"/>
      <c r="GR84" s="45"/>
      <c r="GS84" s="45"/>
      <c r="GT84" s="45"/>
      <c r="GU84" s="45"/>
      <c r="GV84" s="45"/>
      <c r="GW84" s="45"/>
      <c r="GX84" s="45"/>
      <c r="GY84" s="45"/>
      <c r="GZ84" s="45"/>
      <c r="HA84" s="45"/>
      <c r="HB84" s="45"/>
      <c r="HC84" s="45"/>
      <c r="HD84" s="45"/>
      <c r="HE84" s="45"/>
      <c r="HF84" s="45"/>
      <c r="HG84" s="45"/>
      <c r="HH84" s="45"/>
      <c r="HI84" s="45"/>
      <c r="HJ84" s="45"/>
      <c r="HK84" s="45"/>
      <c r="HL84" s="45"/>
      <c r="HM84" s="45"/>
      <c r="HN84" s="45"/>
      <c r="HO84" s="45"/>
      <c r="HP84" s="45"/>
      <c r="HQ84" s="45"/>
      <c r="HR84" s="45"/>
      <c r="HS84" s="45"/>
      <c r="HT84" s="45"/>
      <c r="HU84" s="45"/>
      <c r="HV84" s="45"/>
      <c r="HW84" s="45"/>
      <c r="HX84" s="45"/>
      <c r="HY84" s="45"/>
      <c r="HZ84" s="45"/>
      <c r="IA84" s="45"/>
      <c r="IB84" s="45"/>
      <c r="IC84" s="45"/>
      <c r="ID84" s="45"/>
      <c r="IE84" s="45"/>
      <c r="IF84" s="45"/>
      <c r="IG84" s="45"/>
      <c r="IH84" s="45"/>
      <c r="II84" s="45"/>
      <c r="IJ84" s="45"/>
      <c r="IK84" s="45"/>
      <c r="IL84" s="45"/>
      <c r="IM84" s="45"/>
      <c r="IN84" s="45"/>
      <c r="IO84" s="45"/>
      <c r="IP84" s="45"/>
      <c r="IQ84" s="45"/>
      <c r="IR84" s="45"/>
      <c r="IS84" s="45"/>
      <c r="IT84" s="45"/>
      <c r="IU84" s="45"/>
      <c r="IV84" s="45"/>
      <c r="IW84" s="45"/>
    </row>
    <row r="85" customFormat="false" ht="16.8" hidden="false" customHeight="false" outlineLevel="0" collapsed="false">
      <c r="A85" s="85"/>
      <c r="B85" s="85"/>
      <c r="C85" s="85"/>
      <c r="D85" s="85"/>
      <c r="E85" s="85"/>
      <c r="F85" s="85"/>
      <c r="G85" s="84"/>
      <c r="H85" s="43"/>
      <c r="I85" s="44"/>
      <c r="J85" s="44"/>
      <c r="K85" s="44"/>
      <c r="L85" s="44"/>
      <c r="M85" s="44"/>
      <c r="N85" s="45"/>
      <c r="O85" s="45"/>
      <c r="P85" s="43"/>
      <c r="Q85" s="46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  <c r="GL85" s="45"/>
      <c r="GM85" s="45"/>
      <c r="GN85" s="45"/>
      <c r="GO85" s="45"/>
      <c r="GP85" s="45"/>
      <c r="GQ85" s="45"/>
      <c r="GR85" s="45"/>
      <c r="GS85" s="45"/>
      <c r="GT85" s="45"/>
      <c r="GU85" s="45"/>
      <c r="GV85" s="45"/>
      <c r="GW85" s="45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  <c r="HM85" s="45"/>
      <c r="HN85" s="45"/>
      <c r="HO85" s="45"/>
      <c r="HP85" s="45"/>
      <c r="HQ85" s="45"/>
      <c r="HR85" s="45"/>
      <c r="HS85" s="45"/>
      <c r="HT85" s="45"/>
      <c r="HU85" s="45"/>
      <c r="HV85" s="45"/>
      <c r="HW85" s="45"/>
      <c r="HX85" s="45"/>
      <c r="HY85" s="45"/>
      <c r="HZ85" s="45"/>
      <c r="IA85" s="45"/>
      <c r="IB85" s="45"/>
      <c r="IC85" s="45"/>
      <c r="ID85" s="45"/>
      <c r="IE85" s="45"/>
      <c r="IF85" s="45"/>
      <c r="IG85" s="45"/>
      <c r="IH85" s="45"/>
      <c r="II85" s="45"/>
      <c r="IJ85" s="45"/>
      <c r="IK85" s="45"/>
      <c r="IL85" s="45"/>
      <c r="IM85" s="45"/>
      <c r="IN85" s="45"/>
      <c r="IO85" s="45"/>
      <c r="IP85" s="45"/>
      <c r="IQ85" s="45"/>
      <c r="IR85" s="45"/>
      <c r="IS85" s="45"/>
      <c r="IT85" s="45"/>
      <c r="IU85" s="45"/>
      <c r="IV85" s="45"/>
      <c r="IW85" s="45"/>
    </row>
    <row r="86" customFormat="false" ht="16.8" hidden="false" customHeight="false" outlineLevel="0" collapsed="false">
      <c r="A86" s="83"/>
      <c r="B86" s="83"/>
      <c r="C86" s="83"/>
      <c r="D86" s="83"/>
      <c r="E86" s="83"/>
      <c r="F86" s="83"/>
      <c r="G86" s="84"/>
      <c r="H86" s="43"/>
      <c r="I86" s="44"/>
      <c r="J86" s="44"/>
      <c r="K86" s="44"/>
      <c r="L86" s="44"/>
      <c r="M86" s="44"/>
      <c r="N86" s="45"/>
      <c r="O86" s="45"/>
      <c r="P86" s="43"/>
      <c r="Q86" s="46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  <c r="GL86" s="45"/>
      <c r="GM86" s="45"/>
      <c r="GN86" s="45"/>
      <c r="GO86" s="45"/>
      <c r="GP86" s="45"/>
      <c r="GQ86" s="45"/>
      <c r="GR86" s="45"/>
      <c r="GS86" s="45"/>
      <c r="GT86" s="45"/>
      <c r="GU86" s="45"/>
      <c r="GV86" s="45"/>
      <c r="GW86" s="45"/>
      <c r="GX86" s="45"/>
      <c r="GY86" s="45"/>
      <c r="GZ86" s="45"/>
      <c r="HA86" s="45"/>
      <c r="HB86" s="45"/>
      <c r="HC86" s="45"/>
      <c r="HD86" s="45"/>
      <c r="HE86" s="45"/>
      <c r="HF86" s="45"/>
      <c r="HG86" s="45"/>
      <c r="HH86" s="45"/>
      <c r="HI86" s="45"/>
      <c r="HJ86" s="45"/>
      <c r="HK86" s="45"/>
      <c r="HL86" s="45"/>
      <c r="HM86" s="45"/>
      <c r="HN86" s="45"/>
      <c r="HO86" s="45"/>
      <c r="HP86" s="45"/>
      <c r="HQ86" s="45"/>
      <c r="HR86" s="45"/>
      <c r="HS86" s="45"/>
      <c r="HT86" s="45"/>
      <c r="HU86" s="45"/>
      <c r="HV86" s="45"/>
      <c r="HW86" s="45"/>
      <c r="HX86" s="45"/>
      <c r="HY86" s="45"/>
      <c r="HZ86" s="45"/>
      <c r="IA86" s="45"/>
      <c r="IB86" s="45"/>
      <c r="IC86" s="45"/>
      <c r="ID86" s="45"/>
      <c r="IE86" s="45"/>
      <c r="IF86" s="45"/>
      <c r="IG86" s="45"/>
      <c r="IH86" s="45"/>
      <c r="II86" s="45"/>
      <c r="IJ86" s="45"/>
      <c r="IK86" s="45"/>
      <c r="IL86" s="45"/>
      <c r="IM86" s="45"/>
      <c r="IN86" s="45"/>
      <c r="IO86" s="45"/>
      <c r="IP86" s="45"/>
      <c r="IQ86" s="45"/>
      <c r="IR86" s="45"/>
      <c r="IS86" s="45"/>
      <c r="IT86" s="45"/>
      <c r="IU86" s="45"/>
      <c r="IV86" s="45"/>
      <c r="IW86" s="45"/>
    </row>
    <row r="87" customFormat="false" ht="16.8" hidden="false" customHeight="false" outlineLevel="0" collapsed="false">
      <c r="A87" s="83"/>
      <c r="B87" s="83"/>
      <c r="C87" s="83"/>
      <c r="D87" s="83"/>
      <c r="E87" s="83"/>
      <c r="F87" s="83"/>
      <c r="G87" s="84"/>
      <c r="H87" s="43"/>
      <c r="I87" s="44"/>
      <c r="J87" s="44"/>
      <c r="K87" s="44"/>
      <c r="L87" s="44"/>
      <c r="M87" s="44"/>
      <c r="N87" s="45"/>
      <c r="O87" s="45"/>
      <c r="P87" s="43"/>
      <c r="Q87" s="46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  <c r="GL87" s="45"/>
      <c r="GM87" s="45"/>
      <c r="GN87" s="45"/>
      <c r="GO87" s="45"/>
      <c r="GP87" s="45"/>
      <c r="GQ87" s="45"/>
      <c r="GR87" s="45"/>
      <c r="GS87" s="45"/>
      <c r="GT87" s="45"/>
      <c r="GU87" s="45"/>
      <c r="GV87" s="45"/>
      <c r="GW87" s="45"/>
      <c r="GX87" s="45"/>
      <c r="GY87" s="45"/>
      <c r="GZ87" s="45"/>
      <c r="HA87" s="45"/>
      <c r="HB87" s="45"/>
      <c r="HC87" s="45"/>
      <c r="HD87" s="45"/>
      <c r="HE87" s="45"/>
      <c r="HF87" s="45"/>
      <c r="HG87" s="45"/>
      <c r="HH87" s="45"/>
      <c r="HI87" s="45"/>
      <c r="HJ87" s="45"/>
      <c r="HK87" s="45"/>
      <c r="HL87" s="45"/>
      <c r="HM87" s="45"/>
      <c r="HN87" s="45"/>
      <c r="HO87" s="45"/>
      <c r="HP87" s="45"/>
      <c r="HQ87" s="45"/>
      <c r="HR87" s="45"/>
      <c r="HS87" s="45"/>
      <c r="HT87" s="45"/>
      <c r="HU87" s="45"/>
      <c r="HV87" s="45"/>
      <c r="HW87" s="45"/>
      <c r="HX87" s="45"/>
      <c r="HY87" s="45"/>
      <c r="HZ87" s="45"/>
      <c r="IA87" s="45"/>
      <c r="IB87" s="45"/>
      <c r="IC87" s="45"/>
      <c r="ID87" s="45"/>
      <c r="IE87" s="45"/>
      <c r="IF87" s="45"/>
      <c r="IG87" s="45"/>
      <c r="IH87" s="45"/>
      <c r="II87" s="45"/>
      <c r="IJ87" s="45"/>
      <c r="IK87" s="45"/>
      <c r="IL87" s="45"/>
      <c r="IM87" s="45"/>
      <c r="IN87" s="45"/>
      <c r="IO87" s="45"/>
      <c r="IP87" s="45"/>
      <c r="IQ87" s="45"/>
      <c r="IR87" s="45"/>
      <c r="IS87" s="45"/>
      <c r="IT87" s="45"/>
      <c r="IU87" s="45"/>
      <c r="IV87" s="45"/>
      <c r="IW87" s="45"/>
    </row>
    <row r="88" customFormat="false" ht="5" hidden="false" customHeight="true" outlineLevel="0" collapsed="false">
      <c r="A88" s="44"/>
      <c r="B88" s="45"/>
      <c r="C88" s="78"/>
      <c r="D88" s="44"/>
      <c r="E88" s="44"/>
      <c r="F88" s="86"/>
      <c r="G88" s="87"/>
      <c r="H88" s="43"/>
      <c r="I88" s="44"/>
      <c r="J88" s="44"/>
      <c r="K88" s="44"/>
      <c r="L88" s="44"/>
      <c r="M88" s="44"/>
      <c r="N88" s="45"/>
      <c r="O88" s="45"/>
      <c r="P88" s="43"/>
      <c r="Q88" s="46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  <c r="GL88" s="45"/>
      <c r="GM88" s="45"/>
      <c r="GN88" s="45"/>
      <c r="GO88" s="45"/>
      <c r="GP88" s="45"/>
      <c r="GQ88" s="45"/>
      <c r="GR88" s="45"/>
      <c r="GS88" s="45"/>
      <c r="GT88" s="45"/>
      <c r="GU88" s="45"/>
      <c r="GV88" s="45"/>
      <c r="GW88" s="45"/>
      <c r="GX88" s="45"/>
      <c r="GY88" s="45"/>
      <c r="GZ88" s="45"/>
      <c r="HA88" s="45"/>
      <c r="HB88" s="45"/>
      <c r="HC88" s="45"/>
      <c r="HD88" s="45"/>
      <c r="HE88" s="45"/>
      <c r="HF88" s="45"/>
      <c r="HG88" s="45"/>
      <c r="HH88" s="45"/>
      <c r="HI88" s="45"/>
      <c r="HJ88" s="45"/>
      <c r="HK88" s="45"/>
      <c r="HL88" s="45"/>
      <c r="HM88" s="45"/>
      <c r="HN88" s="45"/>
      <c r="HO88" s="45"/>
      <c r="HP88" s="45"/>
      <c r="HQ88" s="45"/>
      <c r="HR88" s="45"/>
      <c r="HS88" s="45"/>
      <c r="HT88" s="45"/>
      <c r="HU88" s="45"/>
      <c r="HV88" s="45"/>
      <c r="HW88" s="45"/>
      <c r="HX88" s="45"/>
      <c r="HY88" s="45"/>
      <c r="HZ88" s="45"/>
      <c r="IA88" s="45"/>
      <c r="IB88" s="45"/>
      <c r="IC88" s="45"/>
      <c r="ID88" s="45"/>
      <c r="IE88" s="45"/>
      <c r="IF88" s="45"/>
      <c r="IG88" s="45"/>
      <c r="IH88" s="45"/>
      <c r="II88" s="45"/>
      <c r="IJ88" s="45"/>
      <c r="IK88" s="45"/>
      <c r="IL88" s="45"/>
      <c r="IM88" s="45"/>
      <c r="IN88" s="45"/>
      <c r="IO88" s="45"/>
      <c r="IP88" s="45"/>
      <c r="IQ88" s="45"/>
      <c r="IR88" s="45"/>
      <c r="IS88" s="45"/>
      <c r="IT88" s="45"/>
      <c r="IU88" s="45"/>
      <c r="IV88" s="45"/>
      <c r="IW88" s="45"/>
    </row>
    <row r="89" customFormat="false" ht="16.8" hidden="false" customHeight="false" outlineLevel="0" collapsed="false">
      <c r="A89" s="88" t="str">
        <f aca="false">A26</f>
        <v>报价日期：2026年1月28日       有效期：30天       报价：洪辉        审核:袁剑幸</v>
      </c>
      <c r="B89" s="88"/>
      <c r="C89" s="88"/>
      <c r="D89" s="88"/>
      <c r="E89" s="88"/>
      <c r="F89" s="88"/>
      <c r="G89" s="88"/>
      <c r="H89" s="43"/>
      <c r="I89" s="44"/>
      <c r="J89" s="44"/>
      <c r="K89" s="44"/>
      <c r="L89" s="44"/>
      <c r="M89" s="44"/>
      <c r="N89" s="45"/>
      <c r="O89" s="45"/>
      <c r="P89" s="43"/>
      <c r="Q89" s="46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  <c r="GL89" s="45"/>
      <c r="GM89" s="45"/>
      <c r="GN89" s="45"/>
      <c r="GO89" s="45"/>
      <c r="GP89" s="45"/>
      <c r="GQ89" s="45"/>
      <c r="GR89" s="45"/>
      <c r="GS89" s="45"/>
      <c r="GT89" s="45"/>
      <c r="GU89" s="45"/>
      <c r="GV89" s="45"/>
      <c r="GW89" s="45"/>
      <c r="GX89" s="45"/>
      <c r="GY89" s="45"/>
      <c r="GZ89" s="45"/>
      <c r="HA89" s="45"/>
      <c r="HB89" s="45"/>
      <c r="HC89" s="45"/>
      <c r="HD89" s="45"/>
      <c r="HE89" s="45"/>
      <c r="HF89" s="45"/>
      <c r="HG89" s="45"/>
      <c r="HH89" s="45"/>
      <c r="HI89" s="45"/>
      <c r="HJ89" s="45"/>
      <c r="HK89" s="45"/>
      <c r="HL89" s="45"/>
      <c r="HM89" s="45"/>
      <c r="HN89" s="45"/>
      <c r="HO89" s="45"/>
      <c r="HP89" s="45"/>
      <c r="HQ89" s="45"/>
      <c r="HR89" s="45"/>
      <c r="HS89" s="45"/>
      <c r="HT89" s="45"/>
      <c r="HU89" s="45"/>
      <c r="HV89" s="45"/>
      <c r="HW89" s="45"/>
      <c r="HX89" s="45"/>
      <c r="HY89" s="45"/>
      <c r="HZ89" s="45"/>
      <c r="IA89" s="45"/>
      <c r="IB89" s="45"/>
      <c r="IC89" s="45"/>
      <c r="ID89" s="45"/>
      <c r="IE89" s="45"/>
      <c r="IF89" s="45"/>
      <c r="IG89" s="45"/>
      <c r="IH89" s="45"/>
      <c r="II89" s="45"/>
      <c r="IJ89" s="45"/>
      <c r="IK89" s="45"/>
      <c r="IL89" s="45"/>
      <c r="IM89" s="45"/>
      <c r="IN89" s="45"/>
      <c r="IO89" s="45"/>
      <c r="IP89" s="45"/>
      <c r="IQ89" s="45"/>
      <c r="IR89" s="45"/>
      <c r="IS89" s="45"/>
      <c r="IT89" s="45"/>
      <c r="IU89" s="45"/>
      <c r="IV89" s="45"/>
      <c r="IW89" s="45"/>
    </row>
    <row r="90" customFormat="false" ht="17.6" hidden="false" customHeight="false" outlineLevel="0" collapsed="false"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  <c r="GL90" s="45"/>
      <c r="GM90" s="45"/>
      <c r="GN90" s="45"/>
      <c r="GO90" s="45"/>
      <c r="GP90" s="45"/>
      <c r="GQ90" s="45"/>
      <c r="GR90" s="45"/>
      <c r="GS90" s="45"/>
      <c r="GT90" s="45"/>
      <c r="GU90" s="45"/>
      <c r="GV90" s="45"/>
      <c r="GW90" s="45"/>
      <c r="GX90" s="45"/>
      <c r="GY90" s="45"/>
      <c r="GZ90" s="45"/>
      <c r="HA90" s="45"/>
      <c r="HB90" s="45"/>
      <c r="HC90" s="45"/>
      <c r="HD90" s="45"/>
      <c r="HE90" s="45"/>
      <c r="HF90" s="45"/>
      <c r="HG90" s="45"/>
      <c r="HH90" s="45"/>
      <c r="HI90" s="45"/>
      <c r="HJ90" s="45"/>
      <c r="HK90" s="45"/>
      <c r="HL90" s="45"/>
      <c r="HM90" s="45"/>
      <c r="HN90" s="45"/>
      <c r="HO90" s="45"/>
      <c r="HP90" s="45"/>
      <c r="HQ90" s="45"/>
      <c r="HR90" s="45"/>
      <c r="HS90" s="45"/>
      <c r="HT90" s="45"/>
      <c r="HU90" s="45"/>
      <c r="HV90" s="45"/>
      <c r="HW90" s="45"/>
      <c r="HX90" s="45"/>
      <c r="HY90" s="45"/>
      <c r="HZ90" s="45"/>
      <c r="IA90" s="45"/>
      <c r="IB90" s="45"/>
      <c r="IC90" s="45"/>
      <c r="ID90" s="45"/>
      <c r="IE90" s="45"/>
      <c r="IF90" s="45"/>
      <c r="IG90" s="45"/>
      <c r="IH90" s="45"/>
      <c r="II90" s="45"/>
      <c r="IJ90" s="45"/>
      <c r="IK90" s="45"/>
      <c r="IL90" s="45"/>
      <c r="IM90" s="45"/>
      <c r="IN90" s="45"/>
      <c r="IO90" s="45"/>
      <c r="IP90" s="45"/>
      <c r="IQ90" s="45"/>
      <c r="IR90" s="45"/>
      <c r="IS90" s="45"/>
      <c r="IT90" s="45"/>
      <c r="IU90" s="45"/>
      <c r="IV90" s="45"/>
      <c r="IW90" s="45"/>
    </row>
  </sheetData>
  <mergeCells count="34">
    <mergeCell ref="A1:G1"/>
    <mergeCell ref="A2:G2"/>
    <mergeCell ref="A3:F3"/>
    <mergeCell ref="A4:G4"/>
    <mergeCell ref="A5:G5"/>
    <mergeCell ref="A6:G6"/>
    <mergeCell ref="B18:F18"/>
    <mergeCell ref="A19:A25"/>
    <mergeCell ref="B19:G19"/>
    <mergeCell ref="B20:G20"/>
    <mergeCell ref="B21:G21"/>
    <mergeCell ref="B22:G22"/>
    <mergeCell ref="B23:G23"/>
    <mergeCell ref="B24:G24"/>
    <mergeCell ref="B25:G25"/>
    <mergeCell ref="A26:G26"/>
    <mergeCell ref="A28:G28"/>
    <mergeCell ref="A29:G29"/>
    <mergeCell ref="A30:G30"/>
    <mergeCell ref="A31:G31"/>
    <mergeCell ref="A32:G32"/>
    <mergeCell ref="A33:G33"/>
    <mergeCell ref="A35:F35"/>
    <mergeCell ref="B52:E52"/>
    <mergeCell ref="B54:E54"/>
    <mergeCell ref="C55:E55"/>
    <mergeCell ref="A56:F56"/>
    <mergeCell ref="A57:F57"/>
    <mergeCell ref="B74:E74"/>
    <mergeCell ref="B76:E76"/>
    <mergeCell ref="C77:E77"/>
    <mergeCell ref="A86:F86"/>
    <mergeCell ref="A87:F87"/>
    <mergeCell ref="A89:G89"/>
  </mergeCells>
  <printOptions headings="false" gridLines="false" gridLinesSet="true" horizontalCentered="false" verticalCentered="false"/>
  <pageMargins left="0.75" right="0.690277777777778" top="0.85" bottom="0.640277777777778" header="0.511811023622047" footer="0.511811023622047"/>
  <pageSetup paperSize="9" scale="9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5" man="true" max="16383" min="0"/>
    <brk id="31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637"/>
  <sheetViews>
    <sheetView showFormulas="false" showGridLines="true" showRowColHeaders="true" showZeros="true" rightToLeft="false" tabSelected="false" showOutlineSymbols="true" defaultGridColor="true" view="normal" topLeftCell="A2602" colorId="64" zoomScale="100" zoomScaleNormal="100" zoomScalePageLayoutView="100" workbookViewId="0">
      <selection pane="topLeft" activeCell="A2616" activeCellId="0" sqref="A2616:A2625"/>
    </sheetView>
  </sheetViews>
  <sheetFormatPr defaultColWidth="8.99609375" defaultRowHeight="17.6" customHeight="false" zeroHeight="false" outlineLevelRow="0" outlineLevelCol="0"/>
  <cols>
    <col collapsed="false" customWidth="true" hidden="false" outlineLevel="0" max="1" min="1" style="89" width="49.74"/>
    <col collapsed="false" customWidth="true" hidden="false" outlineLevel="0" max="2" min="2" style="90" width="12.62"/>
    <col collapsed="false" customWidth="false" hidden="false" outlineLevel="0" max="3" min="3" style="90" width="8.99"/>
    <col collapsed="false" customWidth="true" hidden="false" outlineLevel="0" max="4" min="4" style="90" width="14.99"/>
    <col collapsed="false" customWidth="true" hidden="false" outlineLevel="0" max="5" min="5" style="90" width="12.62"/>
    <col collapsed="false" customWidth="true" hidden="false" outlineLevel="0" max="6" min="6" style="90" width="13.37"/>
    <col collapsed="false" customWidth="true" hidden="false" outlineLevel="0" max="7" min="7" style="90" width="15.99"/>
    <col collapsed="false" customWidth="true" hidden="false" outlineLevel="0" max="8" min="8" style="90" width="7.86"/>
    <col collapsed="false" customWidth="true" hidden="false" outlineLevel="0" max="9" min="9" style="90" width="17.12"/>
    <col collapsed="false" customWidth="true" hidden="false" outlineLevel="0" max="10" min="10" style="90" width="6.62"/>
    <col collapsed="false" customWidth="true" hidden="false" outlineLevel="0" max="11" min="11" style="90" width="18.24"/>
    <col collapsed="false" customWidth="true" hidden="false" outlineLevel="0" max="12" min="12" style="90" width="9.5"/>
    <col collapsed="false" customWidth="true" hidden="false" outlineLevel="0" max="13" min="13" style="90" width="7.75"/>
    <col collapsed="false" customWidth="false" hidden="false" outlineLevel="0" max="14" min="14" style="90" width="8.99"/>
    <col collapsed="false" customWidth="true" hidden="false" outlineLevel="0" max="15" min="15" style="14" width="12.62"/>
    <col collapsed="false" customWidth="false" hidden="false" outlineLevel="0" max="257" min="16" style="14" width="8.99"/>
  </cols>
  <sheetData>
    <row r="1" customFormat="false" ht="17.6" hidden="false" customHeight="false" outlineLevel="0" collapsed="false">
      <c r="A1" s="89" t="s">
        <v>66</v>
      </c>
      <c r="B1" s="90" t="s">
        <v>67</v>
      </c>
      <c r="C1" s="90" t="s">
        <v>68</v>
      </c>
      <c r="D1" s="90" t="s">
        <v>69</v>
      </c>
      <c r="E1" s="90" t="s">
        <v>70</v>
      </c>
      <c r="F1" s="90" t="s">
        <v>71</v>
      </c>
      <c r="G1" s="90" t="s">
        <v>72</v>
      </c>
      <c r="H1" s="90" t="s">
        <v>73</v>
      </c>
      <c r="I1" s="90" t="s">
        <v>74</v>
      </c>
      <c r="J1" s="90" t="s">
        <v>75</v>
      </c>
      <c r="K1" s="90" t="s">
        <v>76</v>
      </c>
      <c r="L1" s="90" t="s">
        <v>77</v>
      </c>
      <c r="M1" s="90" t="s">
        <v>78</v>
      </c>
    </row>
    <row r="2" customFormat="false" ht="17.6" hidden="false" customHeight="false" outlineLevel="0" collapsed="false">
      <c r="A2" s="91" t="s">
        <v>79</v>
      </c>
      <c r="B2" s="90" t="s">
        <v>80</v>
      </c>
      <c r="C2" s="90" t="n">
        <v>11500</v>
      </c>
      <c r="D2" s="90" t="s">
        <v>81</v>
      </c>
      <c r="E2" s="91"/>
      <c r="F2" s="91"/>
      <c r="G2" s="91"/>
      <c r="H2" s="91"/>
      <c r="I2" s="91"/>
      <c r="J2" s="91"/>
      <c r="K2" s="91"/>
      <c r="L2" s="91"/>
      <c r="M2" s="91"/>
    </row>
    <row r="3" customFormat="false" ht="17.6" hidden="false" customHeight="false" outlineLevel="0" collapsed="false">
      <c r="A3" s="91" t="s">
        <v>82</v>
      </c>
      <c r="B3" s="90" t="s">
        <v>83</v>
      </c>
      <c r="C3" s="90" t="n">
        <v>220</v>
      </c>
      <c r="D3" s="90" t="s">
        <v>84</v>
      </c>
      <c r="E3" s="91"/>
      <c r="F3" s="91"/>
      <c r="G3" s="91"/>
      <c r="H3" s="91"/>
      <c r="I3" s="91"/>
      <c r="J3" s="91"/>
      <c r="K3" s="91"/>
      <c r="L3" s="91"/>
      <c r="M3" s="91"/>
    </row>
    <row r="4" customFormat="false" ht="17.6" hidden="false" customHeight="false" outlineLevel="0" collapsed="false">
      <c r="A4" s="91" t="s">
        <v>85</v>
      </c>
      <c r="B4" s="90" t="s">
        <v>86</v>
      </c>
      <c r="C4" s="90" t="n">
        <v>35764</v>
      </c>
      <c r="D4" s="90" t="s">
        <v>87</v>
      </c>
      <c r="E4" s="91"/>
      <c r="F4" s="91"/>
      <c r="G4" s="91"/>
      <c r="H4" s="91"/>
      <c r="I4" s="91"/>
      <c r="J4" s="91"/>
      <c r="K4" s="91"/>
      <c r="L4" s="91"/>
      <c r="M4" s="91"/>
    </row>
    <row r="5" customFormat="false" ht="17.6" hidden="false" customHeight="false" outlineLevel="0" collapsed="false">
      <c r="A5" s="91" t="s">
        <v>88</v>
      </c>
      <c r="B5" s="90" t="s">
        <v>86</v>
      </c>
      <c r="C5" s="90" t="n">
        <v>27800</v>
      </c>
      <c r="D5" s="90" t="s">
        <v>87</v>
      </c>
      <c r="E5" s="91"/>
      <c r="F5" s="91"/>
      <c r="G5" s="91"/>
      <c r="H5" s="91"/>
      <c r="I5" s="91"/>
      <c r="J5" s="91"/>
      <c r="K5" s="91"/>
      <c r="L5" s="91"/>
      <c r="M5" s="91"/>
    </row>
    <row r="6" customFormat="false" ht="17.6" hidden="false" customHeight="false" outlineLevel="0" collapsed="false">
      <c r="A6" s="91" t="s">
        <v>89</v>
      </c>
      <c r="B6" s="90" t="s">
        <v>86</v>
      </c>
      <c r="C6" s="90" t="n">
        <v>28000</v>
      </c>
      <c r="D6" s="90" t="s">
        <v>90</v>
      </c>
      <c r="E6" s="91"/>
      <c r="F6" s="91"/>
      <c r="G6" s="91"/>
      <c r="H6" s="91"/>
      <c r="I6" s="91"/>
      <c r="J6" s="91"/>
      <c r="K6" s="91"/>
      <c r="L6" s="91"/>
      <c r="M6" s="91"/>
    </row>
    <row r="7" customFormat="false" ht="17.6" hidden="false" customHeight="false" outlineLevel="0" collapsed="false">
      <c r="A7" s="91" t="s">
        <v>91</v>
      </c>
      <c r="B7" s="90" t="s">
        <v>86</v>
      </c>
      <c r="C7" s="90" t="n">
        <v>26000</v>
      </c>
      <c r="D7" s="90" t="s">
        <v>90</v>
      </c>
      <c r="E7" s="91"/>
      <c r="F7" s="91"/>
      <c r="G7" s="91"/>
      <c r="H7" s="91"/>
      <c r="I7" s="91"/>
      <c r="J7" s="91"/>
      <c r="K7" s="91"/>
      <c r="L7" s="91"/>
      <c r="M7" s="91"/>
    </row>
    <row r="8" customFormat="false" ht="17.6" hidden="false" customHeight="false" outlineLevel="0" collapsed="false">
      <c r="A8" s="91"/>
      <c r="E8" s="91"/>
      <c r="F8" s="91"/>
      <c r="G8" s="91"/>
      <c r="H8" s="91"/>
      <c r="I8" s="91"/>
      <c r="J8" s="91"/>
      <c r="K8" s="91"/>
      <c r="L8" s="91"/>
      <c r="M8" s="91"/>
    </row>
    <row r="9" customFormat="false" ht="17.6" hidden="false" customHeight="false" outlineLevel="0" collapsed="false">
      <c r="A9" s="91" t="s">
        <v>92</v>
      </c>
      <c r="B9" s="90" t="s">
        <v>40</v>
      </c>
      <c r="C9" s="90" t="n">
        <f aca="false">5678*0.7*0.95</f>
        <v>3775.87</v>
      </c>
      <c r="D9" s="90" t="s">
        <v>87</v>
      </c>
      <c r="E9" s="90" t="n">
        <f aca="false">7099*0.58</f>
        <v>4117.42</v>
      </c>
      <c r="F9" s="91"/>
      <c r="G9" s="91"/>
      <c r="H9" s="91"/>
      <c r="I9" s="91"/>
      <c r="J9" s="91"/>
      <c r="K9" s="91"/>
      <c r="L9" s="91"/>
      <c r="M9" s="91"/>
    </row>
    <row r="10" customFormat="false" ht="17.6" hidden="false" customHeight="false" outlineLevel="0" collapsed="false">
      <c r="A10" s="91" t="s">
        <v>93</v>
      </c>
      <c r="B10" s="90" t="s">
        <v>40</v>
      </c>
      <c r="C10" s="90" t="n">
        <f aca="false">9064*0.7*0.95</f>
        <v>6027.56</v>
      </c>
      <c r="D10" s="90" t="s">
        <v>87</v>
      </c>
      <c r="E10" s="90" t="n">
        <f aca="false">10963*0.58</f>
        <v>6358.54</v>
      </c>
      <c r="F10" s="91"/>
      <c r="G10" s="91"/>
      <c r="H10" s="91"/>
      <c r="I10" s="91"/>
      <c r="J10" s="91"/>
      <c r="K10" s="91"/>
      <c r="L10" s="91"/>
      <c r="M10" s="91"/>
    </row>
    <row r="11" customFormat="false" ht="17.6" hidden="false" customHeight="false" outlineLevel="0" collapsed="false">
      <c r="A11" s="91" t="s">
        <v>94</v>
      </c>
      <c r="B11" s="90" t="s">
        <v>40</v>
      </c>
      <c r="C11" s="90" t="n">
        <f aca="false">8489*0.7*0.95</f>
        <v>5645.185</v>
      </c>
      <c r="D11" s="90" t="s">
        <v>87</v>
      </c>
      <c r="E11" s="90" t="n">
        <f aca="false">10368*0.58</f>
        <v>6013.44</v>
      </c>
      <c r="F11" s="91"/>
      <c r="G11" s="91"/>
      <c r="H11" s="91"/>
      <c r="I11" s="91"/>
      <c r="J11" s="91"/>
      <c r="K11" s="91"/>
      <c r="L11" s="91"/>
      <c r="M11" s="91"/>
    </row>
    <row r="12" customFormat="false" ht="17.6" hidden="false" customHeight="false" outlineLevel="0" collapsed="false">
      <c r="A12" s="91" t="s">
        <v>95</v>
      </c>
      <c r="B12" s="90" t="s">
        <v>49</v>
      </c>
      <c r="C12" s="90" t="n">
        <f aca="false">45092*0.6*0.95</f>
        <v>25702.44</v>
      </c>
      <c r="D12" s="90" t="s">
        <v>87</v>
      </c>
      <c r="E12" s="90" t="n">
        <f aca="false">48424*0.54</f>
        <v>26148.96</v>
      </c>
      <c r="F12" s="91"/>
      <c r="G12" s="91"/>
      <c r="H12" s="91"/>
      <c r="I12" s="91"/>
      <c r="J12" s="91"/>
      <c r="K12" s="91"/>
      <c r="L12" s="91"/>
      <c r="M12" s="91"/>
    </row>
    <row r="13" customFormat="false" ht="17.6" hidden="false" customHeight="false" outlineLevel="0" collapsed="false">
      <c r="A13" s="91" t="s">
        <v>96</v>
      </c>
      <c r="B13" s="90" t="s">
        <v>49</v>
      </c>
      <c r="C13" s="90" t="n">
        <f aca="false">48000*0.6*0.95</f>
        <v>27360</v>
      </c>
      <c r="D13" s="90" t="s">
        <v>87</v>
      </c>
      <c r="E13" s="90" t="n">
        <f aca="false">51452*0.54</f>
        <v>27784.08</v>
      </c>
      <c r="F13" s="91"/>
      <c r="G13" s="91"/>
      <c r="H13" s="91"/>
      <c r="I13" s="91"/>
      <c r="J13" s="91"/>
      <c r="K13" s="91"/>
      <c r="L13" s="91"/>
      <c r="M13" s="91"/>
    </row>
    <row r="14" customFormat="false" ht="17.6" hidden="false" customHeight="false" outlineLevel="0" collapsed="false">
      <c r="A14" s="91" t="s">
        <v>97</v>
      </c>
      <c r="B14" s="90" t="s">
        <v>49</v>
      </c>
      <c r="C14" s="90" t="n">
        <f aca="false">50043*0.6*0.95</f>
        <v>28524.51</v>
      </c>
      <c r="D14" s="90" t="s">
        <v>87</v>
      </c>
      <c r="E14" s="90" t="n">
        <f aca="false">53578*0.54</f>
        <v>28932.12</v>
      </c>
      <c r="F14" s="91"/>
      <c r="G14" s="91"/>
      <c r="H14" s="91"/>
      <c r="I14" s="14"/>
      <c r="J14" s="91"/>
      <c r="K14" s="91"/>
      <c r="L14" s="91"/>
      <c r="M14" s="91"/>
    </row>
    <row r="15" customFormat="false" ht="17.6" hidden="false" customHeight="false" outlineLevel="0" collapsed="false">
      <c r="A15" s="91" t="s">
        <v>98</v>
      </c>
      <c r="B15" s="90" t="s">
        <v>49</v>
      </c>
      <c r="C15" s="90" t="n">
        <f aca="false">63837*0.6*0.95</f>
        <v>36387.09</v>
      </c>
      <c r="D15" s="90" t="s">
        <v>87</v>
      </c>
      <c r="E15" s="90" t="n">
        <f aca="false">69855*0.54</f>
        <v>37721.7</v>
      </c>
      <c r="F15" s="91"/>
      <c r="G15" s="91"/>
      <c r="H15" s="91"/>
      <c r="I15" s="91"/>
      <c r="J15" s="91"/>
      <c r="K15" s="91"/>
      <c r="L15" s="91"/>
      <c r="M15" s="91"/>
    </row>
    <row r="16" customFormat="false" ht="17.6" hidden="false" customHeight="false" outlineLevel="0" collapsed="false">
      <c r="A16" s="91" t="s">
        <v>99</v>
      </c>
      <c r="B16" s="90" t="s">
        <v>100</v>
      </c>
      <c r="C16" s="90" t="n">
        <v>21</v>
      </c>
      <c r="D16" s="90" t="s">
        <v>101</v>
      </c>
      <c r="E16" s="91"/>
      <c r="F16" s="91"/>
      <c r="G16" s="91"/>
      <c r="H16" s="91"/>
      <c r="I16" s="91"/>
      <c r="J16" s="91"/>
      <c r="K16" s="91"/>
      <c r="L16" s="91"/>
      <c r="M16" s="91"/>
    </row>
    <row r="17" customFormat="false" ht="17.6" hidden="false" customHeight="false" outlineLevel="0" collapsed="false">
      <c r="A17" s="91" t="s">
        <v>102</v>
      </c>
      <c r="B17" s="90" t="s">
        <v>103</v>
      </c>
      <c r="C17" s="90" t="n">
        <v>65</v>
      </c>
      <c r="D17" s="90" t="s">
        <v>101</v>
      </c>
      <c r="E17" s="91"/>
      <c r="F17" s="91"/>
      <c r="G17" s="91"/>
      <c r="H17" s="91"/>
      <c r="I17" s="91"/>
      <c r="J17" s="91"/>
      <c r="K17" s="91"/>
      <c r="L17" s="91"/>
      <c r="M17" s="91"/>
    </row>
    <row r="18" customFormat="false" ht="17.6" hidden="false" customHeight="false" outlineLevel="0" collapsed="false">
      <c r="A18" s="91" t="s">
        <v>104</v>
      </c>
      <c r="B18" s="90" t="s">
        <v>105</v>
      </c>
      <c r="C18" s="90" t="n">
        <v>21</v>
      </c>
      <c r="D18" s="90" t="s">
        <v>101</v>
      </c>
      <c r="E18" s="91"/>
      <c r="F18" s="91"/>
      <c r="G18" s="91"/>
      <c r="H18" s="91"/>
      <c r="I18" s="91"/>
      <c r="J18" s="91"/>
      <c r="K18" s="91"/>
      <c r="L18" s="91"/>
      <c r="M18" s="91"/>
    </row>
    <row r="19" customFormat="false" ht="17.6" hidden="false" customHeight="false" outlineLevel="0" collapsed="false">
      <c r="A19" s="91" t="s">
        <v>106</v>
      </c>
      <c r="B19" s="90" t="s">
        <v>105</v>
      </c>
      <c r="C19" s="90" t="n">
        <v>21</v>
      </c>
      <c r="D19" s="90" t="s">
        <v>101</v>
      </c>
      <c r="E19" s="91"/>
      <c r="F19" s="91"/>
      <c r="G19" s="91"/>
      <c r="H19" s="91"/>
      <c r="I19" s="91"/>
      <c r="J19" s="91"/>
      <c r="K19" s="91"/>
      <c r="L19" s="91"/>
      <c r="M19" s="91"/>
    </row>
    <row r="20" customFormat="false" ht="17.6" hidden="false" customHeight="false" outlineLevel="0" collapsed="false">
      <c r="A20" s="91" t="s">
        <v>107</v>
      </c>
      <c r="B20" s="90" t="s">
        <v>108</v>
      </c>
      <c r="C20" s="90" t="n">
        <v>80</v>
      </c>
      <c r="D20" s="90" t="s">
        <v>101</v>
      </c>
      <c r="E20" s="91"/>
      <c r="F20" s="91"/>
      <c r="G20" s="91"/>
      <c r="H20" s="91"/>
      <c r="I20" s="91"/>
      <c r="J20" s="91"/>
      <c r="K20" s="91"/>
      <c r="L20" s="91"/>
      <c r="M20" s="91"/>
    </row>
    <row r="21" customFormat="false" ht="17.6" hidden="false" customHeight="false" outlineLevel="0" collapsed="false">
      <c r="A21" s="91" t="s">
        <v>109</v>
      </c>
      <c r="B21" s="90" t="s">
        <v>100</v>
      </c>
      <c r="C21" s="90" t="n">
        <v>17</v>
      </c>
      <c r="D21" s="90" t="s">
        <v>101</v>
      </c>
      <c r="E21" s="91"/>
      <c r="F21" s="91"/>
      <c r="G21" s="91"/>
      <c r="H21" s="91"/>
      <c r="I21" s="91"/>
      <c r="J21" s="91"/>
      <c r="K21" s="91"/>
      <c r="L21" s="91"/>
      <c r="M21" s="91"/>
    </row>
    <row r="22" customFormat="false" ht="17.6" hidden="false" customHeight="false" outlineLevel="0" collapsed="false">
      <c r="A22" s="91" t="s">
        <v>110</v>
      </c>
      <c r="B22" s="90" t="s">
        <v>111</v>
      </c>
      <c r="C22" s="90" t="n">
        <v>65</v>
      </c>
      <c r="D22" s="90" t="s">
        <v>101</v>
      </c>
      <c r="E22" s="91"/>
      <c r="F22" s="91"/>
      <c r="G22" s="91"/>
      <c r="H22" s="91"/>
      <c r="I22" s="91"/>
      <c r="J22" s="91"/>
      <c r="K22" s="91"/>
      <c r="L22" s="91"/>
      <c r="M22" s="91"/>
    </row>
    <row r="23" customFormat="false" ht="17.6" hidden="false" customHeight="false" outlineLevel="0" collapsed="false">
      <c r="A23" s="91" t="s">
        <v>112</v>
      </c>
      <c r="B23" s="90" t="s">
        <v>105</v>
      </c>
      <c r="C23" s="90" t="n">
        <v>17</v>
      </c>
      <c r="D23" s="90" t="s">
        <v>101</v>
      </c>
      <c r="E23" s="91"/>
      <c r="F23" s="91"/>
      <c r="G23" s="91"/>
      <c r="H23" s="91"/>
      <c r="I23" s="91"/>
      <c r="J23" s="91"/>
      <c r="K23" s="91"/>
      <c r="L23" s="91"/>
      <c r="M23" s="91"/>
    </row>
    <row r="24" customFormat="false" ht="17.6" hidden="false" customHeight="false" outlineLevel="0" collapsed="false">
      <c r="A24" s="91" t="s">
        <v>113</v>
      </c>
      <c r="B24" s="90" t="s">
        <v>108</v>
      </c>
      <c r="C24" s="90" t="n">
        <v>80</v>
      </c>
      <c r="D24" s="90" t="s">
        <v>101</v>
      </c>
      <c r="E24" s="91"/>
      <c r="F24" s="91"/>
      <c r="G24" s="91"/>
      <c r="H24" s="91"/>
      <c r="I24" s="91"/>
      <c r="J24" s="91"/>
      <c r="K24" s="91"/>
      <c r="L24" s="91"/>
      <c r="M24" s="91"/>
    </row>
    <row r="25" customFormat="false" ht="17.6" hidden="false" customHeight="false" outlineLevel="0" collapsed="false">
      <c r="A25" s="91" t="s">
        <v>114</v>
      </c>
      <c r="B25" s="90" t="s">
        <v>100</v>
      </c>
      <c r="C25" s="90" t="n">
        <v>17</v>
      </c>
      <c r="D25" s="90" t="s">
        <v>101</v>
      </c>
      <c r="E25" s="91"/>
      <c r="F25" s="91"/>
      <c r="G25" s="91"/>
      <c r="H25" s="91"/>
      <c r="I25" s="91"/>
      <c r="J25" s="91"/>
      <c r="K25" s="91"/>
      <c r="L25" s="91"/>
      <c r="M25" s="91"/>
    </row>
    <row r="26" customFormat="false" ht="17.6" hidden="false" customHeight="false" outlineLevel="0" collapsed="false">
      <c r="A26" s="91" t="s">
        <v>115</v>
      </c>
      <c r="B26" s="90" t="s">
        <v>116</v>
      </c>
      <c r="C26" s="90" t="n">
        <v>23</v>
      </c>
      <c r="D26" s="90" t="s">
        <v>117</v>
      </c>
      <c r="E26" s="91"/>
      <c r="F26" s="91"/>
      <c r="G26" s="90" t="n">
        <f aca="false">2060*0.65</f>
        <v>1339</v>
      </c>
      <c r="H26" s="91"/>
      <c r="I26" s="91"/>
      <c r="J26" s="91"/>
      <c r="K26" s="91"/>
      <c r="L26" s="91"/>
      <c r="M26" s="91"/>
    </row>
    <row r="27" customFormat="false" ht="17.6" hidden="false" customHeight="false" outlineLevel="0" collapsed="false">
      <c r="A27" s="91" t="s">
        <v>118</v>
      </c>
      <c r="B27" s="90" t="s">
        <v>119</v>
      </c>
      <c r="C27" s="90" t="n">
        <v>158000</v>
      </c>
      <c r="D27" s="90" t="s">
        <v>120</v>
      </c>
      <c r="E27" s="91"/>
      <c r="F27" s="91"/>
      <c r="G27" s="91"/>
      <c r="H27" s="91"/>
      <c r="I27" s="91"/>
      <c r="J27" s="91"/>
      <c r="K27" s="91"/>
      <c r="L27" s="91"/>
      <c r="M27" s="91"/>
    </row>
    <row r="28" customFormat="false" ht="17.6" hidden="false" customHeight="false" outlineLevel="0" collapsed="false">
      <c r="A28" s="91" t="s">
        <v>121</v>
      </c>
      <c r="B28" s="90" t="s">
        <v>119</v>
      </c>
      <c r="C28" s="90" t="n">
        <v>237000</v>
      </c>
      <c r="D28" s="90" t="s">
        <v>120</v>
      </c>
      <c r="E28" s="91"/>
      <c r="F28" s="91"/>
      <c r="G28" s="91"/>
      <c r="H28" s="91"/>
      <c r="I28" s="91"/>
      <c r="J28" s="91"/>
      <c r="K28" s="91"/>
      <c r="L28" s="91"/>
      <c r="M28" s="91"/>
    </row>
    <row r="29" customFormat="false" ht="17.6" hidden="false" customHeight="false" outlineLevel="0" collapsed="false">
      <c r="A29" s="91" t="s">
        <v>122</v>
      </c>
      <c r="B29" s="90" t="s">
        <v>57</v>
      </c>
      <c r="C29" s="90" t="n">
        <f aca="false">2000*0.65</f>
        <v>1300</v>
      </c>
      <c r="D29" s="90" t="s">
        <v>123</v>
      </c>
      <c r="E29" s="91"/>
      <c r="F29" s="91"/>
      <c r="G29" s="91"/>
      <c r="H29" s="91"/>
      <c r="I29" s="91"/>
      <c r="J29" s="91"/>
      <c r="K29" s="91"/>
      <c r="L29" s="91"/>
      <c r="M29" s="91"/>
    </row>
    <row r="30" customFormat="false" ht="17.6" hidden="false" customHeight="false" outlineLevel="0" collapsed="false">
      <c r="A30" s="91" t="s">
        <v>124</v>
      </c>
      <c r="B30" s="90" t="s">
        <v>57</v>
      </c>
      <c r="C30" s="90" t="n">
        <f aca="false">1400*0.65</f>
        <v>910</v>
      </c>
      <c r="D30" s="90" t="s">
        <v>123</v>
      </c>
      <c r="F30" s="91"/>
      <c r="G30" s="91"/>
      <c r="H30" s="91"/>
      <c r="I30" s="91"/>
      <c r="J30" s="91"/>
      <c r="K30" s="91"/>
      <c r="L30" s="91"/>
      <c r="M30" s="91"/>
    </row>
    <row r="31" customFormat="false" ht="17.6" hidden="false" customHeight="false" outlineLevel="0" collapsed="false">
      <c r="A31" s="91" t="s">
        <v>125</v>
      </c>
      <c r="B31" s="90" t="s">
        <v>57</v>
      </c>
      <c r="C31" s="90" t="n">
        <f aca="false">2000*0.65</f>
        <v>1300</v>
      </c>
      <c r="D31" s="90" t="s">
        <v>123</v>
      </c>
      <c r="E31" s="91"/>
      <c r="F31" s="91"/>
      <c r="G31" s="91"/>
      <c r="H31" s="91"/>
      <c r="I31" s="91"/>
      <c r="J31" s="91"/>
      <c r="K31" s="91"/>
      <c r="L31" s="91"/>
      <c r="M31" s="91"/>
    </row>
    <row r="32" customFormat="false" ht="17.6" hidden="false" customHeight="false" outlineLevel="0" collapsed="false">
      <c r="A32" s="91" t="s">
        <v>126</v>
      </c>
      <c r="B32" s="90" t="s">
        <v>57</v>
      </c>
      <c r="C32" s="90" t="n">
        <f aca="false">3200*0.65</f>
        <v>2080</v>
      </c>
      <c r="D32" s="90" t="s">
        <v>123</v>
      </c>
      <c r="F32" s="91"/>
      <c r="G32" s="91"/>
      <c r="H32" s="91"/>
      <c r="I32" s="91"/>
      <c r="J32" s="91"/>
      <c r="K32" s="91"/>
      <c r="L32" s="91"/>
      <c r="M32" s="91"/>
    </row>
    <row r="33" customFormat="false" ht="17.6" hidden="false" customHeight="false" outlineLevel="0" collapsed="false">
      <c r="A33" s="91" t="s">
        <v>127</v>
      </c>
      <c r="B33" s="90" t="s">
        <v>57</v>
      </c>
      <c r="C33" s="90" t="n">
        <f aca="false">3600*0.65</f>
        <v>2340</v>
      </c>
      <c r="D33" s="90" t="s">
        <v>123</v>
      </c>
    </row>
    <row r="34" customFormat="false" ht="17.6" hidden="false" customHeight="false" outlineLevel="0" collapsed="false">
      <c r="A34" s="91" t="s">
        <v>128</v>
      </c>
      <c r="B34" s="90" t="s">
        <v>57</v>
      </c>
      <c r="C34" s="90" t="n">
        <f aca="false">3600*0.65</f>
        <v>2340</v>
      </c>
      <c r="D34" s="90" t="s">
        <v>123</v>
      </c>
    </row>
    <row r="35" customFormat="false" ht="17.6" hidden="false" customHeight="false" outlineLevel="0" collapsed="false">
      <c r="A35" s="91" t="s">
        <v>129</v>
      </c>
      <c r="B35" s="90" t="s">
        <v>57</v>
      </c>
      <c r="C35" s="90" t="n">
        <v>1600</v>
      </c>
      <c r="D35" s="90" t="s">
        <v>130</v>
      </c>
    </row>
    <row r="36" customFormat="false" ht="17.6" hidden="false" customHeight="false" outlineLevel="0" collapsed="false">
      <c r="A36" s="91" t="s">
        <v>131</v>
      </c>
      <c r="B36" s="90" t="s">
        <v>57</v>
      </c>
      <c r="C36" s="90" t="n">
        <v>2200</v>
      </c>
      <c r="D36" s="90" t="s">
        <v>130</v>
      </c>
    </row>
    <row r="37" customFormat="false" ht="17.6" hidden="false" customHeight="false" outlineLevel="0" collapsed="false">
      <c r="A37" s="91" t="s">
        <v>132</v>
      </c>
      <c r="B37" s="90" t="s">
        <v>57</v>
      </c>
      <c r="C37" s="90" t="n">
        <v>2640</v>
      </c>
      <c r="D37" s="90" t="s">
        <v>130</v>
      </c>
    </row>
    <row r="38" customFormat="false" ht="17.6" hidden="false" customHeight="false" outlineLevel="0" collapsed="false">
      <c r="A38" s="91" t="s">
        <v>133</v>
      </c>
      <c r="B38" s="90" t="s">
        <v>57</v>
      </c>
      <c r="C38" s="90" t="n">
        <v>3200</v>
      </c>
      <c r="D38" s="90" t="s">
        <v>130</v>
      </c>
    </row>
    <row r="39" customFormat="false" ht="17.6" hidden="false" customHeight="false" outlineLevel="0" collapsed="false">
      <c r="A39" s="91"/>
    </row>
    <row r="40" customFormat="false" ht="17.6" hidden="false" customHeight="false" outlineLevel="0" collapsed="false">
      <c r="A40" s="91" t="s">
        <v>134</v>
      </c>
      <c r="B40" s="90" t="s">
        <v>135</v>
      </c>
      <c r="C40" s="90" t="n">
        <v>11815</v>
      </c>
      <c r="D40" s="90" t="s">
        <v>136</v>
      </c>
    </row>
    <row r="41" customFormat="false" ht="17.6" hidden="false" customHeight="false" outlineLevel="0" collapsed="false">
      <c r="A41" s="91" t="s">
        <v>137</v>
      </c>
      <c r="B41" s="90" t="s">
        <v>135</v>
      </c>
      <c r="C41" s="90" t="n">
        <v>8550</v>
      </c>
      <c r="D41" s="90" t="s">
        <v>136</v>
      </c>
    </row>
    <row r="42" customFormat="false" ht="17.6" hidden="false" customHeight="false" outlineLevel="0" collapsed="false">
      <c r="A42" s="91" t="s">
        <v>138</v>
      </c>
      <c r="B42" s="90" t="s">
        <v>135</v>
      </c>
      <c r="C42" s="90" t="n">
        <v>5138</v>
      </c>
      <c r="D42" s="90" t="s">
        <v>139</v>
      </c>
    </row>
    <row r="43" customFormat="false" ht="17.6" hidden="false" customHeight="false" outlineLevel="0" collapsed="false">
      <c r="A43" s="91" t="s">
        <v>140</v>
      </c>
      <c r="B43" s="90" t="s">
        <v>135</v>
      </c>
      <c r="C43" s="90" t="n">
        <v>5857</v>
      </c>
      <c r="D43" s="90" t="s">
        <v>139</v>
      </c>
      <c r="E43" s="91"/>
      <c r="F43" s="91"/>
      <c r="G43" s="91"/>
      <c r="H43" s="91"/>
      <c r="I43" s="91"/>
      <c r="J43" s="91"/>
      <c r="K43" s="91"/>
      <c r="L43" s="91"/>
      <c r="M43" s="91"/>
    </row>
    <row r="44" customFormat="false" ht="17.6" hidden="false" customHeight="false" outlineLevel="0" collapsed="false">
      <c r="A44" s="91" t="s">
        <v>141</v>
      </c>
      <c r="B44" s="90" t="s">
        <v>49</v>
      </c>
      <c r="C44" s="90" t="n">
        <f aca="false">41675*0.67+882/3*0.67</f>
        <v>28119.23</v>
      </c>
      <c r="D44" s="92" t="s">
        <v>142</v>
      </c>
    </row>
    <row r="45" customFormat="false" ht="17.6" hidden="false" customHeight="false" outlineLevel="0" collapsed="false">
      <c r="A45" s="91" t="s">
        <v>143</v>
      </c>
      <c r="B45" s="90" t="s">
        <v>49</v>
      </c>
      <c r="C45" s="90" t="n">
        <f aca="false">44762*0.67+882/3*0.67</f>
        <v>30187.52</v>
      </c>
      <c r="D45" s="92" t="s">
        <v>142</v>
      </c>
    </row>
    <row r="46" customFormat="false" ht="17.6" hidden="false" customHeight="false" outlineLevel="0" collapsed="false">
      <c r="A46" s="91" t="s">
        <v>144</v>
      </c>
      <c r="B46" s="90" t="s">
        <v>145</v>
      </c>
      <c r="C46" s="90" t="n">
        <v>800</v>
      </c>
      <c r="D46" s="90" t="s">
        <v>146</v>
      </c>
    </row>
    <row r="47" customFormat="false" ht="17.6" hidden="false" customHeight="false" outlineLevel="0" collapsed="false">
      <c r="A47" s="91"/>
      <c r="E47" s="91"/>
      <c r="F47" s="91"/>
      <c r="G47" s="91"/>
      <c r="H47" s="91"/>
      <c r="I47" s="91"/>
      <c r="J47" s="91"/>
      <c r="K47" s="91"/>
      <c r="L47" s="91"/>
      <c r="M47" s="91"/>
    </row>
    <row r="48" customFormat="false" ht="17.6" hidden="false" customHeight="false" outlineLevel="0" collapsed="false">
      <c r="A48" s="91" t="s">
        <v>147</v>
      </c>
      <c r="B48" s="90" t="s">
        <v>148</v>
      </c>
      <c r="C48" s="90" t="n">
        <v>1300</v>
      </c>
      <c r="D48" s="90" t="s">
        <v>146</v>
      </c>
      <c r="E48" s="91"/>
      <c r="F48" s="91"/>
      <c r="G48" s="91"/>
      <c r="H48" s="91"/>
      <c r="I48" s="91"/>
      <c r="J48" s="91"/>
      <c r="K48" s="91"/>
      <c r="L48" s="91"/>
      <c r="M48" s="91"/>
    </row>
    <row r="49" customFormat="false" ht="17.6" hidden="false" customHeight="false" outlineLevel="0" collapsed="false">
      <c r="A49" s="91" t="s">
        <v>149</v>
      </c>
      <c r="B49" s="89" t="s">
        <v>150</v>
      </c>
      <c r="C49" s="93" t="n">
        <v>5100</v>
      </c>
      <c r="D49" s="94" t="s">
        <v>151</v>
      </c>
      <c r="E49" s="91"/>
      <c r="F49" s="91"/>
      <c r="G49" s="91"/>
      <c r="H49" s="91"/>
      <c r="I49" s="91"/>
      <c r="J49" s="91"/>
      <c r="K49" s="91"/>
      <c r="L49" s="91"/>
      <c r="M49" s="91"/>
    </row>
    <row r="50" customFormat="false" ht="17.6" hidden="false" customHeight="false" outlineLevel="0" collapsed="false">
      <c r="A50" s="91" t="s">
        <v>152</v>
      </c>
      <c r="B50" s="90" t="s">
        <v>148</v>
      </c>
      <c r="C50" s="90" t="n">
        <v>5500</v>
      </c>
      <c r="D50" s="90" t="s">
        <v>146</v>
      </c>
      <c r="E50" s="91"/>
      <c r="F50" s="91"/>
      <c r="G50" s="91"/>
      <c r="H50" s="91"/>
      <c r="I50" s="91"/>
      <c r="J50" s="91"/>
      <c r="K50" s="91"/>
      <c r="L50" s="91"/>
      <c r="M50" s="91"/>
    </row>
    <row r="51" customFormat="false" ht="17.6" hidden="false" customHeight="false" outlineLevel="0" collapsed="false">
      <c r="A51" s="91" t="s">
        <v>153</v>
      </c>
      <c r="B51" s="90" t="s">
        <v>135</v>
      </c>
      <c r="C51" s="90" t="n">
        <v>1656</v>
      </c>
      <c r="D51" s="90" t="s">
        <v>154</v>
      </c>
      <c r="E51" s="91"/>
      <c r="F51" s="91"/>
      <c r="G51" s="91"/>
      <c r="H51" s="91"/>
      <c r="I51" s="91"/>
      <c r="J51" s="91"/>
      <c r="K51" s="91"/>
      <c r="L51" s="91"/>
      <c r="M51" s="91"/>
    </row>
    <row r="52" customFormat="false" ht="17.6" hidden="false" customHeight="false" outlineLevel="0" collapsed="false">
      <c r="A52" s="91" t="s">
        <v>155</v>
      </c>
      <c r="B52" s="90" t="s">
        <v>156</v>
      </c>
      <c r="C52" s="91"/>
      <c r="D52" s="90" t="s">
        <v>136</v>
      </c>
      <c r="E52" s="91"/>
      <c r="F52" s="91"/>
      <c r="G52" s="91"/>
      <c r="H52" s="91"/>
      <c r="I52" s="91"/>
      <c r="J52" s="91"/>
      <c r="K52" s="91"/>
      <c r="L52" s="91"/>
      <c r="M52" s="91"/>
    </row>
    <row r="53" customFormat="false" ht="34" hidden="false" customHeight="false" outlineLevel="0" collapsed="false">
      <c r="A53" s="91" t="s">
        <v>157</v>
      </c>
      <c r="B53" s="89" t="s">
        <v>158</v>
      </c>
      <c r="C53" s="90" t="n">
        <f aca="false">22855*0.65</f>
        <v>14855.75</v>
      </c>
      <c r="D53" s="90" t="s">
        <v>159</v>
      </c>
      <c r="E53" s="91"/>
      <c r="F53" s="91"/>
      <c r="G53" s="91"/>
      <c r="H53" s="91"/>
      <c r="I53" s="91"/>
      <c r="J53" s="91"/>
      <c r="K53" s="91"/>
      <c r="L53" s="91"/>
      <c r="M53" s="91"/>
    </row>
    <row r="54" customFormat="false" ht="34" hidden="false" customHeight="false" outlineLevel="0" collapsed="false">
      <c r="A54" s="91" t="s">
        <v>160</v>
      </c>
      <c r="B54" s="89" t="s">
        <v>158</v>
      </c>
      <c r="C54" s="90" t="n">
        <f aca="false">32902*0.65</f>
        <v>21386.3</v>
      </c>
      <c r="D54" s="90" t="s">
        <v>159</v>
      </c>
      <c r="E54" s="91"/>
      <c r="F54" s="91"/>
      <c r="G54" s="91"/>
      <c r="H54" s="91"/>
      <c r="I54" s="91"/>
      <c r="J54" s="91"/>
      <c r="K54" s="91"/>
      <c r="L54" s="91"/>
      <c r="M54" s="91"/>
    </row>
    <row r="55" customFormat="false" ht="17.6" hidden="false" customHeight="false" outlineLevel="0" collapsed="false">
      <c r="A55" s="91" t="s">
        <v>161</v>
      </c>
      <c r="B55" s="90" t="s">
        <v>162</v>
      </c>
      <c r="C55" s="90" t="n">
        <f aca="false">700*0.7</f>
        <v>490</v>
      </c>
      <c r="D55" s="90" t="s">
        <v>163</v>
      </c>
      <c r="E55" s="91"/>
      <c r="F55" s="91"/>
      <c r="G55" s="91"/>
      <c r="H55" s="91"/>
      <c r="I55" s="91"/>
      <c r="J55" s="91"/>
      <c r="K55" s="91"/>
      <c r="L55" s="91"/>
      <c r="M55" s="91"/>
    </row>
    <row r="56" customFormat="false" ht="17.6" hidden="false" customHeight="false" outlineLevel="0" collapsed="false">
      <c r="A56" s="91" t="s">
        <v>164</v>
      </c>
      <c r="B56" s="90" t="s">
        <v>162</v>
      </c>
      <c r="C56" s="90" t="n">
        <f aca="false">52*0.7</f>
        <v>36.4</v>
      </c>
      <c r="D56" s="90" t="s">
        <v>163</v>
      </c>
      <c r="E56" s="91"/>
      <c r="F56" s="91"/>
      <c r="G56" s="91"/>
      <c r="H56" s="91"/>
      <c r="I56" s="91"/>
      <c r="J56" s="91"/>
      <c r="K56" s="91"/>
      <c r="L56" s="91"/>
      <c r="M56" s="91"/>
    </row>
    <row r="57" customFormat="false" ht="17.6" hidden="false" customHeight="false" outlineLevel="0" collapsed="false">
      <c r="A57" s="91" t="s">
        <v>165</v>
      </c>
      <c r="B57" s="90" t="s">
        <v>162</v>
      </c>
      <c r="C57" s="90" t="n">
        <f aca="false">900*0.7</f>
        <v>630</v>
      </c>
      <c r="D57" s="90" t="s">
        <v>163</v>
      </c>
      <c r="E57" s="91"/>
      <c r="F57" s="91"/>
      <c r="G57" s="91"/>
      <c r="H57" s="91"/>
      <c r="I57" s="91"/>
      <c r="J57" s="91"/>
      <c r="K57" s="91"/>
      <c r="L57" s="91"/>
      <c r="M57" s="91"/>
    </row>
    <row r="58" customFormat="false" ht="17.6" hidden="false" customHeight="false" outlineLevel="0" collapsed="false">
      <c r="A58" s="91" t="s">
        <v>166</v>
      </c>
      <c r="B58" s="90" t="s">
        <v>162</v>
      </c>
      <c r="C58" s="90" t="n">
        <f aca="false">75*0.7</f>
        <v>52.5</v>
      </c>
      <c r="D58" s="90" t="s">
        <v>163</v>
      </c>
      <c r="E58" s="91"/>
      <c r="F58" s="91"/>
      <c r="G58" s="91"/>
      <c r="H58" s="91"/>
      <c r="I58" s="91"/>
      <c r="J58" s="91"/>
      <c r="K58" s="91"/>
      <c r="L58" s="91"/>
      <c r="M58" s="91"/>
    </row>
    <row r="59" customFormat="false" ht="17.6" hidden="false" customHeight="false" outlineLevel="0" collapsed="false">
      <c r="A59" s="91" t="s">
        <v>167</v>
      </c>
      <c r="B59" s="90" t="s">
        <v>162</v>
      </c>
      <c r="C59" s="90" t="n">
        <f aca="false">2200*0.7</f>
        <v>1540</v>
      </c>
      <c r="D59" s="90" t="s">
        <v>163</v>
      </c>
      <c r="E59" s="91"/>
      <c r="F59" s="91"/>
      <c r="G59" s="91"/>
      <c r="H59" s="91"/>
      <c r="I59" s="91"/>
      <c r="J59" s="91"/>
      <c r="K59" s="91"/>
      <c r="L59" s="91"/>
      <c r="M59" s="91"/>
    </row>
    <row r="60" customFormat="false" ht="17.6" hidden="false" customHeight="false" outlineLevel="0" collapsed="false">
      <c r="A60" s="91" t="s">
        <v>168</v>
      </c>
      <c r="B60" s="90" t="s">
        <v>162</v>
      </c>
      <c r="C60" s="90" t="n">
        <f aca="false">115*0.75</f>
        <v>86.25</v>
      </c>
      <c r="D60" s="90" t="s">
        <v>163</v>
      </c>
      <c r="E60" s="91"/>
      <c r="F60" s="91"/>
      <c r="G60" s="91"/>
      <c r="H60" s="91"/>
      <c r="I60" s="91"/>
      <c r="J60" s="91"/>
      <c r="K60" s="91"/>
      <c r="L60" s="91"/>
      <c r="M60" s="91"/>
    </row>
    <row r="61" customFormat="false" ht="17.6" hidden="false" customHeight="false" outlineLevel="0" collapsed="false">
      <c r="A61" s="91" t="s">
        <v>169</v>
      </c>
      <c r="B61" s="90" t="s">
        <v>162</v>
      </c>
      <c r="C61" s="90" t="n">
        <f aca="false">95*0.7</f>
        <v>66.5</v>
      </c>
      <c r="D61" s="90" t="s">
        <v>163</v>
      </c>
      <c r="E61" s="91"/>
      <c r="F61" s="91"/>
      <c r="G61" s="91"/>
      <c r="H61" s="91"/>
      <c r="I61" s="91"/>
      <c r="J61" s="91"/>
      <c r="K61" s="91"/>
      <c r="L61" s="91"/>
      <c r="M61" s="91"/>
    </row>
    <row r="62" customFormat="false" ht="17.6" hidden="false" customHeight="false" outlineLevel="0" collapsed="false">
      <c r="A62" s="91" t="s">
        <v>170</v>
      </c>
      <c r="B62" s="90" t="s">
        <v>162</v>
      </c>
      <c r="C62" s="90" t="n">
        <f aca="false">122*0.7</f>
        <v>85.4</v>
      </c>
      <c r="D62" s="90" t="s">
        <v>163</v>
      </c>
      <c r="E62" s="91"/>
      <c r="F62" s="91"/>
      <c r="G62" s="91"/>
      <c r="H62" s="91"/>
      <c r="I62" s="91"/>
      <c r="J62" s="91"/>
      <c r="K62" s="91"/>
      <c r="L62" s="91"/>
      <c r="M62" s="91"/>
    </row>
    <row r="63" customFormat="false" ht="17.6" hidden="false" customHeight="false" outlineLevel="0" collapsed="false">
      <c r="A63" s="91" t="s">
        <v>171</v>
      </c>
      <c r="B63" s="90" t="s">
        <v>162</v>
      </c>
      <c r="C63" s="90" t="n">
        <f aca="false">3000*0.7</f>
        <v>2100</v>
      </c>
      <c r="D63" s="90" t="s">
        <v>163</v>
      </c>
      <c r="E63" s="91"/>
      <c r="F63" s="91"/>
      <c r="G63" s="91"/>
      <c r="H63" s="91"/>
      <c r="I63" s="91"/>
      <c r="J63" s="91"/>
      <c r="K63" s="91"/>
      <c r="L63" s="91"/>
      <c r="M63" s="91"/>
    </row>
    <row r="64" customFormat="false" ht="17.6" hidden="false" customHeight="false" outlineLevel="0" collapsed="false">
      <c r="A64" s="91" t="s">
        <v>172</v>
      </c>
      <c r="B64" s="90" t="s">
        <v>162</v>
      </c>
      <c r="C64" s="90" t="n">
        <f aca="false">130*0.7</f>
        <v>91</v>
      </c>
      <c r="D64" s="90" t="s">
        <v>163</v>
      </c>
      <c r="E64" s="91"/>
      <c r="F64" s="91"/>
      <c r="G64" s="91"/>
      <c r="H64" s="91"/>
      <c r="I64" s="91"/>
      <c r="J64" s="91"/>
      <c r="K64" s="91"/>
      <c r="L64" s="91"/>
      <c r="M64" s="91"/>
    </row>
    <row r="65" customFormat="false" ht="17.6" hidden="false" customHeight="false" outlineLevel="0" collapsed="false">
      <c r="A65" s="91" t="s">
        <v>173</v>
      </c>
      <c r="B65" s="90" t="s">
        <v>162</v>
      </c>
      <c r="C65" s="90" t="n">
        <f aca="false">260*0.75</f>
        <v>195</v>
      </c>
      <c r="D65" s="90" t="s">
        <v>163</v>
      </c>
      <c r="E65" s="91"/>
      <c r="F65" s="91"/>
      <c r="G65" s="91"/>
      <c r="H65" s="91"/>
      <c r="I65" s="91"/>
      <c r="J65" s="91"/>
      <c r="K65" s="91"/>
      <c r="L65" s="91"/>
      <c r="M65" s="91"/>
    </row>
    <row r="66" customFormat="false" ht="17.6" hidden="false" customHeight="false" outlineLevel="0" collapsed="false">
      <c r="A66" s="91" t="s">
        <v>174</v>
      </c>
      <c r="B66" s="90" t="s">
        <v>162</v>
      </c>
      <c r="C66" s="90" t="n">
        <f aca="false">280*0.75</f>
        <v>210</v>
      </c>
      <c r="D66" s="90" t="s">
        <v>163</v>
      </c>
      <c r="E66" s="91"/>
      <c r="F66" s="91"/>
      <c r="G66" s="91"/>
      <c r="H66" s="91"/>
      <c r="I66" s="91"/>
      <c r="J66" s="91"/>
      <c r="K66" s="91"/>
      <c r="L66" s="91"/>
      <c r="M66" s="91"/>
    </row>
    <row r="67" customFormat="false" ht="17.6" hidden="false" customHeight="false" outlineLevel="0" collapsed="false">
      <c r="A67" s="91"/>
      <c r="E67" s="91"/>
      <c r="F67" s="91"/>
      <c r="G67" s="91"/>
      <c r="H67" s="91"/>
      <c r="I67" s="91"/>
      <c r="J67" s="91"/>
      <c r="K67" s="91"/>
      <c r="L67" s="91"/>
      <c r="M67" s="91"/>
    </row>
    <row r="68" customFormat="false" ht="17.6" hidden="false" customHeight="false" outlineLevel="0" collapsed="false">
      <c r="A68" s="91" t="s">
        <v>175</v>
      </c>
      <c r="B68" s="90" t="s">
        <v>162</v>
      </c>
      <c r="C68" s="90" t="n">
        <f aca="false">300*0.75</f>
        <v>225</v>
      </c>
      <c r="D68" s="90" t="s">
        <v>163</v>
      </c>
      <c r="E68" s="91"/>
      <c r="F68" s="91"/>
      <c r="G68" s="91"/>
      <c r="H68" s="91"/>
      <c r="I68" s="91"/>
      <c r="J68" s="91"/>
      <c r="K68" s="91"/>
      <c r="L68" s="91"/>
      <c r="M68" s="91"/>
    </row>
    <row r="69" customFormat="false" ht="17.6" hidden="false" customHeight="false" outlineLevel="0" collapsed="false">
      <c r="A69" s="91"/>
      <c r="E69" s="91"/>
      <c r="F69" s="91"/>
      <c r="G69" s="91"/>
      <c r="H69" s="91"/>
      <c r="I69" s="91"/>
      <c r="J69" s="91"/>
      <c r="K69" s="91"/>
      <c r="L69" s="91"/>
      <c r="M69" s="91"/>
    </row>
    <row r="70" customFormat="false" ht="17.6" hidden="false" customHeight="false" outlineLevel="0" collapsed="false">
      <c r="A70" s="91" t="s">
        <v>176</v>
      </c>
      <c r="B70" s="90" t="s">
        <v>135</v>
      </c>
      <c r="C70" s="90" t="n">
        <f aca="false">15*18</f>
        <v>270</v>
      </c>
      <c r="D70" s="90" t="s">
        <v>177</v>
      </c>
      <c r="E70" s="91"/>
      <c r="F70" s="91"/>
      <c r="G70" s="91"/>
      <c r="H70" s="91"/>
      <c r="I70" s="91"/>
      <c r="J70" s="91"/>
      <c r="K70" s="91"/>
      <c r="L70" s="91"/>
      <c r="M70" s="91"/>
    </row>
    <row r="71" customFormat="false" ht="17.6" hidden="false" customHeight="false" outlineLevel="0" collapsed="false">
      <c r="A71" s="91" t="s">
        <v>178</v>
      </c>
      <c r="B71" s="90" t="s">
        <v>135</v>
      </c>
      <c r="C71" s="90" t="n">
        <f aca="false">20*18</f>
        <v>360</v>
      </c>
      <c r="D71" s="90" t="s">
        <v>177</v>
      </c>
      <c r="E71" s="91"/>
      <c r="F71" s="91"/>
      <c r="G71" s="91"/>
      <c r="H71" s="91"/>
      <c r="I71" s="91"/>
      <c r="J71" s="91"/>
      <c r="K71" s="91"/>
      <c r="L71" s="91"/>
      <c r="M71" s="91"/>
    </row>
    <row r="72" customFormat="false" ht="17.6" hidden="false" customHeight="false" outlineLevel="0" collapsed="false">
      <c r="A72" s="91" t="s">
        <v>179</v>
      </c>
      <c r="B72" s="90" t="s">
        <v>135</v>
      </c>
      <c r="C72" s="90" t="n">
        <f aca="false">6*18</f>
        <v>108</v>
      </c>
      <c r="D72" s="90" t="s">
        <v>177</v>
      </c>
      <c r="E72" s="91"/>
      <c r="F72" s="91"/>
      <c r="G72" s="91"/>
      <c r="H72" s="91"/>
      <c r="I72" s="91"/>
      <c r="J72" s="91"/>
      <c r="K72" s="91"/>
      <c r="L72" s="91"/>
      <c r="M72" s="91"/>
    </row>
    <row r="73" customFormat="false" ht="17.6" hidden="false" customHeight="false" outlineLevel="0" collapsed="false">
      <c r="A73" s="91" t="s">
        <v>180</v>
      </c>
      <c r="B73" s="90" t="s">
        <v>135</v>
      </c>
      <c r="C73" s="90" t="n">
        <f aca="false">35*10.8</f>
        <v>378</v>
      </c>
      <c r="D73" s="90" t="s">
        <v>177</v>
      </c>
      <c r="E73" s="91"/>
      <c r="F73" s="91"/>
      <c r="G73" s="91"/>
      <c r="H73" s="91"/>
      <c r="I73" s="91"/>
      <c r="J73" s="91"/>
      <c r="K73" s="91"/>
      <c r="L73" s="91"/>
      <c r="M73" s="91"/>
    </row>
    <row r="74" customFormat="false" ht="17.6" hidden="false" customHeight="false" outlineLevel="0" collapsed="false">
      <c r="A74" s="91" t="s">
        <v>181</v>
      </c>
      <c r="B74" s="90" t="s">
        <v>135</v>
      </c>
      <c r="C74" s="90" t="n">
        <f aca="false">20*10.8</f>
        <v>216</v>
      </c>
      <c r="D74" s="90" t="s">
        <v>177</v>
      </c>
      <c r="E74" s="91"/>
      <c r="F74" s="91"/>
      <c r="G74" s="91"/>
      <c r="H74" s="91"/>
      <c r="I74" s="91"/>
      <c r="J74" s="91"/>
      <c r="K74" s="91"/>
      <c r="L74" s="91"/>
      <c r="M74" s="91"/>
    </row>
    <row r="75" customFormat="false" ht="17.6" hidden="false" customHeight="false" outlineLevel="0" collapsed="false">
      <c r="A75" s="91" t="s">
        <v>182</v>
      </c>
      <c r="B75" s="90" t="s">
        <v>135</v>
      </c>
      <c r="C75" s="90" t="n">
        <f aca="false">25*10.8</f>
        <v>270</v>
      </c>
      <c r="D75" s="90" t="s">
        <v>177</v>
      </c>
      <c r="E75" s="91"/>
      <c r="F75" s="91"/>
      <c r="G75" s="91"/>
      <c r="H75" s="91"/>
      <c r="I75" s="91"/>
      <c r="J75" s="91"/>
      <c r="K75" s="91"/>
      <c r="L75" s="91"/>
      <c r="M75" s="91"/>
    </row>
    <row r="76" customFormat="false" ht="17.6" hidden="false" customHeight="false" outlineLevel="0" collapsed="false">
      <c r="A76" s="91" t="s">
        <v>183</v>
      </c>
      <c r="B76" s="90" t="s">
        <v>135</v>
      </c>
      <c r="C76" s="90" t="n">
        <f aca="false">30*10.8</f>
        <v>324</v>
      </c>
      <c r="D76" s="90" t="s">
        <v>177</v>
      </c>
      <c r="E76" s="91"/>
      <c r="F76" s="91"/>
      <c r="G76" s="91"/>
      <c r="H76" s="91"/>
      <c r="I76" s="91"/>
      <c r="J76" s="91"/>
      <c r="K76" s="91"/>
      <c r="L76" s="91"/>
      <c r="M76" s="91"/>
    </row>
    <row r="77" customFormat="false" ht="17.6" hidden="false" customHeight="false" outlineLevel="0" collapsed="false">
      <c r="A77" s="91" t="s">
        <v>184</v>
      </c>
      <c r="B77" s="90" t="s">
        <v>135</v>
      </c>
      <c r="C77" s="90" t="n">
        <f aca="false">40*10.8</f>
        <v>432</v>
      </c>
      <c r="D77" s="90" t="s">
        <v>177</v>
      </c>
      <c r="E77" s="91"/>
      <c r="F77" s="91"/>
      <c r="G77" s="91"/>
      <c r="H77" s="91"/>
      <c r="I77" s="91"/>
      <c r="J77" s="91"/>
      <c r="K77" s="91"/>
      <c r="L77" s="91"/>
      <c r="M77" s="91"/>
    </row>
    <row r="78" customFormat="false" ht="17.6" hidden="false" customHeight="false" outlineLevel="0" collapsed="false">
      <c r="A78" s="91" t="s">
        <v>185</v>
      </c>
      <c r="B78" s="90" t="s">
        <v>186</v>
      </c>
      <c r="C78" s="90" t="n">
        <v>500</v>
      </c>
      <c r="D78" s="90" t="s">
        <v>187</v>
      </c>
      <c r="E78" s="91"/>
      <c r="F78" s="91"/>
      <c r="G78" s="91"/>
      <c r="H78" s="91"/>
      <c r="I78" s="91"/>
      <c r="J78" s="91"/>
      <c r="K78" s="91"/>
      <c r="L78" s="91"/>
      <c r="M78" s="91"/>
    </row>
    <row r="79" customFormat="false" ht="17.6" hidden="false" customHeight="false" outlineLevel="0" collapsed="false">
      <c r="A79" s="91" t="s">
        <v>188</v>
      </c>
      <c r="B79" s="90" t="s">
        <v>135</v>
      </c>
      <c r="C79" s="90" t="n">
        <f aca="false">16*20</f>
        <v>320</v>
      </c>
      <c r="D79" s="90" t="s">
        <v>177</v>
      </c>
      <c r="E79" s="91"/>
      <c r="F79" s="91"/>
      <c r="G79" s="91"/>
      <c r="H79" s="91"/>
      <c r="I79" s="91"/>
      <c r="J79" s="91"/>
      <c r="K79" s="91"/>
      <c r="L79" s="91"/>
      <c r="M79" s="91"/>
    </row>
    <row r="80" customFormat="false" ht="17.6" hidden="false" customHeight="false" outlineLevel="0" collapsed="false">
      <c r="A80" s="91" t="s">
        <v>189</v>
      </c>
      <c r="B80" s="90" t="s">
        <v>135</v>
      </c>
      <c r="C80" s="90" t="n">
        <v>640</v>
      </c>
      <c r="D80" s="90" t="s">
        <v>177</v>
      </c>
      <c r="E80" s="91"/>
      <c r="F80" s="91"/>
      <c r="G80" s="91"/>
      <c r="H80" s="91"/>
      <c r="I80" s="91"/>
      <c r="J80" s="91"/>
      <c r="K80" s="91"/>
      <c r="L80" s="91"/>
      <c r="M80" s="91"/>
    </row>
    <row r="81" customFormat="false" ht="17.6" hidden="false" customHeight="false" outlineLevel="0" collapsed="false">
      <c r="A81" s="91" t="s">
        <v>190</v>
      </c>
      <c r="B81" s="90" t="s">
        <v>191</v>
      </c>
      <c r="C81" s="90" t="n">
        <f aca="false">5600*0.9</f>
        <v>5040</v>
      </c>
      <c r="D81" s="90" t="s">
        <v>192</v>
      </c>
      <c r="E81" s="91"/>
      <c r="F81" s="91"/>
      <c r="G81" s="91"/>
      <c r="H81" s="91"/>
      <c r="I81" s="91"/>
      <c r="J81" s="91"/>
      <c r="K81" s="91"/>
      <c r="L81" s="91"/>
      <c r="M81" s="91"/>
    </row>
    <row r="82" customFormat="false" ht="17.6" hidden="false" customHeight="false" outlineLevel="0" collapsed="false">
      <c r="A82" s="91" t="s">
        <v>193</v>
      </c>
      <c r="B82" s="90" t="s">
        <v>194</v>
      </c>
      <c r="C82" s="90" t="n">
        <f aca="false">5400*0.9</f>
        <v>4860</v>
      </c>
      <c r="D82" s="90" t="s">
        <v>192</v>
      </c>
      <c r="E82" s="91"/>
      <c r="F82" s="91"/>
      <c r="G82" s="91"/>
      <c r="H82" s="91"/>
      <c r="I82" s="91"/>
      <c r="J82" s="91"/>
      <c r="K82" s="91"/>
      <c r="L82" s="91"/>
      <c r="M82" s="91"/>
    </row>
    <row r="83" customFormat="false" ht="17.6" hidden="false" customHeight="false" outlineLevel="0" collapsed="false">
      <c r="A83" s="91" t="s">
        <v>195</v>
      </c>
      <c r="B83" s="90" t="s">
        <v>194</v>
      </c>
      <c r="C83" s="90" t="n">
        <f aca="false">10550*0.9</f>
        <v>9495</v>
      </c>
      <c r="D83" s="90" t="s">
        <v>192</v>
      </c>
      <c r="E83" s="91"/>
      <c r="F83" s="91"/>
      <c r="G83" s="91"/>
      <c r="H83" s="91"/>
      <c r="I83" s="91"/>
      <c r="J83" s="91"/>
      <c r="K83" s="91"/>
      <c r="L83" s="91"/>
      <c r="M83" s="91"/>
    </row>
    <row r="84" customFormat="false" ht="17.6" hidden="false" customHeight="false" outlineLevel="0" collapsed="false">
      <c r="A84" s="91" t="s">
        <v>196</v>
      </c>
      <c r="B84" s="90" t="s">
        <v>197</v>
      </c>
      <c r="C84" s="90" t="n">
        <f aca="false">4800*0.9</f>
        <v>4320</v>
      </c>
      <c r="D84" s="90" t="s">
        <v>192</v>
      </c>
      <c r="E84" s="91"/>
      <c r="F84" s="91"/>
      <c r="G84" s="91"/>
      <c r="H84" s="91"/>
      <c r="I84" s="91"/>
      <c r="J84" s="91"/>
      <c r="K84" s="91"/>
      <c r="L84" s="91"/>
      <c r="M84" s="91"/>
    </row>
    <row r="85" customFormat="false" ht="17.6" hidden="false" customHeight="false" outlineLevel="0" collapsed="false">
      <c r="A85" s="91"/>
      <c r="E85" s="91"/>
      <c r="F85" s="91"/>
      <c r="G85" s="91"/>
      <c r="H85" s="91"/>
      <c r="I85" s="91"/>
      <c r="J85" s="91"/>
      <c r="K85" s="91"/>
      <c r="L85" s="91"/>
      <c r="M85" s="91"/>
    </row>
    <row r="86" customFormat="false" ht="17.6" hidden="false" customHeight="false" outlineLevel="0" collapsed="false">
      <c r="A86" s="91" t="s">
        <v>198</v>
      </c>
      <c r="B86" s="90" t="s">
        <v>40</v>
      </c>
      <c r="C86" s="90" t="n">
        <v>557.6</v>
      </c>
      <c r="D86" s="90" t="s">
        <v>199</v>
      </c>
      <c r="E86" s="91"/>
      <c r="F86" s="91"/>
      <c r="G86" s="91"/>
      <c r="H86" s="91"/>
      <c r="I86" s="91"/>
      <c r="J86" s="91"/>
      <c r="K86" s="91"/>
      <c r="L86" s="91"/>
      <c r="M86" s="91"/>
    </row>
    <row r="87" customFormat="false" ht="17.6" hidden="false" customHeight="false" outlineLevel="0" collapsed="false">
      <c r="A87" s="91" t="s">
        <v>200</v>
      </c>
      <c r="B87" s="90" t="s">
        <v>40</v>
      </c>
      <c r="C87" s="90" t="n">
        <f aca="false">557.6+576</f>
        <v>1133.6</v>
      </c>
      <c r="D87" s="90" t="s">
        <v>199</v>
      </c>
      <c r="E87" s="91"/>
      <c r="F87" s="91"/>
      <c r="G87" s="91"/>
      <c r="H87" s="91"/>
      <c r="I87" s="91"/>
      <c r="J87" s="91"/>
      <c r="K87" s="91"/>
      <c r="L87" s="91"/>
      <c r="M87" s="91"/>
    </row>
    <row r="88" customFormat="false" ht="17.6" hidden="false" customHeight="false" outlineLevel="0" collapsed="false">
      <c r="A88" s="91" t="s">
        <v>201</v>
      </c>
      <c r="B88" s="90" t="s">
        <v>40</v>
      </c>
      <c r="C88" s="90" t="n">
        <f aca="false">557.6+576</f>
        <v>1133.6</v>
      </c>
      <c r="D88" s="90" t="s">
        <v>199</v>
      </c>
      <c r="E88" s="91"/>
      <c r="F88" s="91"/>
      <c r="G88" s="91"/>
      <c r="H88" s="91"/>
      <c r="I88" s="91"/>
      <c r="J88" s="91"/>
      <c r="K88" s="91"/>
      <c r="L88" s="91"/>
      <c r="M88" s="91"/>
    </row>
    <row r="89" customFormat="false" ht="17.6" hidden="false" customHeight="false" outlineLevel="0" collapsed="false">
      <c r="A89" s="91" t="s">
        <v>202</v>
      </c>
      <c r="B89" s="90" t="s">
        <v>40</v>
      </c>
      <c r="C89" s="90" t="n">
        <v>785</v>
      </c>
      <c r="D89" s="90" t="s">
        <v>199</v>
      </c>
      <c r="E89" s="91"/>
      <c r="F89" s="95" t="s">
        <v>203</v>
      </c>
      <c r="G89" s="91"/>
      <c r="H89" s="91"/>
      <c r="I89" s="91"/>
      <c r="J89" s="91"/>
      <c r="K89" s="91"/>
      <c r="L89" s="91"/>
      <c r="M89" s="91"/>
    </row>
    <row r="90" customFormat="false" ht="17.6" hidden="false" customHeight="false" outlineLevel="0" collapsed="false">
      <c r="A90" s="91" t="s">
        <v>204</v>
      </c>
      <c r="B90" s="90" t="s">
        <v>40</v>
      </c>
      <c r="C90" s="90" t="n">
        <f aca="false">469+612</f>
        <v>1081</v>
      </c>
      <c r="D90" s="90" t="s">
        <v>199</v>
      </c>
      <c r="E90" s="91"/>
      <c r="F90" s="95" t="s">
        <v>205</v>
      </c>
      <c r="G90" s="91"/>
      <c r="H90" s="91"/>
      <c r="I90" s="91"/>
      <c r="J90" s="91"/>
      <c r="K90" s="91"/>
      <c r="L90" s="91"/>
      <c r="M90" s="91"/>
    </row>
    <row r="91" customFormat="false" ht="17.6" hidden="false" customHeight="false" outlineLevel="0" collapsed="false">
      <c r="A91" s="91" t="s">
        <v>206</v>
      </c>
      <c r="B91" s="90" t="s">
        <v>40</v>
      </c>
      <c r="C91" s="90" t="n">
        <f aca="false">469+612+147.2</f>
        <v>1228.2</v>
      </c>
      <c r="D91" s="90" t="s">
        <v>199</v>
      </c>
      <c r="E91" s="91"/>
      <c r="F91" s="95" t="s">
        <v>207</v>
      </c>
      <c r="G91" s="91"/>
      <c r="H91" s="91"/>
      <c r="I91" s="91"/>
      <c r="J91" s="91"/>
      <c r="K91" s="91"/>
      <c r="L91" s="91"/>
      <c r="M91" s="91"/>
    </row>
    <row r="92" customFormat="false" ht="17.6" hidden="false" customHeight="false" outlineLevel="0" collapsed="false">
      <c r="A92" s="91" t="s">
        <v>208</v>
      </c>
      <c r="B92" s="90" t="s">
        <v>40</v>
      </c>
      <c r="C92" s="90" t="n">
        <f aca="false">608+612</f>
        <v>1220</v>
      </c>
      <c r="D92" s="90" t="s">
        <v>199</v>
      </c>
      <c r="E92" s="91"/>
      <c r="F92" s="95" t="s">
        <v>209</v>
      </c>
      <c r="G92" s="91"/>
      <c r="H92" s="91"/>
      <c r="I92" s="91"/>
      <c r="J92" s="91"/>
      <c r="K92" s="91"/>
      <c r="L92" s="91"/>
      <c r="M92" s="91"/>
    </row>
    <row r="93" customFormat="false" ht="17.6" hidden="false" customHeight="false" outlineLevel="0" collapsed="false">
      <c r="A93" s="91" t="s">
        <v>210</v>
      </c>
      <c r="B93" s="90" t="s">
        <v>40</v>
      </c>
      <c r="C93" s="90" t="n">
        <f aca="false">608+612+147.2</f>
        <v>1367.2</v>
      </c>
      <c r="D93" s="90" t="s">
        <v>199</v>
      </c>
      <c r="E93" s="91"/>
      <c r="F93" s="95" t="s">
        <v>211</v>
      </c>
      <c r="G93" s="91"/>
      <c r="H93" s="91"/>
      <c r="I93" s="91"/>
      <c r="J93" s="91"/>
      <c r="K93" s="91"/>
      <c r="L93" s="91"/>
      <c r="M93" s="91"/>
    </row>
    <row r="94" customFormat="false" ht="17.6" hidden="false" customHeight="false" outlineLevel="0" collapsed="false">
      <c r="A94" s="91" t="s">
        <v>212</v>
      </c>
      <c r="B94" s="90" t="s">
        <v>40</v>
      </c>
      <c r="C94" s="90" t="n">
        <v>469.6</v>
      </c>
      <c r="D94" s="90" t="s">
        <v>199</v>
      </c>
      <c r="E94" s="91"/>
      <c r="F94" s="91"/>
      <c r="G94" s="91"/>
      <c r="H94" s="91"/>
      <c r="I94" s="91"/>
      <c r="J94" s="91"/>
      <c r="K94" s="91"/>
      <c r="L94" s="91"/>
      <c r="M94" s="91"/>
    </row>
    <row r="95" customFormat="false" ht="17.6" hidden="false" customHeight="false" outlineLevel="0" collapsed="false">
      <c r="A95" s="91" t="s">
        <v>213</v>
      </c>
      <c r="B95" s="90" t="s">
        <v>40</v>
      </c>
      <c r="C95" s="90" t="n">
        <v>469.6</v>
      </c>
      <c r="D95" s="90" t="s">
        <v>199</v>
      </c>
      <c r="E95" s="91"/>
      <c r="F95" s="91"/>
      <c r="G95" s="91"/>
      <c r="H95" s="91"/>
      <c r="I95" s="91"/>
      <c r="J95" s="91"/>
      <c r="K95" s="91"/>
      <c r="L95" s="91"/>
      <c r="M95" s="91"/>
    </row>
    <row r="96" customFormat="false" ht="17.6" hidden="false" customHeight="false" outlineLevel="0" collapsed="false">
      <c r="A96" s="91" t="s">
        <v>214</v>
      </c>
      <c r="B96" s="90" t="s">
        <v>40</v>
      </c>
      <c r="C96" s="90" t="n">
        <f aca="false">805.6+992</f>
        <v>1797.6</v>
      </c>
      <c r="D96" s="90" t="s">
        <v>199</v>
      </c>
      <c r="E96" s="91"/>
      <c r="F96" s="91"/>
      <c r="G96" s="91"/>
      <c r="H96" s="91"/>
      <c r="I96" s="91"/>
      <c r="J96" s="91"/>
      <c r="K96" s="91"/>
      <c r="L96" s="91"/>
      <c r="M96" s="91"/>
    </row>
    <row r="97" customFormat="false" ht="17.6" hidden="false" customHeight="false" outlineLevel="0" collapsed="false">
      <c r="A97" s="91" t="s">
        <v>215</v>
      </c>
      <c r="B97" s="90" t="s">
        <v>40</v>
      </c>
      <c r="C97" s="90" t="n">
        <f aca="false">1360.8+992</f>
        <v>2352.8</v>
      </c>
      <c r="D97" s="90" t="s">
        <v>199</v>
      </c>
      <c r="E97" s="91"/>
      <c r="F97" s="91"/>
      <c r="G97" s="91"/>
      <c r="H97" s="91"/>
      <c r="I97" s="91"/>
      <c r="J97" s="91"/>
      <c r="K97" s="91"/>
      <c r="L97" s="91"/>
      <c r="M97" s="91"/>
    </row>
    <row r="98" customFormat="false" ht="17.6" hidden="false" customHeight="false" outlineLevel="0" collapsed="false">
      <c r="A98" s="91" t="s">
        <v>216</v>
      </c>
      <c r="B98" s="90" t="s">
        <v>40</v>
      </c>
      <c r="C98" s="90" t="n">
        <f aca="false">1360.8+992</f>
        <v>2352.8</v>
      </c>
      <c r="D98" s="90" t="s">
        <v>199</v>
      </c>
      <c r="E98" s="91"/>
      <c r="F98" s="91"/>
      <c r="G98" s="91"/>
      <c r="H98" s="91"/>
      <c r="I98" s="91"/>
      <c r="J98" s="91"/>
      <c r="K98" s="91"/>
      <c r="L98" s="91"/>
      <c r="M98" s="91"/>
    </row>
    <row r="99" customFormat="false" ht="17.6" hidden="false" customHeight="false" outlineLevel="0" collapsed="false">
      <c r="A99" s="91" t="s">
        <v>217</v>
      </c>
      <c r="B99" s="90" t="s">
        <v>40</v>
      </c>
      <c r="C99" s="90" t="n">
        <v>728</v>
      </c>
      <c r="D99" s="90" t="s">
        <v>199</v>
      </c>
      <c r="E99" s="91"/>
      <c r="F99" s="91"/>
      <c r="G99" s="91"/>
      <c r="H99" s="91"/>
      <c r="I99" s="91"/>
      <c r="J99" s="91"/>
      <c r="K99" s="91"/>
      <c r="L99" s="91"/>
      <c r="M99" s="91"/>
    </row>
    <row r="100" customFormat="false" ht="17.6" hidden="false" customHeight="false" outlineLevel="0" collapsed="false">
      <c r="A100" s="91" t="s">
        <v>218</v>
      </c>
      <c r="B100" s="90" t="s">
        <v>40</v>
      </c>
      <c r="C100" s="90" t="n">
        <v>728</v>
      </c>
      <c r="D100" s="90" t="s">
        <v>199</v>
      </c>
      <c r="E100" s="91"/>
      <c r="F100" s="91"/>
      <c r="G100" s="91"/>
      <c r="H100" s="91"/>
      <c r="I100" s="91"/>
      <c r="J100" s="91"/>
      <c r="K100" s="91"/>
      <c r="L100" s="91"/>
      <c r="M100" s="91"/>
    </row>
    <row r="101" customFormat="false" ht="17.6" hidden="false" customHeight="false" outlineLevel="0" collapsed="false">
      <c r="A101" s="91" t="s">
        <v>219</v>
      </c>
      <c r="B101" s="90" t="s">
        <v>40</v>
      </c>
      <c r="C101" s="90" t="n">
        <f aca="false">728+1040.8+147.2</f>
        <v>1916</v>
      </c>
      <c r="D101" s="90" t="s">
        <v>199</v>
      </c>
      <c r="E101" s="91"/>
      <c r="F101" s="95" t="s">
        <v>220</v>
      </c>
      <c r="G101" s="91"/>
      <c r="H101" s="91"/>
      <c r="I101" s="91"/>
      <c r="J101" s="91"/>
      <c r="K101" s="91"/>
      <c r="L101" s="91"/>
      <c r="M101" s="91"/>
    </row>
    <row r="102" customFormat="false" ht="17.6" hidden="false" customHeight="false" outlineLevel="0" collapsed="false">
      <c r="A102" s="91" t="s">
        <v>221</v>
      </c>
      <c r="B102" s="90" t="s">
        <v>40</v>
      </c>
      <c r="C102" s="90" t="n">
        <v>1052</v>
      </c>
      <c r="D102" s="90" t="s">
        <v>199</v>
      </c>
      <c r="E102" s="91"/>
      <c r="F102" s="91"/>
      <c r="G102" s="91"/>
      <c r="H102" s="91"/>
      <c r="I102" s="91"/>
      <c r="J102" s="91"/>
      <c r="K102" s="91"/>
      <c r="L102" s="91"/>
      <c r="M102" s="91"/>
    </row>
    <row r="103" customFormat="false" ht="17.6" hidden="false" customHeight="false" outlineLevel="0" collapsed="false">
      <c r="A103" s="91" t="s">
        <v>222</v>
      </c>
      <c r="B103" s="90" t="s">
        <v>40</v>
      </c>
      <c r="C103" s="90" t="n">
        <v>1052</v>
      </c>
      <c r="D103" s="90" t="s">
        <v>199</v>
      </c>
      <c r="E103" s="91"/>
      <c r="F103" s="91"/>
      <c r="G103" s="91"/>
      <c r="H103" s="91"/>
      <c r="I103" s="91"/>
      <c r="J103" s="91"/>
      <c r="K103" s="91"/>
      <c r="L103" s="91"/>
      <c r="M103" s="91"/>
    </row>
    <row r="104" customFormat="false" ht="17.6" hidden="false" customHeight="false" outlineLevel="0" collapsed="false">
      <c r="A104" s="91" t="s">
        <v>223</v>
      </c>
      <c r="B104" s="90" t="s">
        <v>40</v>
      </c>
      <c r="C104" s="90" t="n">
        <f aca="false">1052+1040.8+147.2</f>
        <v>2240</v>
      </c>
      <c r="D104" s="90" t="s">
        <v>199</v>
      </c>
      <c r="E104" s="91"/>
      <c r="F104" s="95" t="s">
        <v>224</v>
      </c>
      <c r="G104" s="91"/>
      <c r="H104" s="91"/>
      <c r="I104" s="91"/>
      <c r="J104" s="91"/>
      <c r="K104" s="91"/>
      <c r="L104" s="91"/>
      <c r="M104" s="91"/>
    </row>
    <row r="105" customFormat="false" ht="17.6" hidden="false" customHeight="false" outlineLevel="0" collapsed="false">
      <c r="A105" s="91" t="s">
        <v>225</v>
      </c>
      <c r="B105" s="90" t="s">
        <v>40</v>
      </c>
      <c r="C105" s="90" t="n">
        <f aca="false">2578.4+1472</f>
        <v>4050.4</v>
      </c>
      <c r="D105" s="90" t="s">
        <v>199</v>
      </c>
      <c r="E105" s="91"/>
      <c r="F105" s="91"/>
      <c r="G105" s="91"/>
      <c r="H105" s="91"/>
      <c r="I105" s="91"/>
      <c r="J105" s="91"/>
      <c r="K105" s="91"/>
      <c r="L105" s="91"/>
      <c r="M105" s="91"/>
    </row>
    <row r="106" customFormat="false" ht="17.6" hidden="false" customHeight="false" outlineLevel="0" collapsed="false">
      <c r="A106" s="91" t="s">
        <v>226</v>
      </c>
      <c r="B106" s="90" t="s">
        <v>40</v>
      </c>
      <c r="C106" s="90" t="n">
        <f aca="false">2578.4+1664.8+147.2</f>
        <v>4390.4</v>
      </c>
      <c r="D106" s="90" t="s">
        <v>199</v>
      </c>
      <c r="E106" s="91"/>
      <c r="F106" s="95" t="s">
        <v>227</v>
      </c>
      <c r="G106" s="91"/>
      <c r="H106" s="91"/>
      <c r="I106" s="91"/>
      <c r="J106" s="91"/>
      <c r="K106" s="91"/>
      <c r="L106" s="91"/>
      <c r="M106" s="91"/>
    </row>
    <row r="107" customFormat="false" ht="17.6" hidden="false" customHeight="false" outlineLevel="0" collapsed="false">
      <c r="A107" s="91" t="s">
        <v>228</v>
      </c>
      <c r="B107" s="90" t="s">
        <v>40</v>
      </c>
      <c r="C107" s="90" t="n">
        <v>2163.2</v>
      </c>
      <c r="D107" s="90" t="s">
        <v>199</v>
      </c>
      <c r="E107" s="91"/>
      <c r="F107" s="91"/>
      <c r="G107" s="91"/>
      <c r="H107" s="91"/>
      <c r="I107" s="91"/>
      <c r="J107" s="91"/>
      <c r="K107" s="91"/>
      <c r="L107" s="91"/>
      <c r="M107" s="91"/>
    </row>
    <row r="108" customFormat="false" ht="17.6" hidden="false" customHeight="false" outlineLevel="0" collapsed="false">
      <c r="A108" s="91" t="s">
        <v>229</v>
      </c>
      <c r="B108" s="90" t="s">
        <v>230</v>
      </c>
      <c r="C108" s="90" t="n">
        <v>4000</v>
      </c>
      <c r="D108" s="90" t="s">
        <v>231</v>
      </c>
      <c r="E108" s="91"/>
      <c r="F108" s="91"/>
      <c r="G108" s="91"/>
      <c r="H108" s="91"/>
      <c r="I108" s="91"/>
      <c r="J108" s="91"/>
      <c r="K108" s="91"/>
      <c r="L108" s="91"/>
      <c r="M108" s="91"/>
    </row>
    <row r="109" customFormat="false" ht="17.6" hidden="false" customHeight="false" outlineLevel="0" collapsed="false">
      <c r="A109" s="91" t="s">
        <v>232</v>
      </c>
      <c r="B109" s="90" t="s">
        <v>230</v>
      </c>
      <c r="C109" s="90" t="n">
        <v>4000</v>
      </c>
      <c r="D109" s="90" t="s">
        <v>231</v>
      </c>
      <c r="E109" s="91"/>
      <c r="F109" s="91"/>
      <c r="G109" s="91"/>
      <c r="H109" s="91"/>
      <c r="I109" s="91"/>
      <c r="J109" s="91"/>
      <c r="K109" s="91"/>
      <c r="L109" s="91"/>
      <c r="M109" s="91"/>
    </row>
    <row r="110" customFormat="false" ht="17.6" hidden="false" customHeight="false" outlineLevel="0" collapsed="false">
      <c r="A110" s="91" t="s">
        <v>233</v>
      </c>
      <c r="B110" s="90" t="s">
        <v>234</v>
      </c>
      <c r="C110" s="90" t="n">
        <v>20</v>
      </c>
      <c r="D110" s="90" t="s">
        <v>235</v>
      </c>
      <c r="E110" s="91"/>
      <c r="F110" s="91"/>
      <c r="G110" s="91"/>
      <c r="H110" s="91"/>
      <c r="I110" s="91"/>
      <c r="J110" s="91"/>
      <c r="K110" s="91"/>
      <c r="L110" s="91"/>
      <c r="M110" s="91"/>
    </row>
    <row r="111" customFormat="false" ht="17.6" hidden="false" customHeight="false" outlineLevel="0" collapsed="false">
      <c r="A111" s="91" t="s">
        <v>236</v>
      </c>
      <c r="B111" s="90" t="s">
        <v>237</v>
      </c>
      <c r="C111" s="96" t="n">
        <f aca="false">154*0.72</f>
        <v>110.88</v>
      </c>
      <c r="D111" s="90" t="s">
        <v>238</v>
      </c>
      <c r="E111" s="91"/>
      <c r="F111" s="91"/>
      <c r="G111" s="91"/>
      <c r="H111" s="91"/>
      <c r="I111" s="91"/>
      <c r="J111" s="91"/>
      <c r="K111" s="91"/>
      <c r="L111" s="91"/>
      <c r="M111" s="91"/>
    </row>
    <row r="112" customFormat="false" ht="17.6" hidden="false" customHeight="false" outlineLevel="0" collapsed="false">
      <c r="A112" s="91" t="s">
        <v>239</v>
      </c>
      <c r="B112" s="90" t="s">
        <v>162</v>
      </c>
      <c r="C112" s="90" t="n">
        <v>203</v>
      </c>
      <c r="D112" s="91"/>
      <c r="E112" s="91"/>
      <c r="F112" s="91"/>
      <c r="G112" s="91"/>
      <c r="H112" s="91"/>
      <c r="I112" s="91"/>
      <c r="J112" s="91"/>
      <c r="K112" s="91"/>
      <c r="L112" s="91"/>
      <c r="M112" s="91"/>
    </row>
    <row r="113" customFormat="false" ht="17.6" hidden="false" customHeight="false" outlineLevel="0" collapsed="false">
      <c r="A113" s="91" t="s">
        <v>240</v>
      </c>
      <c r="B113" s="90" t="s">
        <v>162</v>
      </c>
      <c r="C113" s="90" t="n">
        <v>84</v>
      </c>
      <c r="D113" s="91"/>
      <c r="E113" s="91"/>
      <c r="F113" s="91"/>
      <c r="G113" s="91"/>
      <c r="H113" s="91"/>
      <c r="I113" s="91"/>
      <c r="J113" s="91"/>
      <c r="K113" s="91"/>
      <c r="L113" s="91"/>
      <c r="M113" s="91"/>
    </row>
    <row r="114" customFormat="false" ht="17.6" hidden="false" customHeight="false" outlineLevel="0" collapsed="false">
      <c r="A114" s="91" t="s">
        <v>241</v>
      </c>
      <c r="B114" s="90" t="s">
        <v>162</v>
      </c>
      <c r="C114" s="90" t="n">
        <v>216</v>
      </c>
      <c r="D114" s="91"/>
      <c r="E114" s="91"/>
      <c r="F114" s="91"/>
      <c r="G114" s="91"/>
      <c r="H114" s="91"/>
      <c r="I114" s="91"/>
      <c r="J114" s="91"/>
      <c r="K114" s="91"/>
      <c r="L114" s="91"/>
      <c r="M114" s="91"/>
    </row>
    <row r="115" customFormat="false" ht="17.6" hidden="false" customHeight="false" outlineLevel="0" collapsed="false">
      <c r="A115" s="91" t="s">
        <v>242</v>
      </c>
      <c r="B115" s="90" t="s">
        <v>162</v>
      </c>
      <c r="C115" s="90" t="n">
        <f aca="false">526*0.7</f>
        <v>368.2</v>
      </c>
      <c r="D115" s="90" t="s">
        <v>243</v>
      </c>
      <c r="E115" s="91"/>
      <c r="F115" s="91"/>
      <c r="G115" s="91"/>
      <c r="H115" s="91"/>
      <c r="I115" s="91"/>
      <c r="J115" s="91"/>
      <c r="K115" s="91"/>
      <c r="L115" s="91"/>
      <c r="M115" s="91"/>
    </row>
    <row r="116" customFormat="false" ht="17.6" hidden="false" customHeight="false" outlineLevel="0" collapsed="false">
      <c r="A116" s="91" t="s">
        <v>244</v>
      </c>
      <c r="B116" s="90" t="s">
        <v>162</v>
      </c>
      <c r="C116" s="90" t="n">
        <f aca="false">657*0.8</f>
        <v>525.6</v>
      </c>
      <c r="D116" s="90" t="s">
        <v>199</v>
      </c>
      <c r="E116" s="91"/>
      <c r="F116" s="91"/>
      <c r="G116" s="91"/>
      <c r="H116" s="91"/>
      <c r="I116" s="91"/>
      <c r="J116" s="91"/>
      <c r="K116" s="91"/>
      <c r="L116" s="91"/>
      <c r="M116" s="91"/>
    </row>
    <row r="117" customFormat="false" ht="17.6" hidden="false" customHeight="false" outlineLevel="0" collapsed="false">
      <c r="A117" s="91" t="s">
        <v>245</v>
      </c>
      <c r="B117" s="90" t="s">
        <v>40</v>
      </c>
      <c r="C117" s="90" t="n">
        <f aca="false">ROUND(E117*G117+F117,0)</f>
        <v>180</v>
      </c>
      <c r="D117" s="90" t="s">
        <v>238</v>
      </c>
      <c r="E117" s="90" t="n">
        <v>250</v>
      </c>
      <c r="F117" s="90" t="n">
        <f aca="false">H117+I117+J117+K117+L117+M117</f>
        <v>0</v>
      </c>
      <c r="G117" s="90" t="n">
        <v>0.72</v>
      </c>
    </row>
    <row r="118" customFormat="false" ht="17.6" hidden="false" customHeight="false" outlineLevel="0" collapsed="false">
      <c r="A118" s="91" t="s">
        <v>246</v>
      </c>
      <c r="B118" s="90" t="s">
        <v>40</v>
      </c>
      <c r="C118" s="90" t="n">
        <f aca="false">ROUND(E118*G118+F118,0)</f>
        <v>180</v>
      </c>
      <c r="D118" s="90" t="s">
        <v>238</v>
      </c>
      <c r="E118" s="90" t="n">
        <v>250</v>
      </c>
      <c r="F118" s="90" t="n">
        <f aca="false">H118+I118+J118+K118+L118+M118</f>
        <v>0</v>
      </c>
      <c r="G118" s="90" t="n">
        <v>0.72</v>
      </c>
    </row>
    <row r="119" customFormat="false" ht="17.6" hidden="false" customHeight="false" outlineLevel="0" collapsed="false">
      <c r="A119" s="91" t="s">
        <v>247</v>
      </c>
      <c r="B119" s="90" t="s">
        <v>40</v>
      </c>
      <c r="C119" s="90" t="n">
        <f aca="false">ROUND(E119*G119+F119,0)</f>
        <v>210</v>
      </c>
      <c r="D119" s="90" t="s">
        <v>238</v>
      </c>
      <c r="E119" s="90" t="n">
        <v>250</v>
      </c>
      <c r="F119" s="90" t="n">
        <f aca="false">H119+I119+J119+K119+L119+M119</f>
        <v>30</v>
      </c>
      <c r="G119" s="90" t="n">
        <v>0.72</v>
      </c>
      <c r="L119" s="90" t="n">
        <v>30</v>
      </c>
    </row>
    <row r="120" customFormat="false" ht="17.6" hidden="false" customHeight="false" outlineLevel="0" collapsed="false">
      <c r="A120" s="91" t="s">
        <v>248</v>
      </c>
      <c r="B120" s="90" t="s">
        <v>40</v>
      </c>
      <c r="C120" s="90" t="n">
        <f aca="false">ROUND(E120*G120+F120,0)</f>
        <v>210</v>
      </c>
      <c r="D120" s="90" t="s">
        <v>238</v>
      </c>
      <c r="E120" s="90" t="n">
        <v>250</v>
      </c>
      <c r="F120" s="90" t="n">
        <f aca="false">H120+I120+J120+K120+L120+M120</f>
        <v>30</v>
      </c>
      <c r="G120" s="90" t="n">
        <v>0.72</v>
      </c>
      <c r="L120" s="90" t="n">
        <v>30</v>
      </c>
    </row>
    <row r="121" customFormat="false" ht="17.6" hidden="false" customHeight="false" outlineLevel="0" collapsed="false">
      <c r="A121" s="91" t="s">
        <v>249</v>
      </c>
      <c r="B121" s="90" t="s">
        <v>40</v>
      </c>
      <c r="C121" s="90" t="n">
        <f aca="false">ROUND(E121*G121+F121,0)</f>
        <v>385</v>
      </c>
      <c r="D121" s="90" t="s">
        <v>238</v>
      </c>
      <c r="E121" s="90" t="n">
        <v>250</v>
      </c>
      <c r="F121" s="90" t="n">
        <f aca="false">H121+I121+J121+K121+L121+M121</f>
        <v>205</v>
      </c>
      <c r="G121" s="90" t="n">
        <v>0.72</v>
      </c>
      <c r="L121" s="90" t="n">
        <v>30</v>
      </c>
      <c r="M121" s="90" t="n">
        <v>175</v>
      </c>
    </row>
    <row r="122" customFormat="false" ht="17.6" hidden="false" customHeight="false" outlineLevel="0" collapsed="false">
      <c r="A122" s="91" t="s">
        <v>250</v>
      </c>
      <c r="B122" s="90" t="s">
        <v>40</v>
      </c>
      <c r="C122" s="90" t="n">
        <f aca="false">ROUND(E122*G122+F122,0)</f>
        <v>210</v>
      </c>
      <c r="D122" s="90" t="s">
        <v>238</v>
      </c>
      <c r="E122" s="90" t="n">
        <v>250</v>
      </c>
      <c r="F122" s="90" t="n">
        <f aca="false">H122+I122+J122+K122+L122+M122</f>
        <v>30</v>
      </c>
      <c r="G122" s="90" t="n">
        <v>0.72</v>
      </c>
      <c r="K122" s="90" t="n">
        <v>30</v>
      </c>
    </row>
    <row r="123" customFormat="false" ht="17.6" hidden="false" customHeight="false" outlineLevel="0" collapsed="false">
      <c r="A123" s="91" t="s">
        <v>251</v>
      </c>
      <c r="B123" s="90" t="s">
        <v>40</v>
      </c>
      <c r="C123" s="90" t="n">
        <f aca="false">ROUND(E123*G123+F123,0)</f>
        <v>210</v>
      </c>
      <c r="D123" s="90" t="s">
        <v>238</v>
      </c>
      <c r="E123" s="90" t="n">
        <v>250</v>
      </c>
      <c r="F123" s="90" t="n">
        <f aca="false">H123+I123+J123+K123+L123+M123</f>
        <v>30</v>
      </c>
      <c r="G123" s="90" t="n">
        <v>0.72</v>
      </c>
      <c r="K123" s="90" t="n">
        <v>30</v>
      </c>
    </row>
    <row r="124" customFormat="false" ht="17.6" hidden="false" customHeight="false" outlineLevel="0" collapsed="false">
      <c r="A124" s="91" t="s">
        <v>252</v>
      </c>
      <c r="B124" s="90" t="s">
        <v>40</v>
      </c>
      <c r="C124" s="90" t="n">
        <f aca="false">ROUND(E124*G124+F124,0)</f>
        <v>385</v>
      </c>
      <c r="D124" s="90" t="s">
        <v>238</v>
      </c>
      <c r="E124" s="90" t="n">
        <v>250</v>
      </c>
      <c r="F124" s="90" t="n">
        <f aca="false">H124+I124+J124+K124+L124+M124</f>
        <v>205</v>
      </c>
      <c r="G124" s="90" t="n">
        <v>0.72</v>
      </c>
      <c r="K124" s="90" t="n">
        <v>30</v>
      </c>
      <c r="M124" s="90" t="n">
        <v>175</v>
      </c>
    </row>
    <row r="125" customFormat="false" ht="17.6" hidden="false" customHeight="false" outlineLevel="0" collapsed="false">
      <c r="A125" s="91" t="s">
        <v>253</v>
      </c>
      <c r="B125" s="90" t="s">
        <v>40</v>
      </c>
      <c r="C125" s="90" t="n">
        <f aca="false">ROUND(E125*G125+F125,0)</f>
        <v>355</v>
      </c>
      <c r="D125" s="90" t="s">
        <v>238</v>
      </c>
      <c r="E125" s="90" t="n">
        <v>250</v>
      </c>
      <c r="F125" s="90" t="n">
        <f aca="false">H125+I125+J125+K125+L125+M125</f>
        <v>175</v>
      </c>
      <c r="G125" s="90" t="n">
        <v>0.72</v>
      </c>
      <c r="M125" s="90" t="n">
        <v>175</v>
      </c>
    </row>
    <row r="126" customFormat="false" ht="17.6" hidden="false" customHeight="false" outlineLevel="0" collapsed="false">
      <c r="A126" s="91" t="s">
        <v>254</v>
      </c>
      <c r="B126" s="90" t="s">
        <v>40</v>
      </c>
      <c r="C126" s="90" t="n">
        <f aca="false">ROUND(E126*G126+F126,0)</f>
        <v>212</v>
      </c>
      <c r="D126" s="90" t="s">
        <v>238</v>
      </c>
      <c r="E126" s="90" t="n">
        <v>250</v>
      </c>
      <c r="F126" s="90" t="n">
        <f aca="false">H126+I126+J126+K126+L126+M126</f>
        <v>32</v>
      </c>
      <c r="G126" s="90" t="n">
        <v>0.72</v>
      </c>
      <c r="J126" s="90" t="n">
        <v>32</v>
      </c>
    </row>
    <row r="127" customFormat="false" ht="17.6" hidden="false" customHeight="false" outlineLevel="0" collapsed="false">
      <c r="A127" s="91" t="s">
        <v>255</v>
      </c>
      <c r="B127" s="90" t="s">
        <v>40</v>
      </c>
      <c r="C127" s="90" t="n">
        <f aca="false">ROUND(E127*G127+F127,0)</f>
        <v>212</v>
      </c>
      <c r="D127" s="90" t="s">
        <v>238</v>
      </c>
      <c r="E127" s="90" t="n">
        <v>250</v>
      </c>
      <c r="F127" s="90" t="n">
        <f aca="false">H127+I127+J127+K127+L127+M127</f>
        <v>32</v>
      </c>
      <c r="G127" s="90" t="n">
        <v>0.72</v>
      </c>
      <c r="J127" s="90" t="n">
        <v>32</v>
      </c>
    </row>
    <row r="128" customFormat="false" ht="17.6" hidden="false" customHeight="false" outlineLevel="0" collapsed="false">
      <c r="A128" s="91" t="s">
        <v>256</v>
      </c>
      <c r="B128" s="90" t="s">
        <v>40</v>
      </c>
      <c r="C128" s="90" t="n">
        <f aca="false">ROUND(E128*G128+F128,0)</f>
        <v>387</v>
      </c>
      <c r="D128" s="90" t="s">
        <v>238</v>
      </c>
      <c r="E128" s="90" t="n">
        <v>250</v>
      </c>
      <c r="F128" s="90" t="n">
        <f aca="false">H128+I128+J128+K128+L128+M128</f>
        <v>207</v>
      </c>
      <c r="G128" s="90" t="n">
        <v>0.72</v>
      </c>
      <c r="J128" s="90" t="n">
        <v>32</v>
      </c>
      <c r="M128" s="90" t="n">
        <v>175</v>
      </c>
    </row>
    <row r="129" customFormat="false" ht="17.6" hidden="false" customHeight="false" outlineLevel="0" collapsed="false">
      <c r="A129" s="91" t="s">
        <v>257</v>
      </c>
      <c r="B129" s="90" t="s">
        <v>40</v>
      </c>
      <c r="C129" s="90" t="n">
        <f aca="false">ROUND(E129*G129+F129,0)</f>
        <v>282</v>
      </c>
      <c r="D129" s="90" t="s">
        <v>238</v>
      </c>
      <c r="E129" s="90" t="n">
        <v>250</v>
      </c>
      <c r="F129" s="90" t="n">
        <f aca="false">H129+I129+J129+K129+L129+M129</f>
        <v>102</v>
      </c>
      <c r="G129" s="90" t="n">
        <v>0.72</v>
      </c>
      <c r="I129" s="90" t="n">
        <v>70</v>
      </c>
      <c r="J129" s="90" t="n">
        <v>32</v>
      </c>
      <c r="K129" s="91"/>
      <c r="L129" s="91"/>
      <c r="M129" s="91"/>
    </row>
    <row r="130" customFormat="false" ht="17.6" hidden="false" customHeight="false" outlineLevel="0" collapsed="false">
      <c r="A130" s="91" t="s">
        <v>258</v>
      </c>
      <c r="B130" s="90" t="s">
        <v>40</v>
      </c>
      <c r="C130" s="90" t="n">
        <f aca="false">ROUND(E130*G130+F130,0)</f>
        <v>282</v>
      </c>
      <c r="D130" s="90" t="s">
        <v>238</v>
      </c>
      <c r="E130" s="90" t="n">
        <v>250</v>
      </c>
      <c r="F130" s="90" t="n">
        <f aca="false">H130+I130+J130+K130+L130+M130</f>
        <v>102</v>
      </c>
      <c r="G130" s="90" t="n">
        <v>0.72</v>
      </c>
      <c r="I130" s="90" t="n">
        <v>70</v>
      </c>
      <c r="J130" s="90" t="n">
        <v>32</v>
      </c>
    </row>
    <row r="131" customFormat="false" ht="17.6" hidden="false" customHeight="false" outlineLevel="0" collapsed="false">
      <c r="A131" s="91" t="s">
        <v>259</v>
      </c>
      <c r="B131" s="90" t="s">
        <v>40</v>
      </c>
      <c r="C131" s="90" t="n">
        <f aca="false">ROUND(E131*G131+F131,0)</f>
        <v>457</v>
      </c>
      <c r="D131" s="90" t="s">
        <v>238</v>
      </c>
      <c r="E131" s="90" t="n">
        <v>250</v>
      </c>
      <c r="F131" s="90" t="n">
        <f aca="false">H131+I131+J131+K131+L131+M131</f>
        <v>277</v>
      </c>
      <c r="G131" s="90" t="n">
        <v>0.72</v>
      </c>
      <c r="I131" s="90" t="n">
        <v>70</v>
      </c>
      <c r="J131" s="90" t="n">
        <v>32</v>
      </c>
      <c r="M131" s="90" t="n">
        <v>175</v>
      </c>
    </row>
    <row r="132" customFormat="false" ht="17.6" hidden="false" customHeight="false" outlineLevel="0" collapsed="false">
      <c r="A132" s="91" t="s">
        <v>260</v>
      </c>
      <c r="B132" s="90" t="s">
        <v>40</v>
      </c>
      <c r="C132" s="90" t="n">
        <f aca="false">ROUND(E132*G132+F132,0)</f>
        <v>432</v>
      </c>
      <c r="D132" s="90" t="s">
        <v>238</v>
      </c>
      <c r="E132" s="90" t="n">
        <v>600</v>
      </c>
      <c r="F132" s="90" t="n">
        <f aca="false">H132+I132+J132+K132+L132+M132</f>
        <v>0</v>
      </c>
      <c r="G132" s="90" t="n">
        <v>0.72</v>
      </c>
    </row>
    <row r="133" customFormat="false" ht="17.6" hidden="false" customHeight="false" outlineLevel="0" collapsed="false">
      <c r="A133" s="91" t="s">
        <v>261</v>
      </c>
      <c r="B133" s="90" t="s">
        <v>40</v>
      </c>
      <c r="C133" s="90" t="n">
        <f aca="false">ROUND(E133*G133+F133,0)</f>
        <v>432</v>
      </c>
      <c r="D133" s="90" t="s">
        <v>238</v>
      </c>
      <c r="E133" s="90" t="n">
        <v>600</v>
      </c>
      <c r="F133" s="90" t="n">
        <f aca="false">H133+I133+J133+K133+L133+M133</f>
        <v>0</v>
      </c>
      <c r="G133" s="90" t="n">
        <v>0.72</v>
      </c>
    </row>
    <row r="134" customFormat="false" ht="17.6" hidden="false" customHeight="false" outlineLevel="0" collapsed="false">
      <c r="A134" s="91" t="s">
        <v>262</v>
      </c>
      <c r="B134" s="90" t="s">
        <v>40</v>
      </c>
      <c r="C134" s="90" t="n">
        <f aca="false">ROUND(E134*G134+F134,0)</f>
        <v>462</v>
      </c>
      <c r="D134" s="90" t="s">
        <v>238</v>
      </c>
      <c r="E134" s="90" t="n">
        <v>600</v>
      </c>
      <c r="F134" s="90" t="n">
        <f aca="false">H134+I134+J134+K134+L134+M134</f>
        <v>30</v>
      </c>
      <c r="G134" s="90" t="n">
        <v>0.72</v>
      </c>
      <c r="L134" s="90" t="n">
        <v>30</v>
      </c>
    </row>
    <row r="135" customFormat="false" ht="17.6" hidden="false" customHeight="false" outlineLevel="0" collapsed="false">
      <c r="A135" s="91" t="s">
        <v>263</v>
      </c>
      <c r="B135" s="90" t="s">
        <v>40</v>
      </c>
      <c r="C135" s="90" t="n">
        <f aca="false">ROUND(E135*G135+F135,0)</f>
        <v>462</v>
      </c>
      <c r="D135" s="90" t="s">
        <v>238</v>
      </c>
      <c r="E135" s="90" t="n">
        <v>600</v>
      </c>
      <c r="F135" s="90" t="n">
        <f aca="false">H135+I135+J135+K135+L135+M135</f>
        <v>30</v>
      </c>
      <c r="G135" s="90" t="n">
        <v>0.72</v>
      </c>
      <c r="L135" s="90" t="n">
        <v>30</v>
      </c>
    </row>
    <row r="136" customFormat="false" ht="17.6" hidden="false" customHeight="false" outlineLevel="0" collapsed="false">
      <c r="A136" s="91" t="s">
        <v>264</v>
      </c>
      <c r="B136" s="90" t="s">
        <v>40</v>
      </c>
      <c r="C136" s="90" t="n">
        <f aca="false">ROUND(E136*G136+F136,0)</f>
        <v>637</v>
      </c>
      <c r="D136" s="90" t="s">
        <v>238</v>
      </c>
      <c r="E136" s="90" t="n">
        <v>600</v>
      </c>
      <c r="F136" s="90" t="n">
        <f aca="false">H136+I136+J136+K136+L136+M136</f>
        <v>205</v>
      </c>
      <c r="G136" s="90" t="n">
        <v>0.72</v>
      </c>
      <c r="L136" s="90" t="n">
        <v>30</v>
      </c>
      <c r="M136" s="90" t="n">
        <v>175</v>
      </c>
    </row>
    <row r="137" customFormat="false" ht="17.6" hidden="false" customHeight="false" outlineLevel="0" collapsed="false">
      <c r="A137" s="91" t="s">
        <v>265</v>
      </c>
      <c r="B137" s="90" t="s">
        <v>40</v>
      </c>
      <c r="C137" s="90" t="n">
        <f aca="false">ROUND(E137*G137+F137,0)</f>
        <v>462</v>
      </c>
      <c r="D137" s="90" t="s">
        <v>238</v>
      </c>
      <c r="E137" s="90" t="n">
        <v>600</v>
      </c>
      <c r="F137" s="90" t="n">
        <f aca="false">H137+I137+J137+K137+L137+M137</f>
        <v>30</v>
      </c>
      <c r="G137" s="90" t="n">
        <v>0.72</v>
      </c>
      <c r="K137" s="90" t="n">
        <v>30</v>
      </c>
    </row>
    <row r="138" customFormat="false" ht="17.6" hidden="false" customHeight="false" outlineLevel="0" collapsed="false">
      <c r="A138" s="91" t="s">
        <v>266</v>
      </c>
      <c r="B138" s="90" t="s">
        <v>40</v>
      </c>
      <c r="C138" s="90" t="n">
        <f aca="false">ROUND(E138*G138+F138,0)</f>
        <v>462</v>
      </c>
      <c r="D138" s="90" t="s">
        <v>238</v>
      </c>
      <c r="E138" s="90" t="n">
        <v>600</v>
      </c>
      <c r="F138" s="90" t="n">
        <f aca="false">H138+I138+J138+K138+L138+M138</f>
        <v>30</v>
      </c>
      <c r="G138" s="90" t="n">
        <v>0.72</v>
      </c>
      <c r="K138" s="90" t="n">
        <v>30</v>
      </c>
    </row>
    <row r="139" customFormat="false" ht="17.6" hidden="false" customHeight="false" outlineLevel="0" collapsed="false">
      <c r="A139" s="91" t="s">
        <v>267</v>
      </c>
      <c r="B139" s="90" t="s">
        <v>40</v>
      </c>
      <c r="C139" s="90" t="n">
        <f aca="false">ROUND(E139*G139+F139,0)</f>
        <v>637</v>
      </c>
      <c r="D139" s="90" t="s">
        <v>238</v>
      </c>
      <c r="E139" s="90" t="n">
        <v>600</v>
      </c>
      <c r="F139" s="90" t="n">
        <f aca="false">H139+I139+J139+K139+L139+M139</f>
        <v>205</v>
      </c>
      <c r="G139" s="90" t="n">
        <v>0.72</v>
      </c>
      <c r="K139" s="90" t="n">
        <v>30</v>
      </c>
      <c r="M139" s="90" t="n">
        <v>175</v>
      </c>
    </row>
    <row r="140" customFormat="false" ht="17.6" hidden="false" customHeight="false" outlineLevel="0" collapsed="false">
      <c r="A140" s="91" t="s">
        <v>268</v>
      </c>
      <c r="B140" s="90" t="s">
        <v>40</v>
      </c>
      <c r="C140" s="90" t="n">
        <f aca="false">ROUND(E140*G140+F140,0)</f>
        <v>607</v>
      </c>
      <c r="D140" s="90" t="s">
        <v>238</v>
      </c>
      <c r="E140" s="90" t="n">
        <v>600</v>
      </c>
      <c r="F140" s="90" t="n">
        <f aca="false">H140+I140+J140+K140+L140+M140</f>
        <v>175</v>
      </c>
      <c r="G140" s="90" t="n">
        <v>0.72</v>
      </c>
      <c r="M140" s="90" t="n">
        <v>175</v>
      </c>
    </row>
    <row r="141" customFormat="false" ht="17.6" hidden="false" customHeight="false" outlineLevel="0" collapsed="false">
      <c r="A141" s="91" t="s">
        <v>269</v>
      </c>
      <c r="B141" s="90" t="s">
        <v>40</v>
      </c>
      <c r="C141" s="90" t="n">
        <f aca="false">ROUND(E141*G141+F141,0)</f>
        <v>464</v>
      </c>
      <c r="D141" s="90" t="s">
        <v>238</v>
      </c>
      <c r="E141" s="90" t="n">
        <v>600</v>
      </c>
      <c r="F141" s="90" t="n">
        <f aca="false">H141+I141+J141+K141+L141+M141</f>
        <v>32</v>
      </c>
      <c r="G141" s="90" t="n">
        <v>0.72</v>
      </c>
      <c r="J141" s="90" t="n">
        <v>32</v>
      </c>
    </row>
    <row r="142" customFormat="false" ht="17.6" hidden="false" customHeight="false" outlineLevel="0" collapsed="false">
      <c r="A142" s="91" t="s">
        <v>270</v>
      </c>
      <c r="B142" s="90" t="s">
        <v>40</v>
      </c>
      <c r="C142" s="90" t="n">
        <f aca="false">ROUND(E142*G142+F142,0)</f>
        <v>464</v>
      </c>
      <c r="D142" s="90" t="s">
        <v>238</v>
      </c>
      <c r="E142" s="90" t="n">
        <v>600</v>
      </c>
      <c r="F142" s="90" t="n">
        <f aca="false">H142+I142+J142+K142+L142+M142</f>
        <v>32</v>
      </c>
      <c r="G142" s="90" t="n">
        <v>0.72</v>
      </c>
      <c r="J142" s="90" t="n">
        <v>32</v>
      </c>
    </row>
    <row r="143" customFormat="false" ht="17.6" hidden="false" customHeight="false" outlineLevel="0" collapsed="false">
      <c r="A143" s="91" t="s">
        <v>271</v>
      </c>
      <c r="B143" s="90" t="s">
        <v>40</v>
      </c>
      <c r="C143" s="90" t="n">
        <f aca="false">ROUND(E143*G143+F143,0)</f>
        <v>639</v>
      </c>
      <c r="D143" s="90" t="s">
        <v>238</v>
      </c>
      <c r="E143" s="90" t="n">
        <v>600</v>
      </c>
      <c r="F143" s="90" t="n">
        <f aca="false">H143+I143+J143+K143+L143+M143</f>
        <v>207</v>
      </c>
      <c r="G143" s="90" t="n">
        <v>0.72</v>
      </c>
      <c r="J143" s="90" t="n">
        <v>32</v>
      </c>
      <c r="M143" s="90" t="n">
        <v>175</v>
      </c>
    </row>
    <row r="144" customFormat="false" ht="17.6" hidden="false" customHeight="false" outlineLevel="0" collapsed="false">
      <c r="A144" s="91" t="s">
        <v>272</v>
      </c>
      <c r="B144" s="90" t="s">
        <v>40</v>
      </c>
      <c r="C144" s="90" t="n">
        <f aca="false">ROUND(E144*G144+F144,0)</f>
        <v>534</v>
      </c>
      <c r="D144" s="90" t="s">
        <v>238</v>
      </c>
      <c r="E144" s="90" t="n">
        <v>600</v>
      </c>
      <c r="F144" s="90" t="n">
        <f aca="false">H144+I144+J144+K144+L144+M144</f>
        <v>102</v>
      </c>
      <c r="G144" s="90" t="n">
        <v>0.72</v>
      </c>
      <c r="I144" s="90" t="n">
        <v>70</v>
      </c>
      <c r="J144" s="90" t="n">
        <v>32</v>
      </c>
      <c r="K144" s="91"/>
      <c r="L144" s="91"/>
      <c r="M144" s="91"/>
    </row>
    <row r="145" customFormat="false" ht="17.6" hidden="false" customHeight="false" outlineLevel="0" collapsed="false">
      <c r="A145" s="91" t="s">
        <v>273</v>
      </c>
      <c r="B145" s="90" t="s">
        <v>40</v>
      </c>
      <c r="C145" s="90" t="n">
        <f aca="false">ROUND(E145*G145+F145,0)</f>
        <v>534</v>
      </c>
      <c r="D145" s="90" t="s">
        <v>238</v>
      </c>
      <c r="E145" s="90" t="n">
        <v>600</v>
      </c>
      <c r="F145" s="90" t="n">
        <f aca="false">H145+I145+J145+K145+L145+M145</f>
        <v>102</v>
      </c>
      <c r="G145" s="90" t="n">
        <v>0.72</v>
      </c>
      <c r="I145" s="90" t="n">
        <v>70</v>
      </c>
      <c r="J145" s="90" t="n">
        <v>32</v>
      </c>
    </row>
    <row r="146" customFormat="false" ht="17.6" hidden="false" customHeight="false" outlineLevel="0" collapsed="false">
      <c r="A146" s="91" t="s">
        <v>274</v>
      </c>
      <c r="B146" s="90" t="s">
        <v>40</v>
      </c>
      <c r="C146" s="90" t="n">
        <f aca="false">ROUND(E146*G146+F146,0)</f>
        <v>709</v>
      </c>
      <c r="D146" s="90" t="s">
        <v>238</v>
      </c>
      <c r="E146" s="90" t="n">
        <v>600</v>
      </c>
      <c r="F146" s="90" t="n">
        <f aca="false">H146+I146+J146+K146+L146+M146</f>
        <v>277</v>
      </c>
      <c r="G146" s="90" t="n">
        <v>0.72</v>
      </c>
      <c r="I146" s="90" t="n">
        <v>70</v>
      </c>
      <c r="J146" s="90" t="n">
        <v>32</v>
      </c>
      <c r="M146" s="90" t="n">
        <v>175</v>
      </c>
    </row>
    <row r="147" customFormat="false" ht="17.6" hidden="false" customHeight="false" outlineLevel="0" collapsed="false">
      <c r="A147" s="91" t="s">
        <v>275</v>
      </c>
      <c r="B147" s="90" t="s">
        <v>40</v>
      </c>
      <c r="C147" s="90" t="n">
        <f aca="false">ROUND(E147*G147+F147,0)</f>
        <v>216</v>
      </c>
      <c r="D147" s="90" t="s">
        <v>238</v>
      </c>
      <c r="E147" s="90" t="n">
        <v>300</v>
      </c>
      <c r="F147" s="90" t="n">
        <f aca="false">H147+I147+J147+K147+L147+M147</f>
        <v>0</v>
      </c>
      <c r="G147" s="90" t="n">
        <v>0.72</v>
      </c>
    </row>
    <row r="148" customFormat="false" ht="17.6" hidden="false" customHeight="false" outlineLevel="0" collapsed="false">
      <c r="A148" s="91" t="s">
        <v>276</v>
      </c>
      <c r="B148" s="90" t="s">
        <v>40</v>
      </c>
      <c r="C148" s="90" t="n">
        <f aca="false">ROUND(E148*G148+F148,0)</f>
        <v>216</v>
      </c>
      <c r="D148" s="90" t="s">
        <v>238</v>
      </c>
      <c r="E148" s="90" t="n">
        <v>300</v>
      </c>
      <c r="F148" s="90" t="n">
        <f aca="false">H148+I148+J148+K148+L148+M148</f>
        <v>0</v>
      </c>
      <c r="G148" s="90" t="n">
        <v>0.72</v>
      </c>
    </row>
    <row r="149" customFormat="false" ht="17.6" hidden="false" customHeight="false" outlineLevel="0" collapsed="false">
      <c r="A149" s="91" t="s">
        <v>277</v>
      </c>
      <c r="B149" s="90" t="s">
        <v>40</v>
      </c>
      <c r="C149" s="90" t="n">
        <f aca="false">ROUND(E149*G149+F149,0)</f>
        <v>246</v>
      </c>
      <c r="D149" s="90" t="s">
        <v>238</v>
      </c>
      <c r="E149" s="90" t="n">
        <v>300</v>
      </c>
      <c r="F149" s="90" t="n">
        <f aca="false">H149+I149+J149+K149+L149+M149</f>
        <v>30</v>
      </c>
      <c r="G149" s="90" t="n">
        <v>0.72</v>
      </c>
      <c r="L149" s="90" t="n">
        <v>30</v>
      </c>
    </row>
    <row r="150" customFormat="false" ht="17.6" hidden="false" customHeight="false" outlineLevel="0" collapsed="false">
      <c r="A150" s="91" t="s">
        <v>278</v>
      </c>
      <c r="B150" s="90" t="s">
        <v>40</v>
      </c>
      <c r="C150" s="90" t="n">
        <f aca="false">ROUND(E150*G150+F150,0)</f>
        <v>246</v>
      </c>
      <c r="D150" s="90" t="s">
        <v>238</v>
      </c>
      <c r="E150" s="90" t="n">
        <v>300</v>
      </c>
      <c r="F150" s="90" t="n">
        <f aca="false">H150+I150+J150+K150+L150+M150</f>
        <v>30</v>
      </c>
      <c r="G150" s="90" t="n">
        <v>0.72</v>
      </c>
      <c r="L150" s="90" t="n">
        <v>30</v>
      </c>
    </row>
    <row r="151" customFormat="false" ht="17.6" hidden="false" customHeight="false" outlineLevel="0" collapsed="false">
      <c r="A151" s="91" t="s">
        <v>279</v>
      </c>
      <c r="B151" s="90" t="s">
        <v>40</v>
      </c>
      <c r="C151" s="90" t="n">
        <f aca="false">ROUND(E151*G151+F151,0)</f>
        <v>421</v>
      </c>
      <c r="D151" s="90" t="s">
        <v>238</v>
      </c>
      <c r="E151" s="90" t="n">
        <v>300</v>
      </c>
      <c r="F151" s="90" t="n">
        <f aca="false">H151+I151+J151+K151+L151+M151</f>
        <v>205</v>
      </c>
      <c r="G151" s="90" t="n">
        <v>0.72</v>
      </c>
      <c r="L151" s="90" t="n">
        <v>30</v>
      </c>
      <c r="M151" s="90" t="n">
        <v>175</v>
      </c>
    </row>
    <row r="152" customFormat="false" ht="17.6" hidden="false" customHeight="false" outlineLevel="0" collapsed="false">
      <c r="A152" s="91" t="s">
        <v>280</v>
      </c>
      <c r="B152" s="90" t="s">
        <v>40</v>
      </c>
      <c r="C152" s="90" t="n">
        <f aca="false">ROUND(E152*G152+F152,0)</f>
        <v>246</v>
      </c>
      <c r="D152" s="90" t="s">
        <v>238</v>
      </c>
      <c r="E152" s="90" t="n">
        <v>300</v>
      </c>
      <c r="F152" s="90" t="n">
        <f aca="false">H152+I152+J152+K152+L152+M152</f>
        <v>30</v>
      </c>
      <c r="G152" s="90" t="n">
        <v>0.72</v>
      </c>
      <c r="K152" s="90" t="n">
        <v>30</v>
      </c>
    </row>
    <row r="153" customFormat="false" ht="17.6" hidden="false" customHeight="false" outlineLevel="0" collapsed="false">
      <c r="A153" s="91" t="s">
        <v>281</v>
      </c>
      <c r="B153" s="90" t="s">
        <v>40</v>
      </c>
      <c r="C153" s="90" t="n">
        <f aca="false">ROUND(E153*G153+F153,0)</f>
        <v>246</v>
      </c>
      <c r="D153" s="90" t="s">
        <v>238</v>
      </c>
      <c r="E153" s="90" t="n">
        <v>300</v>
      </c>
      <c r="F153" s="90" t="n">
        <f aca="false">H153+I153+J153+K153+L153+M153</f>
        <v>30</v>
      </c>
      <c r="G153" s="90" t="n">
        <v>0.72</v>
      </c>
      <c r="K153" s="90" t="n">
        <v>30</v>
      </c>
    </row>
    <row r="154" customFormat="false" ht="17.6" hidden="false" customHeight="false" outlineLevel="0" collapsed="false">
      <c r="A154" s="91" t="s">
        <v>282</v>
      </c>
      <c r="B154" s="90" t="s">
        <v>40</v>
      </c>
      <c r="C154" s="90" t="n">
        <f aca="false">ROUND(E154*G154+F154,0)</f>
        <v>421</v>
      </c>
      <c r="D154" s="90" t="s">
        <v>238</v>
      </c>
      <c r="E154" s="90" t="n">
        <v>300</v>
      </c>
      <c r="F154" s="90" t="n">
        <f aca="false">H154+I154+J154+K154+L154+M154</f>
        <v>205</v>
      </c>
      <c r="G154" s="90" t="n">
        <v>0.72</v>
      </c>
      <c r="K154" s="90" t="n">
        <v>30</v>
      </c>
      <c r="M154" s="90" t="n">
        <v>175</v>
      </c>
    </row>
    <row r="155" customFormat="false" ht="17.6" hidden="false" customHeight="false" outlineLevel="0" collapsed="false">
      <c r="A155" s="91" t="s">
        <v>283</v>
      </c>
      <c r="B155" s="90" t="s">
        <v>40</v>
      </c>
      <c r="C155" s="90" t="n">
        <f aca="false">ROUND(E155*G155+F155,0)</f>
        <v>391</v>
      </c>
      <c r="D155" s="90" t="s">
        <v>238</v>
      </c>
      <c r="E155" s="90" t="n">
        <v>300</v>
      </c>
      <c r="F155" s="90" t="n">
        <f aca="false">H155+I155+J155+K155+L155+M155</f>
        <v>175</v>
      </c>
      <c r="G155" s="90" t="n">
        <v>0.72</v>
      </c>
      <c r="M155" s="90" t="n">
        <v>175</v>
      </c>
    </row>
    <row r="156" customFormat="false" ht="17.6" hidden="false" customHeight="false" outlineLevel="0" collapsed="false">
      <c r="A156" s="91" t="s">
        <v>284</v>
      </c>
      <c r="B156" s="90" t="s">
        <v>40</v>
      </c>
      <c r="C156" s="90" t="n">
        <f aca="false">ROUND(E156*G156+F156,0)</f>
        <v>248</v>
      </c>
      <c r="D156" s="90" t="s">
        <v>238</v>
      </c>
      <c r="E156" s="90" t="n">
        <v>300</v>
      </c>
      <c r="F156" s="90" t="n">
        <f aca="false">H156+I156+J156+K156+L156+M156</f>
        <v>32</v>
      </c>
      <c r="G156" s="90" t="n">
        <v>0.72</v>
      </c>
      <c r="J156" s="90" t="n">
        <v>32</v>
      </c>
    </row>
    <row r="157" customFormat="false" ht="17.6" hidden="false" customHeight="false" outlineLevel="0" collapsed="false">
      <c r="A157" s="91" t="s">
        <v>285</v>
      </c>
      <c r="B157" s="90" t="s">
        <v>40</v>
      </c>
      <c r="C157" s="90" t="n">
        <f aca="false">ROUND(E157*G157+F157,0)</f>
        <v>248</v>
      </c>
      <c r="D157" s="90" t="s">
        <v>238</v>
      </c>
      <c r="E157" s="90" t="n">
        <v>300</v>
      </c>
      <c r="F157" s="90" t="n">
        <f aca="false">H157+I157+J157+K157+L157+M157</f>
        <v>32</v>
      </c>
      <c r="G157" s="90" t="n">
        <v>0.72</v>
      </c>
      <c r="J157" s="90" t="n">
        <v>32</v>
      </c>
    </row>
    <row r="158" customFormat="false" ht="17.6" hidden="false" customHeight="false" outlineLevel="0" collapsed="false">
      <c r="A158" s="91" t="s">
        <v>286</v>
      </c>
      <c r="B158" s="90" t="s">
        <v>40</v>
      </c>
      <c r="C158" s="90" t="n">
        <f aca="false">ROUND(E158*G158+F158,0)</f>
        <v>423</v>
      </c>
      <c r="D158" s="90" t="s">
        <v>238</v>
      </c>
      <c r="E158" s="90" t="n">
        <v>300</v>
      </c>
      <c r="F158" s="90" t="n">
        <f aca="false">H158+I158+J158+K158+L158+M158</f>
        <v>207</v>
      </c>
      <c r="G158" s="90" t="n">
        <v>0.72</v>
      </c>
      <c r="J158" s="90" t="n">
        <v>32</v>
      </c>
      <c r="M158" s="90" t="n">
        <v>175</v>
      </c>
    </row>
    <row r="159" customFormat="false" ht="17.6" hidden="false" customHeight="false" outlineLevel="0" collapsed="false">
      <c r="A159" s="91" t="s">
        <v>287</v>
      </c>
      <c r="B159" s="90" t="s">
        <v>40</v>
      </c>
      <c r="C159" s="90" t="n">
        <f aca="false">ROUND(E159*G159+F159,0)</f>
        <v>318</v>
      </c>
      <c r="D159" s="90" t="s">
        <v>238</v>
      </c>
      <c r="E159" s="90" t="n">
        <v>300</v>
      </c>
      <c r="F159" s="90" t="n">
        <f aca="false">H159+I159+J159+K159+L159+M159</f>
        <v>102</v>
      </c>
      <c r="G159" s="90" t="n">
        <v>0.72</v>
      </c>
      <c r="I159" s="90" t="n">
        <v>70</v>
      </c>
      <c r="J159" s="90" t="n">
        <v>32</v>
      </c>
      <c r="K159" s="91"/>
      <c r="L159" s="91"/>
      <c r="M159" s="91"/>
    </row>
    <row r="160" customFormat="false" ht="17.6" hidden="false" customHeight="false" outlineLevel="0" collapsed="false">
      <c r="A160" s="91" t="s">
        <v>288</v>
      </c>
      <c r="B160" s="90" t="s">
        <v>40</v>
      </c>
      <c r="C160" s="90" t="n">
        <f aca="false">ROUND(E160*G160+F160,0)</f>
        <v>318</v>
      </c>
      <c r="D160" s="90" t="s">
        <v>238</v>
      </c>
      <c r="E160" s="90" t="n">
        <v>300</v>
      </c>
      <c r="F160" s="90" t="n">
        <f aca="false">H160+I160+J160+K160+L160+M160</f>
        <v>102</v>
      </c>
      <c r="G160" s="90" t="n">
        <v>0.72</v>
      </c>
      <c r="I160" s="90" t="n">
        <v>70</v>
      </c>
      <c r="J160" s="90" t="n">
        <v>32</v>
      </c>
    </row>
    <row r="161" customFormat="false" ht="17.6" hidden="false" customHeight="false" outlineLevel="0" collapsed="false">
      <c r="A161" s="91" t="s">
        <v>289</v>
      </c>
      <c r="B161" s="90" t="s">
        <v>40</v>
      </c>
      <c r="C161" s="90" t="n">
        <f aca="false">ROUND(E161*G161+F161,0)</f>
        <v>493</v>
      </c>
      <c r="D161" s="90" t="s">
        <v>238</v>
      </c>
      <c r="E161" s="90" t="n">
        <v>300</v>
      </c>
      <c r="F161" s="90" t="n">
        <f aca="false">H161+I161+J161+K161+L161+M161</f>
        <v>277</v>
      </c>
      <c r="G161" s="90" t="n">
        <v>0.72</v>
      </c>
      <c r="I161" s="90" t="n">
        <v>70</v>
      </c>
      <c r="J161" s="90" t="n">
        <v>32</v>
      </c>
      <c r="M161" s="90" t="n">
        <v>175</v>
      </c>
    </row>
    <row r="162" customFormat="false" ht="17.6" hidden="false" customHeight="false" outlineLevel="0" collapsed="false">
      <c r="A162" s="91" t="s">
        <v>290</v>
      </c>
      <c r="B162" s="90" t="s">
        <v>40</v>
      </c>
      <c r="C162" s="90" t="n">
        <f aca="false">ROUND(E162*G162+F162,0)</f>
        <v>324</v>
      </c>
      <c r="D162" s="90" t="s">
        <v>238</v>
      </c>
      <c r="E162" s="90" t="n">
        <v>450</v>
      </c>
      <c r="F162" s="90" t="n">
        <f aca="false">H162+I162+J162+K162+L162+M162</f>
        <v>0</v>
      </c>
      <c r="G162" s="90" t="n">
        <v>0.72</v>
      </c>
    </row>
    <row r="163" customFormat="false" ht="17.6" hidden="false" customHeight="false" outlineLevel="0" collapsed="false">
      <c r="A163" s="91" t="s">
        <v>291</v>
      </c>
      <c r="B163" s="90" t="s">
        <v>40</v>
      </c>
      <c r="C163" s="90" t="n">
        <f aca="false">ROUND(E163*G163+F163,0)</f>
        <v>324</v>
      </c>
      <c r="D163" s="90" t="s">
        <v>238</v>
      </c>
      <c r="E163" s="90" t="n">
        <v>450</v>
      </c>
      <c r="F163" s="90" t="n">
        <f aca="false">H163+I163+J163+K163+L163+M163</f>
        <v>0</v>
      </c>
      <c r="G163" s="90" t="n">
        <v>0.72</v>
      </c>
    </row>
    <row r="164" customFormat="false" ht="17.6" hidden="false" customHeight="false" outlineLevel="0" collapsed="false">
      <c r="A164" s="91" t="s">
        <v>292</v>
      </c>
      <c r="B164" s="90" t="s">
        <v>40</v>
      </c>
      <c r="C164" s="90" t="n">
        <f aca="false">ROUND(E164*G164+F164,0)</f>
        <v>354</v>
      </c>
      <c r="D164" s="90" t="s">
        <v>238</v>
      </c>
      <c r="E164" s="90" t="n">
        <v>450</v>
      </c>
      <c r="F164" s="90" t="n">
        <f aca="false">H164+I164+J164+K164+L164+M164</f>
        <v>30</v>
      </c>
      <c r="G164" s="90" t="n">
        <v>0.72</v>
      </c>
      <c r="L164" s="90" t="n">
        <v>30</v>
      </c>
    </row>
    <row r="165" customFormat="false" ht="17.6" hidden="false" customHeight="false" outlineLevel="0" collapsed="false">
      <c r="A165" s="91" t="s">
        <v>293</v>
      </c>
      <c r="B165" s="90" t="s">
        <v>40</v>
      </c>
      <c r="C165" s="90" t="n">
        <f aca="false">ROUND(E165*G165+F165,0)</f>
        <v>354</v>
      </c>
      <c r="D165" s="90" t="s">
        <v>238</v>
      </c>
      <c r="E165" s="90" t="n">
        <v>450</v>
      </c>
      <c r="F165" s="90" t="n">
        <f aca="false">H165+I165+J165+K165+L165+M165</f>
        <v>30</v>
      </c>
      <c r="G165" s="90" t="n">
        <v>0.72</v>
      </c>
      <c r="L165" s="90" t="n">
        <v>30</v>
      </c>
    </row>
    <row r="166" customFormat="false" ht="17.6" hidden="false" customHeight="false" outlineLevel="0" collapsed="false">
      <c r="A166" s="91" t="s">
        <v>294</v>
      </c>
      <c r="B166" s="90" t="s">
        <v>40</v>
      </c>
      <c r="C166" s="90" t="n">
        <f aca="false">ROUND(E166*G166+F166,0)</f>
        <v>529</v>
      </c>
      <c r="D166" s="90" t="s">
        <v>238</v>
      </c>
      <c r="E166" s="90" t="n">
        <v>450</v>
      </c>
      <c r="F166" s="90" t="n">
        <f aca="false">H166+I166+J166+K166+L166+M166</f>
        <v>205</v>
      </c>
      <c r="G166" s="90" t="n">
        <v>0.72</v>
      </c>
      <c r="L166" s="90" t="n">
        <v>30</v>
      </c>
      <c r="M166" s="90" t="n">
        <v>175</v>
      </c>
    </row>
    <row r="167" customFormat="false" ht="17.6" hidden="false" customHeight="false" outlineLevel="0" collapsed="false">
      <c r="A167" s="91" t="s">
        <v>295</v>
      </c>
      <c r="B167" s="90" t="s">
        <v>40</v>
      </c>
      <c r="C167" s="90" t="n">
        <f aca="false">ROUND(E167*G167+F167,0)</f>
        <v>354</v>
      </c>
      <c r="D167" s="90" t="s">
        <v>238</v>
      </c>
      <c r="E167" s="90" t="n">
        <v>450</v>
      </c>
      <c r="F167" s="90" t="n">
        <f aca="false">H167+I167+J167+K167+L167+M167</f>
        <v>30</v>
      </c>
      <c r="G167" s="90" t="n">
        <v>0.72</v>
      </c>
      <c r="K167" s="90" t="n">
        <v>30</v>
      </c>
    </row>
    <row r="168" customFormat="false" ht="17.6" hidden="false" customHeight="false" outlineLevel="0" collapsed="false">
      <c r="A168" s="91" t="s">
        <v>296</v>
      </c>
      <c r="B168" s="90" t="s">
        <v>40</v>
      </c>
      <c r="C168" s="90" t="n">
        <f aca="false">ROUND(E168*G168+F168,0)</f>
        <v>354</v>
      </c>
      <c r="D168" s="90" t="s">
        <v>238</v>
      </c>
      <c r="E168" s="90" t="n">
        <v>450</v>
      </c>
      <c r="F168" s="90" t="n">
        <f aca="false">H168+I168+J168+K168+L168+M168</f>
        <v>30</v>
      </c>
      <c r="G168" s="90" t="n">
        <v>0.72</v>
      </c>
      <c r="K168" s="90" t="n">
        <v>30</v>
      </c>
    </row>
    <row r="169" customFormat="false" ht="17.6" hidden="false" customHeight="false" outlineLevel="0" collapsed="false">
      <c r="A169" s="91" t="s">
        <v>297</v>
      </c>
      <c r="B169" s="90" t="s">
        <v>40</v>
      </c>
      <c r="C169" s="90" t="n">
        <f aca="false">ROUND(E169*G169+F169,0)</f>
        <v>529</v>
      </c>
      <c r="D169" s="90" t="s">
        <v>238</v>
      </c>
      <c r="E169" s="90" t="n">
        <v>450</v>
      </c>
      <c r="F169" s="90" t="n">
        <f aca="false">H169+I169+J169+K169+L169+M169</f>
        <v>205</v>
      </c>
      <c r="G169" s="90" t="n">
        <v>0.72</v>
      </c>
      <c r="K169" s="90" t="n">
        <v>30</v>
      </c>
      <c r="M169" s="90" t="n">
        <v>175</v>
      </c>
    </row>
    <row r="170" customFormat="false" ht="17.6" hidden="false" customHeight="false" outlineLevel="0" collapsed="false">
      <c r="A170" s="91" t="s">
        <v>298</v>
      </c>
      <c r="B170" s="90" t="s">
        <v>40</v>
      </c>
      <c r="C170" s="90" t="n">
        <f aca="false">ROUND(E170*G170+F170,0)</f>
        <v>499</v>
      </c>
      <c r="D170" s="90" t="s">
        <v>238</v>
      </c>
      <c r="E170" s="90" t="n">
        <v>450</v>
      </c>
      <c r="F170" s="90" t="n">
        <f aca="false">H170+I170+J170+K170+L170+M170</f>
        <v>175</v>
      </c>
      <c r="G170" s="90" t="n">
        <v>0.72</v>
      </c>
      <c r="M170" s="90" t="n">
        <v>175</v>
      </c>
    </row>
    <row r="171" customFormat="false" ht="17.6" hidden="false" customHeight="false" outlineLevel="0" collapsed="false">
      <c r="A171" s="91" t="s">
        <v>299</v>
      </c>
      <c r="B171" s="90" t="s">
        <v>40</v>
      </c>
      <c r="C171" s="90" t="n">
        <f aca="false">ROUND(E171*G171+F171,0)</f>
        <v>356</v>
      </c>
      <c r="D171" s="90" t="s">
        <v>238</v>
      </c>
      <c r="E171" s="90" t="n">
        <v>450</v>
      </c>
      <c r="F171" s="90" t="n">
        <f aca="false">H171+I171+J171+K171+L171+M171</f>
        <v>32</v>
      </c>
      <c r="G171" s="90" t="n">
        <v>0.72</v>
      </c>
      <c r="J171" s="90" t="n">
        <v>32</v>
      </c>
    </row>
    <row r="172" customFormat="false" ht="17.6" hidden="false" customHeight="false" outlineLevel="0" collapsed="false">
      <c r="A172" s="91" t="s">
        <v>300</v>
      </c>
      <c r="B172" s="90" t="s">
        <v>40</v>
      </c>
      <c r="C172" s="90" t="n">
        <f aca="false">ROUND(E172*G172+F172,0)</f>
        <v>356</v>
      </c>
      <c r="D172" s="90" t="s">
        <v>238</v>
      </c>
      <c r="E172" s="90" t="n">
        <v>450</v>
      </c>
      <c r="F172" s="90" t="n">
        <f aca="false">H172+I172+J172+K172+L172+M172</f>
        <v>32</v>
      </c>
      <c r="G172" s="90" t="n">
        <v>0.72</v>
      </c>
      <c r="J172" s="90" t="n">
        <v>32</v>
      </c>
    </row>
    <row r="173" customFormat="false" ht="17.6" hidden="false" customHeight="false" outlineLevel="0" collapsed="false">
      <c r="A173" s="91" t="s">
        <v>301</v>
      </c>
      <c r="B173" s="90" t="s">
        <v>40</v>
      </c>
      <c r="C173" s="90" t="n">
        <f aca="false">ROUND(E173*G173+F173,0)</f>
        <v>531</v>
      </c>
      <c r="D173" s="90" t="s">
        <v>238</v>
      </c>
      <c r="E173" s="90" t="n">
        <v>450</v>
      </c>
      <c r="F173" s="90" t="n">
        <f aca="false">H173+I173+J173+K173+L173+M173</f>
        <v>207</v>
      </c>
      <c r="G173" s="90" t="n">
        <v>0.72</v>
      </c>
      <c r="J173" s="90" t="n">
        <v>32</v>
      </c>
      <c r="M173" s="90" t="n">
        <v>175</v>
      </c>
    </row>
    <row r="174" customFormat="false" ht="17.6" hidden="false" customHeight="false" outlineLevel="0" collapsed="false">
      <c r="A174" s="91" t="s">
        <v>302</v>
      </c>
      <c r="B174" s="90" t="s">
        <v>40</v>
      </c>
      <c r="C174" s="90" t="n">
        <f aca="false">ROUND(E174*G174+F174,0)</f>
        <v>426</v>
      </c>
      <c r="D174" s="90" t="s">
        <v>238</v>
      </c>
      <c r="E174" s="90" t="n">
        <v>450</v>
      </c>
      <c r="F174" s="90" t="n">
        <f aca="false">H174+I174+J174+K174+L174+M174</f>
        <v>102</v>
      </c>
      <c r="G174" s="90" t="n">
        <v>0.72</v>
      </c>
      <c r="I174" s="90" t="n">
        <v>70</v>
      </c>
      <c r="J174" s="90" t="n">
        <v>32</v>
      </c>
      <c r="K174" s="91"/>
      <c r="L174" s="91"/>
      <c r="M174" s="91"/>
    </row>
    <row r="175" customFormat="false" ht="17.6" hidden="false" customHeight="false" outlineLevel="0" collapsed="false">
      <c r="A175" s="91" t="s">
        <v>303</v>
      </c>
      <c r="B175" s="90" t="s">
        <v>40</v>
      </c>
      <c r="C175" s="90" t="n">
        <f aca="false">ROUND(E175*G175+F175,0)</f>
        <v>426</v>
      </c>
      <c r="D175" s="90" t="s">
        <v>238</v>
      </c>
      <c r="E175" s="90" t="n">
        <v>450</v>
      </c>
      <c r="F175" s="90" t="n">
        <f aca="false">H175+I175+J175+K175+L175+M175</f>
        <v>102</v>
      </c>
      <c r="G175" s="90" t="n">
        <v>0.72</v>
      </c>
      <c r="I175" s="90" t="n">
        <v>70</v>
      </c>
      <c r="J175" s="90" t="n">
        <v>32</v>
      </c>
    </row>
    <row r="176" customFormat="false" ht="17.6" hidden="false" customHeight="false" outlineLevel="0" collapsed="false">
      <c r="A176" s="91" t="s">
        <v>304</v>
      </c>
      <c r="B176" s="90" t="s">
        <v>40</v>
      </c>
      <c r="C176" s="90" t="n">
        <f aca="false">ROUND(E176*G176+F176,0)</f>
        <v>601</v>
      </c>
      <c r="D176" s="90" t="s">
        <v>238</v>
      </c>
      <c r="E176" s="90" t="n">
        <v>450</v>
      </c>
      <c r="F176" s="90" t="n">
        <f aca="false">H176+I176+J176+K176+L176+M176</f>
        <v>277</v>
      </c>
      <c r="G176" s="90" t="n">
        <v>0.72</v>
      </c>
      <c r="I176" s="90" t="n">
        <v>70</v>
      </c>
      <c r="J176" s="90" t="n">
        <v>32</v>
      </c>
      <c r="M176" s="90" t="n">
        <v>175</v>
      </c>
    </row>
    <row r="177" customFormat="false" ht="17.6" hidden="false" customHeight="false" outlineLevel="0" collapsed="false">
      <c r="A177" s="91" t="s">
        <v>305</v>
      </c>
      <c r="B177" s="90" t="s">
        <v>40</v>
      </c>
      <c r="C177" s="90" t="n">
        <f aca="false">ROUND(E177*G177+F177,0)</f>
        <v>385</v>
      </c>
      <c r="D177" s="90" t="s">
        <v>238</v>
      </c>
      <c r="E177" s="90" t="n">
        <v>500</v>
      </c>
      <c r="F177" s="90" t="n">
        <f aca="false">H177+I177+J177+K177+L177+M177</f>
        <v>25</v>
      </c>
      <c r="G177" s="90" t="n">
        <v>0.72</v>
      </c>
      <c r="H177" s="90" t="n">
        <v>25</v>
      </c>
    </row>
    <row r="178" customFormat="false" ht="17.6" hidden="false" customHeight="false" outlineLevel="0" collapsed="false">
      <c r="A178" s="91" t="s">
        <v>306</v>
      </c>
      <c r="B178" s="90" t="s">
        <v>40</v>
      </c>
      <c r="C178" s="90" t="n">
        <f aca="false">ROUND(E178*G178+F178,0)</f>
        <v>360</v>
      </c>
      <c r="D178" s="90" t="s">
        <v>238</v>
      </c>
      <c r="E178" s="90" t="n">
        <v>500</v>
      </c>
      <c r="F178" s="90" t="n">
        <f aca="false">H178+I178+J178+K178+L178+M178</f>
        <v>0</v>
      </c>
      <c r="G178" s="90" t="n">
        <v>0.72</v>
      </c>
    </row>
    <row r="179" customFormat="false" ht="17.6" hidden="false" customHeight="false" outlineLevel="0" collapsed="false">
      <c r="A179" s="91" t="s">
        <v>307</v>
      </c>
      <c r="B179" s="90" t="s">
        <v>40</v>
      </c>
      <c r="C179" s="90" t="n">
        <f aca="false">ROUND(E179*G179+F179,0)</f>
        <v>415</v>
      </c>
      <c r="D179" s="90" t="s">
        <v>238</v>
      </c>
      <c r="E179" s="90" t="n">
        <v>500</v>
      </c>
      <c r="F179" s="90" t="n">
        <f aca="false">H179+I179+J179+K179+L179+M179</f>
        <v>55</v>
      </c>
      <c r="G179" s="90" t="n">
        <v>0.72</v>
      </c>
      <c r="H179" s="90" t="n">
        <v>25</v>
      </c>
      <c r="L179" s="90" t="n">
        <v>30</v>
      </c>
    </row>
    <row r="180" customFormat="false" ht="17.6" hidden="false" customHeight="false" outlineLevel="0" collapsed="false">
      <c r="A180" s="91" t="s">
        <v>308</v>
      </c>
      <c r="B180" s="90" t="s">
        <v>40</v>
      </c>
      <c r="C180" s="90" t="n">
        <f aca="false">ROUND(E180*G180+F180,0)</f>
        <v>390</v>
      </c>
      <c r="D180" s="90" t="s">
        <v>238</v>
      </c>
      <c r="E180" s="90" t="n">
        <v>500</v>
      </c>
      <c r="F180" s="90" t="n">
        <f aca="false">H180+I180+J180+K180+L180+M180</f>
        <v>30</v>
      </c>
      <c r="G180" s="90" t="n">
        <v>0.72</v>
      </c>
      <c r="L180" s="90" t="n">
        <v>30</v>
      </c>
    </row>
    <row r="181" customFormat="false" ht="17.6" hidden="false" customHeight="false" outlineLevel="0" collapsed="false">
      <c r="A181" s="91" t="s">
        <v>309</v>
      </c>
      <c r="B181" s="90" t="s">
        <v>40</v>
      </c>
      <c r="C181" s="90" t="n">
        <f aca="false">ROUND(E181*G181+F181,0)</f>
        <v>586</v>
      </c>
      <c r="D181" s="90" t="s">
        <v>238</v>
      </c>
      <c r="E181" s="90" t="n">
        <v>500</v>
      </c>
      <c r="F181" s="90" t="n">
        <f aca="false">H181+I181+J181+K181+L181+M181</f>
        <v>226</v>
      </c>
      <c r="G181" s="90" t="n">
        <v>0.72</v>
      </c>
      <c r="L181" s="90" t="n">
        <v>30</v>
      </c>
      <c r="M181" s="90" t="n">
        <v>196</v>
      </c>
    </row>
    <row r="182" customFormat="false" ht="17.6" hidden="false" customHeight="false" outlineLevel="0" collapsed="false">
      <c r="A182" s="91" t="s">
        <v>310</v>
      </c>
      <c r="B182" s="90" t="s">
        <v>40</v>
      </c>
      <c r="C182" s="90" t="n">
        <f aca="false">ROUND(E182*G182+F182,0)</f>
        <v>417</v>
      </c>
      <c r="D182" s="90" t="s">
        <v>238</v>
      </c>
      <c r="E182" s="90" t="n">
        <v>500</v>
      </c>
      <c r="F182" s="90" t="n">
        <f aca="false">H182+I182+J182+K182+L182+M182</f>
        <v>57</v>
      </c>
      <c r="G182" s="90" t="n">
        <v>0.72</v>
      </c>
      <c r="H182" s="90" t="n">
        <v>25</v>
      </c>
      <c r="K182" s="90" t="n">
        <v>32</v>
      </c>
    </row>
    <row r="183" customFormat="false" ht="17.6" hidden="false" customHeight="false" outlineLevel="0" collapsed="false">
      <c r="A183" s="91" t="s">
        <v>311</v>
      </c>
      <c r="B183" s="90" t="s">
        <v>40</v>
      </c>
      <c r="C183" s="90" t="n">
        <f aca="false">ROUND(E183*G183+F183,0)</f>
        <v>392</v>
      </c>
      <c r="D183" s="90" t="s">
        <v>238</v>
      </c>
      <c r="E183" s="90" t="n">
        <v>500</v>
      </c>
      <c r="F183" s="90" t="n">
        <f aca="false">H183+I183+J183+K183+L183+M183</f>
        <v>32</v>
      </c>
      <c r="G183" s="90" t="n">
        <v>0.72</v>
      </c>
      <c r="K183" s="90" t="n">
        <v>32</v>
      </c>
    </row>
    <row r="184" customFormat="false" ht="17.6" hidden="false" customHeight="false" outlineLevel="0" collapsed="false">
      <c r="A184" s="91" t="s">
        <v>312</v>
      </c>
      <c r="B184" s="90" t="s">
        <v>40</v>
      </c>
      <c r="C184" s="90" t="n">
        <f aca="false">ROUND(E184*G184+F184,0)</f>
        <v>588</v>
      </c>
      <c r="D184" s="90" t="s">
        <v>238</v>
      </c>
      <c r="E184" s="90" t="n">
        <v>500</v>
      </c>
      <c r="F184" s="90" t="n">
        <f aca="false">H184+I184+J184+K184+L184+M184</f>
        <v>228</v>
      </c>
      <c r="G184" s="90" t="n">
        <v>0.72</v>
      </c>
      <c r="K184" s="90" t="n">
        <v>32</v>
      </c>
      <c r="M184" s="90" t="n">
        <v>196</v>
      </c>
    </row>
    <row r="185" customFormat="false" ht="17.6" hidden="false" customHeight="false" outlineLevel="0" collapsed="false">
      <c r="A185" s="91" t="s">
        <v>313</v>
      </c>
      <c r="B185" s="90" t="s">
        <v>40</v>
      </c>
      <c r="C185" s="90" t="n">
        <f aca="false">ROUND(E185*G185+F185,0)</f>
        <v>556</v>
      </c>
      <c r="D185" s="90" t="s">
        <v>238</v>
      </c>
      <c r="E185" s="90" t="n">
        <v>500</v>
      </c>
      <c r="F185" s="90" t="n">
        <f aca="false">H185+I185+J185+K185+L185+M185</f>
        <v>196</v>
      </c>
      <c r="G185" s="90" t="n">
        <v>0.72</v>
      </c>
      <c r="M185" s="90" t="n">
        <v>196</v>
      </c>
    </row>
    <row r="186" customFormat="false" ht="17.6" hidden="false" customHeight="false" outlineLevel="0" collapsed="false">
      <c r="A186" s="91" t="s">
        <v>314</v>
      </c>
      <c r="B186" s="90" t="s">
        <v>40</v>
      </c>
      <c r="C186" s="90" t="n">
        <f aca="false">ROUND(E186*G186+F186,0)</f>
        <v>421</v>
      </c>
      <c r="D186" s="90" t="s">
        <v>238</v>
      </c>
      <c r="E186" s="90" t="n">
        <v>500</v>
      </c>
      <c r="F186" s="90" t="n">
        <f aca="false">H186+I186+J186+K186+L186+M186</f>
        <v>61</v>
      </c>
      <c r="G186" s="90" t="n">
        <v>0.72</v>
      </c>
      <c r="H186" s="90" t="n">
        <v>25</v>
      </c>
      <c r="J186" s="90" t="n">
        <v>36</v>
      </c>
    </row>
    <row r="187" customFormat="false" ht="17.6" hidden="false" customHeight="false" outlineLevel="0" collapsed="false">
      <c r="A187" s="91" t="s">
        <v>315</v>
      </c>
      <c r="B187" s="90" t="s">
        <v>40</v>
      </c>
      <c r="C187" s="90" t="n">
        <f aca="false">ROUND(E187*G187+F187,0)</f>
        <v>396</v>
      </c>
      <c r="D187" s="90" t="s">
        <v>238</v>
      </c>
      <c r="E187" s="90" t="n">
        <v>500</v>
      </c>
      <c r="F187" s="90" t="n">
        <f aca="false">H187+I187+J187+K187+L187+M187</f>
        <v>36</v>
      </c>
      <c r="G187" s="90" t="n">
        <v>0.72</v>
      </c>
      <c r="J187" s="90" t="n">
        <v>36</v>
      </c>
    </row>
    <row r="188" customFormat="false" ht="17.6" hidden="false" customHeight="false" outlineLevel="0" collapsed="false">
      <c r="A188" s="91" t="s">
        <v>316</v>
      </c>
      <c r="B188" s="90" t="s">
        <v>40</v>
      </c>
      <c r="C188" s="90" t="n">
        <f aca="false">ROUND(E188*G188+F188,0)</f>
        <v>592</v>
      </c>
      <c r="D188" s="90" t="s">
        <v>238</v>
      </c>
      <c r="E188" s="90" t="n">
        <v>500</v>
      </c>
      <c r="F188" s="90" t="n">
        <f aca="false">H188+I188+J188+K188+L188+M188</f>
        <v>232</v>
      </c>
      <c r="G188" s="90" t="n">
        <v>0.72</v>
      </c>
      <c r="J188" s="90" t="n">
        <v>36</v>
      </c>
      <c r="M188" s="90" t="n">
        <v>196</v>
      </c>
    </row>
    <row r="189" customFormat="false" ht="17.6" hidden="false" customHeight="false" outlineLevel="0" collapsed="false">
      <c r="A189" s="91" t="s">
        <v>317</v>
      </c>
      <c r="B189" s="90" t="s">
        <v>40</v>
      </c>
      <c r="C189" s="90" t="n">
        <f aca="false">ROUND(E189*G189+F189,0)</f>
        <v>501</v>
      </c>
      <c r="D189" s="90" t="s">
        <v>238</v>
      </c>
      <c r="E189" s="90" t="n">
        <v>500</v>
      </c>
      <c r="F189" s="90" t="n">
        <f aca="false">H189+I189+J189+K189+L189+M189</f>
        <v>141</v>
      </c>
      <c r="G189" s="90" t="n">
        <v>0.72</v>
      </c>
      <c r="H189" s="90" t="n">
        <v>25</v>
      </c>
      <c r="I189" s="90" t="n">
        <v>80</v>
      </c>
      <c r="J189" s="90" t="n">
        <v>36</v>
      </c>
    </row>
    <row r="190" customFormat="false" ht="17.6" hidden="false" customHeight="false" outlineLevel="0" collapsed="false">
      <c r="A190" s="91" t="s">
        <v>318</v>
      </c>
      <c r="B190" s="90" t="s">
        <v>40</v>
      </c>
      <c r="C190" s="90" t="n">
        <f aca="false">ROUND(E190*G190+F190,0)</f>
        <v>476</v>
      </c>
      <c r="D190" s="90" t="s">
        <v>238</v>
      </c>
      <c r="E190" s="90" t="n">
        <v>500</v>
      </c>
      <c r="F190" s="90" t="n">
        <f aca="false">H190+I190+J190+K190+L190+M190</f>
        <v>116</v>
      </c>
      <c r="G190" s="90" t="n">
        <v>0.72</v>
      </c>
      <c r="I190" s="90" t="n">
        <v>80</v>
      </c>
      <c r="J190" s="90" t="n">
        <v>36</v>
      </c>
      <c r="O190" s="14" t="n">
        <f aca="false">105500/14</f>
        <v>7535.71428571429</v>
      </c>
    </row>
    <row r="191" customFormat="false" ht="17.6" hidden="false" customHeight="false" outlineLevel="0" collapsed="false">
      <c r="A191" s="91" t="s">
        <v>319</v>
      </c>
      <c r="B191" s="90" t="s">
        <v>40</v>
      </c>
      <c r="C191" s="90" t="n">
        <f aca="false">ROUND(E191*G191+F191,0)</f>
        <v>672</v>
      </c>
      <c r="D191" s="90" t="s">
        <v>238</v>
      </c>
      <c r="E191" s="90" t="n">
        <v>500</v>
      </c>
      <c r="F191" s="90" t="n">
        <f aca="false">H191+I191+J191+K191+L191+M191</f>
        <v>312</v>
      </c>
      <c r="G191" s="90" t="n">
        <v>0.72</v>
      </c>
      <c r="I191" s="90" t="n">
        <v>80</v>
      </c>
      <c r="J191" s="90" t="n">
        <v>36</v>
      </c>
      <c r="M191" s="90" t="n">
        <v>196</v>
      </c>
    </row>
    <row r="192" customFormat="false" ht="17.6" hidden="false" customHeight="false" outlineLevel="0" collapsed="false">
      <c r="A192" s="91" t="s">
        <v>320</v>
      </c>
      <c r="B192" s="90" t="s">
        <v>40</v>
      </c>
      <c r="C192" s="90" t="n">
        <f aca="false">ROUND(E192*G192+F192,0)</f>
        <v>601</v>
      </c>
      <c r="D192" s="90" t="s">
        <v>238</v>
      </c>
      <c r="E192" s="90" t="n">
        <v>800</v>
      </c>
      <c r="F192" s="90" t="n">
        <f aca="false">H192+I192+J192+K192+L192+M192</f>
        <v>25</v>
      </c>
      <c r="G192" s="90" t="n">
        <v>0.72</v>
      </c>
      <c r="H192" s="90" t="n">
        <v>25</v>
      </c>
    </row>
    <row r="193" customFormat="false" ht="17.6" hidden="false" customHeight="false" outlineLevel="0" collapsed="false">
      <c r="A193" s="91" t="s">
        <v>321</v>
      </c>
      <c r="B193" s="90" t="s">
        <v>40</v>
      </c>
      <c r="C193" s="90" t="n">
        <f aca="false">ROUND(E193*G193+F193,0)</f>
        <v>576</v>
      </c>
      <c r="D193" s="90" t="s">
        <v>238</v>
      </c>
      <c r="E193" s="90" t="n">
        <v>800</v>
      </c>
      <c r="F193" s="90" t="n">
        <f aca="false">H193+I193+J193+K193+L193+M193</f>
        <v>0</v>
      </c>
      <c r="G193" s="90" t="n">
        <v>0.72</v>
      </c>
    </row>
    <row r="194" customFormat="false" ht="17.6" hidden="false" customHeight="false" outlineLevel="0" collapsed="false">
      <c r="A194" s="91" t="s">
        <v>322</v>
      </c>
      <c r="B194" s="90" t="s">
        <v>40</v>
      </c>
      <c r="C194" s="90" t="n">
        <f aca="false">ROUND(E194*G194+F194,0)</f>
        <v>631</v>
      </c>
      <c r="D194" s="90" t="s">
        <v>238</v>
      </c>
      <c r="E194" s="90" t="n">
        <v>800</v>
      </c>
      <c r="F194" s="90" t="n">
        <f aca="false">H194+I194+J194+K194+L194+M194</f>
        <v>55</v>
      </c>
      <c r="G194" s="90" t="n">
        <v>0.72</v>
      </c>
      <c r="H194" s="90" t="n">
        <v>25</v>
      </c>
      <c r="L194" s="90" t="n">
        <v>30</v>
      </c>
    </row>
    <row r="195" customFormat="false" ht="17.6" hidden="false" customHeight="false" outlineLevel="0" collapsed="false">
      <c r="A195" s="91" t="s">
        <v>323</v>
      </c>
      <c r="B195" s="90" t="s">
        <v>40</v>
      </c>
      <c r="C195" s="90" t="n">
        <f aca="false">ROUND(E195*G195+F195,0)</f>
        <v>606</v>
      </c>
      <c r="D195" s="90" t="s">
        <v>238</v>
      </c>
      <c r="E195" s="90" t="n">
        <v>800</v>
      </c>
      <c r="F195" s="90" t="n">
        <f aca="false">H195+I195+J195+K195+L195+M195</f>
        <v>30</v>
      </c>
      <c r="G195" s="90" t="n">
        <v>0.72</v>
      </c>
      <c r="L195" s="90" t="n">
        <v>30</v>
      </c>
    </row>
    <row r="196" customFormat="false" ht="17.6" hidden="false" customHeight="false" outlineLevel="0" collapsed="false">
      <c r="A196" s="91" t="s">
        <v>324</v>
      </c>
      <c r="B196" s="90" t="s">
        <v>40</v>
      </c>
      <c r="C196" s="90" t="n">
        <f aca="false">ROUND(E196*G196+F196,0)</f>
        <v>802</v>
      </c>
      <c r="D196" s="90" t="s">
        <v>238</v>
      </c>
      <c r="E196" s="90" t="n">
        <v>800</v>
      </c>
      <c r="F196" s="90" t="n">
        <f aca="false">H196+I196+J196+K196+L196+M196</f>
        <v>226</v>
      </c>
      <c r="G196" s="90" t="n">
        <v>0.72</v>
      </c>
      <c r="L196" s="90" t="n">
        <v>30</v>
      </c>
      <c r="M196" s="90" t="n">
        <v>196</v>
      </c>
    </row>
    <row r="197" customFormat="false" ht="17.6" hidden="false" customHeight="false" outlineLevel="0" collapsed="false">
      <c r="A197" s="91" t="s">
        <v>325</v>
      </c>
      <c r="B197" s="90" t="s">
        <v>40</v>
      </c>
      <c r="C197" s="90" t="n">
        <f aca="false">ROUND(E197*G197+F197,0)</f>
        <v>633</v>
      </c>
      <c r="D197" s="90" t="s">
        <v>238</v>
      </c>
      <c r="E197" s="90" t="n">
        <v>800</v>
      </c>
      <c r="F197" s="90" t="n">
        <f aca="false">H197+I197+J197+K197+L197+M197</f>
        <v>57</v>
      </c>
      <c r="G197" s="90" t="n">
        <v>0.72</v>
      </c>
      <c r="H197" s="90" t="n">
        <v>25</v>
      </c>
      <c r="K197" s="90" t="n">
        <v>32</v>
      </c>
    </row>
    <row r="198" customFormat="false" ht="17.6" hidden="false" customHeight="false" outlineLevel="0" collapsed="false">
      <c r="A198" s="91" t="s">
        <v>326</v>
      </c>
      <c r="B198" s="90" t="s">
        <v>40</v>
      </c>
      <c r="C198" s="90" t="n">
        <f aca="false">ROUND(E198*G198+F198,0)</f>
        <v>608</v>
      </c>
      <c r="D198" s="90" t="s">
        <v>238</v>
      </c>
      <c r="E198" s="90" t="n">
        <v>800</v>
      </c>
      <c r="F198" s="90" t="n">
        <f aca="false">H198+I198+J198+K198+L198+M198</f>
        <v>32</v>
      </c>
      <c r="G198" s="90" t="n">
        <v>0.72</v>
      </c>
      <c r="K198" s="90" t="n">
        <v>32</v>
      </c>
    </row>
    <row r="199" customFormat="false" ht="17.6" hidden="false" customHeight="false" outlineLevel="0" collapsed="false">
      <c r="A199" s="91" t="s">
        <v>327</v>
      </c>
      <c r="B199" s="90" t="s">
        <v>40</v>
      </c>
      <c r="C199" s="90" t="n">
        <f aca="false">ROUND(E199*G199+F199,0)</f>
        <v>804</v>
      </c>
      <c r="D199" s="90" t="s">
        <v>238</v>
      </c>
      <c r="E199" s="90" t="n">
        <v>800</v>
      </c>
      <c r="F199" s="90" t="n">
        <f aca="false">H199+I199+J199+K199+L199+M199</f>
        <v>228</v>
      </c>
      <c r="G199" s="90" t="n">
        <v>0.72</v>
      </c>
      <c r="K199" s="90" t="n">
        <v>32</v>
      </c>
      <c r="M199" s="90" t="n">
        <v>196</v>
      </c>
    </row>
    <row r="200" customFormat="false" ht="17.6" hidden="false" customHeight="false" outlineLevel="0" collapsed="false">
      <c r="A200" s="91" t="s">
        <v>328</v>
      </c>
      <c r="B200" s="90" t="s">
        <v>40</v>
      </c>
      <c r="C200" s="90" t="n">
        <f aca="false">ROUND(E200*G200+F200,0)</f>
        <v>772</v>
      </c>
      <c r="D200" s="90" t="s">
        <v>238</v>
      </c>
      <c r="E200" s="90" t="n">
        <v>800</v>
      </c>
      <c r="F200" s="90" t="n">
        <f aca="false">H200+I200+J200+K200+L200+M200</f>
        <v>196</v>
      </c>
      <c r="G200" s="90" t="n">
        <v>0.72</v>
      </c>
      <c r="M200" s="90" t="n">
        <v>196</v>
      </c>
    </row>
    <row r="201" customFormat="false" ht="17.6" hidden="false" customHeight="false" outlineLevel="0" collapsed="false">
      <c r="A201" s="91" t="s">
        <v>329</v>
      </c>
      <c r="B201" s="90" t="s">
        <v>40</v>
      </c>
      <c r="C201" s="90" t="n">
        <f aca="false">ROUND(E201*G201+F201,0)</f>
        <v>637</v>
      </c>
      <c r="D201" s="90" t="s">
        <v>238</v>
      </c>
      <c r="E201" s="90" t="n">
        <v>800</v>
      </c>
      <c r="F201" s="90" t="n">
        <f aca="false">H201+I201+J201+K201+L201+M201</f>
        <v>61</v>
      </c>
      <c r="G201" s="90" t="n">
        <v>0.72</v>
      </c>
      <c r="H201" s="90" t="n">
        <v>25</v>
      </c>
      <c r="J201" s="90" t="n">
        <v>36</v>
      </c>
    </row>
    <row r="202" customFormat="false" ht="17.6" hidden="false" customHeight="false" outlineLevel="0" collapsed="false">
      <c r="A202" s="91" t="s">
        <v>330</v>
      </c>
      <c r="B202" s="90" t="s">
        <v>40</v>
      </c>
      <c r="C202" s="90" t="n">
        <f aca="false">ROUND(E202*G202+F202,0)</f>
        <v>612</v>
      </c>
      <c r="D202" s="90" t="s">
        <v>238</v>
      </c>
      <c r="E202" s="90" t="n">
        <v>800</v>
      </c>
      <c r="F202" s="90" t="n">
        <f aca="false">H202+I202+J202+K202+L202+M202</f>
        <v>36</v>
      </c>
      <c r="G202" s="90" t="n">
        <v>0.72</v>
      </c>
      <c r="J202" s="90" t="n">
        <v>36</v>
      </c>
    </row>
    <row r="203" customFormat="false" ht="17.6" hidden="false" customHeight="false" outlineLevel="0" collapsed="false">
      <c r="A203" s="91" t="s">
        <v>331</v>
      </c>
      <c r="B203" s="90" t="s">
        <v>40</v>
      </c>
      <c r="C203" s="90" t="n">
        <f aca="false">ROUND(E203*G203+F203,0)</f>
        <v>808</v>
      </c>
      <c r="D203" s="90" t="s">
        <v>238</v>
      </c>
      <c r="E203" s="90" t="n">
        <v>800</v>
      </c>
      <c r="F203" s="90" t="n">
        <f aca="false">H203+I203+J203+K203+L203+M203</f>
        <v>232</v>
      </c>
      <c r="G203" s="90" t="n">
        <v>0.72</v>
      </c>
      <c r="J203" s="90" t="n">
        <v>36</v>
      </c>
      <c r="M203" s="90" t="n">
        <v>196</v>
      </c>
    </row>
    <row r="204" customFormat="false" ht="17.6" hidden="false" customHeight="false" outlineLevel="0" collapsed="false">
      <c r="A204" s="91" t="s">
        <v>332</v>
      </c>
      <c r="B204" s="90" t="s">
        <v>40</v>
      </c>
      <c r="C204" s="90" t="n">
        <f aca="false">ROUND(E204*G204+F204,0)</f>
        <v>717</v>
      </c>
      <c r="D204" s="90" t="s">
        <v>238</v>
      </c>
      <c r="E204" s="90" t="n">
        <v>800</v>
      </c>
      <c r="F204" s="90" t="n">
        <f aca="false">H204+I204+J204+K204+L204+M204</f>
        <v>141</v>
      </c>
      <c r="G204" s="90" t="n">
        <v>0.72</v>
      </c>
      <c r="H204" s="90" t="n">
        <v>25</v>
      </c>
      <c r="I204" s="90" t="n">
        <v>80</v>
      </c>
      <c r="J204" s="90" t="n">
        <v>36</v>
      </c>
    </row>
    <row r="205" customFormat="false" ht="17.6" hidden="false" customHeight="false" outlineLevel="0" collapsed="false">
      <c r="A205" s="91" t="s">
        <v>333</v>
      </c>
      <c r="B205" s="90" t="s">
        <v>40</v>
      </c>
      <c r="C205" s="90" t="n">
        <f aca="false">ROUND(E205*G205+F205,0)</f>
        <v>692</v>
      </c>
      <c r="D205" s="90" t="s">
        <v>238</v>
      </c>
      <c r="E205" s="90" t="n">
        <v>800</v>
      </c>
      <c r="F205" s="90" t="n">
        <f aca="false">H205+I205+J205+K205+L205+M205</f>
        <v>116</v>
      </c>
      <c r="G205" s="90" t="n">
        <v>0.72</v>
      </c>
      <c r="I205" s="90" t="n">
        <v>80</v>
      </c>
      <c r="J205" s="90" t="n">
        <v>36</v>
      </c>
    </row>
    <row r="206" customFormat="false" ht="17.6" hidden="false" customHeight="false" outlineLevel="0" collapsed="false">
      <c r="A206" s="91" t="s">
        <v>334</v>
      </c>
      <c r="B206" s="90" t="s">
        <v>40</v>
      </c>
      <c r="C206" s="90" t="n">
        <f aca="false">ROUND(E206*G206+F206,0)</f>
        <v>888</v>
      </c>
      <c r="D206" s="90" t="s">
        <v>238</v>
      </c>
      <c r="E206" s="90" t="n">
        <v>800</v>
      </c>
      <c r="F206" s="90" t="n">
        <f aca="false">H206+I206+J206+K206+L206+M206</f>
        <v>312</v>
      </c>
      <c r="G206" s="90" t="n">
        <v>0.72</v>
      </c>
      <c r="I206" s="90" t="n">
        <v>80</v>
      </c>
      <c r="J206" s="90" t="n">
        <v>36</v>
      </c>
      <c r="M206" s="90" t="n">
        <v>196</v>
      </c>
    </row>
    <row r="207" customFormat="false" ht="17.6" hidden="false" customHeight="false" outlineLevel="0" collapsed="false">
      <c r="A207" s="91" t="s">
        <v>335</v>
      </c>
      <c r="B207" s="90" t="s">
        <v>40</v>
      </c>
      <c r="C207" s="90" t="n">
        <f aca="false">ROUND(E207*G207+F207,0)</f>
        <v>421</v>
      </c>
      <c r="D207" s="90" t="s">
        <v>238</v>
      </c>
      <c r="E207" s="90" t="n">
        <v>550</v>
      </c>
      <c r="F207" s="90" t="n">
        <f aca="false">H207+I207+J207+K207+L207+M207</f>
        <v>25</v>
      </c>
      <c r="G207" s="90" t="n">
        <v>0.72</v>
      </c>
      <c r="H207" s="90" t="n">
        <v>25</v>
      </c>
    </row>
    <row r="208" customFormat="false" ht="17.6" hidden="false" customHeight="false" outlineLevel="0" collapsed="false">
      <c r="A208" s="91" t="s">
        <v>336</v>
      </c>
      <c r="B208" s="90" t="s">
        <v>40</v>
      </c>
      <c r="C208" s="90" t="n">
        <f aca="false">ROUND(E208*G208+F208,0)</f>
        <v>396</v>
      </c>
      <c r="D208" s="90" t="s">
        <v>238</v>
      </c>
      <c r="E208" s="90" t="n">
        <v>550</v>
      </c>
      <c r="F208" s="90" t="n">
        <f aca="false">H208+I208+J208+K208+L208+M208</f>
        <v>0</v>
      </c>
      <c r="G208" s="90" t="n">
        <v>0.72</v>
      </c>
    </row>
    <row r="209" customFormat="false" ht="17.6" hidden="false" customHeight="false" outlineLevel="0" collapsed="false">
      <c r="A209" s="91" t="s">
        <v>337</v>
      </c>
      <c r="B209" s="90" t="s">
        <v>40</v>
      </c>
      <c r="C209" s="90" t="n">
        <f aca="false">ROUND(E209*G209+F209,0)</f>
        <v>451</v>
      </c>
      <c r="D209" s="90" t="s">
        <v>238</v>
      </c>
      <c r="E209" s="90" t="n">
        <v>550</v>
      </c>
      <c r="F209" s="90" t="n">
        <f aca="false">H209+I209+J209+K209+L209+M209</f>
        <v>55</v>
      </c>
      <c r="G209" s="90" t="n">
        <v>0.72</v>
      </c>
      <c r="H209" s="90" t="n">
        <v>25</v>
      </c>
      <c r="L209" s="90" t="n">
        <v>30</v>
      </c>
    </row>
    <row r="210" customFormat="false" ht="17.6" hidden="false" customHeight="false" outlineLevel="0" collapsed="false">
      <c r="A210" s="91" t="s">
        <v>338</v>
      </c>
      <c r="B210" s="90" t="s">
        <v>40</v>
      </c>
      <c r="C210" s="90" t="n">
        <f aca="false">ROUND(E210*G210+F210,0)</f>
        <v>426</v>
      </c>
      <c r="D210" s="90" t="s">
        <v>238</v>
      </c>
      <c r="E210" s="90" t="n">
        <v>550</v>
      </c>
      <c r="F210" s="90" t="n">
        <f aca="false">H210+I210+J210+K210+L210+M210</f>
        <v>30</v>
      </c>
      <c r="G210" s="90" t="n">
        <v>0.72</v>
      </c>
      <c r="L210" s="90" t="n">
        <v>30</v>
      </c>
    </row>
    <row r="211" customFormat="false" ht="17.6" hidden="false" customHeight="false" outlineLevel="0" collapsed="false">
      <c r="A211" s="91" t="s">
        <v>339</v>
      </c>
      <c r="B211" s="90" t="s">
        <v>40</v>
      </c>
      <c r="C211" s="90" t="n">
        <f aca="false">ROUND(E211*G211+F211,0)</f>
        <v>622</v>
      </c>
      <c r="D211" s="90" t="s">
        <v>238</v>
      </c>
      <c r="E211" s="90" t="n">
        <v>550</v>
      </c>
      <c r="F211" s="90" t="n">
        <f aca="false">H211+I211+J211+K211+L211+M211</f>
        <v>226</v>
      </c>
      <c r="G211" s="90" t="n">
        <v>0.72</v>
      </c>
      <c r="L211" s="90" t="n">
        <v>30</v>
      </c>
      <c r="M211" s="90" t="n">
        <v>196</v>
      </c>
    </row>
    <row r="212" customFormat="false" ht="17.6" hidden="false" customHeight="false" outlineLevel="0" collapsed="false">
      <c r="A212" s="91" t="s">
        <v>340</v>
      </c>
      <c r="B212" s="90" t="s">
        <v>40</v>
      </c>
      <c r="C212" s="90" t="n">
        <f aca="false">ROUND(E212*G212+F212,0)</f>
        <v>453</v>
      </c>
      <c r="D212" s="90" t="s">
        <v>238</v>
      </c>
      <c r="E212" s="90" t="n">
        <v>550</v>
      </c>
      <c r="F212" s="90" t="n">
        <f aca="false">H212+I212+J212+K212+L212+M212</f>
        <v>57</v>
      </c>
      <c r="G212" s="90" t="n">
        <v>0.72</v>
      </c>
      <c r="H212" s="90" t="n">
        <v>25</v>
      </c>
      <c r="K212" s="90" t="n">
        <v>32</v>
      </c>
    </row>
    <row r="213" customFormat="false" ht="17.6" hidden="false" customHeight="false" outlineLevel="0" collapsed="false">
      <c r="A213" s="91" t="s">
        <v>341</v>
      </c>
      <c r="B213" s="90" t="s">
        <v>40</v>
      </c>
      <c r="C213" s="90" t="n">
        <f aca="false">ROUND(E213*G213+F213,0)</f>
        <v>428</v>
      </c>
      <c r="D213" s="90" t="s">
        <v>238</v>
      </c>
      <c r="E213" s="90" t="n">
        <v>550</v>
      </c>
      <c r="F213" s="90" t="n">
        <f aca="false">H213+I213+J213+K213+L213+M213</f>
        <v>32</v>
      </c>
      <c r="G213" s="90" t="n">
        <v>0.72</v>
      </c>
      <c r="K213" s="90" t="n">
        <v>32</v>
      </c>
    </row>
    <row r="214" customFormat="false" ht="17.6" hidden="false" customHeight="false" outlineLevel="0" collapsed="false">
      <c r="A214" s="91" t="s">
        <v>342</v>
      </c>
      <c r="B214" s="90" t="s">
        <v>40</v>
      </c>
      <c r="C214" s="90" t="n">
        <f aca="false">ROUND(E214*G214+F214,0)</f>
        <v>624</v>
      </c>
      <c r="D214" s="90" t="s">
        <v>238</v>
      </c>
      <c r="E214" s="90" t="n">
        <v>550</v>
      </c>
      <c r="F214" s="90" t="n">
        <f aca="false">H214+I214+J214+K214+L214+M214</f>
        <v>228</v>
      </c>
      <c r="G214" s="90" t="n">
        <v>0.72</v>
      </c>
      <c r="K214" s="90" t="n">
        <v>32</v>
      </c>
      <c r="M214" s="90" t="n">
        <v>196</v>
      </c>
    </row>
    <row r="215" customFormat="false" ht="17.6" hidden="false" customHeight="false" outlineLevel="0" collapsed="false">
      <c r="A215" s="91" t="s">
        <v>343</v>
      </c>
      <c r="B215" s="90" t="s">
        <v>40</v>
      </c>
      <c r="C215" s="90" t="n">
        <f aca="false">ROUND(E215*G215+F215,0)</f>
        <v>592</v>
      </c>
      <c r="D215" s="90" t="s">
        <v>238</v>
      </c>
      <c r="E215" s="90" t="n">
        <v>550</v>
      </c>
      <c r="F215" s="90" t="n">
        <f aca="false">H215+I215+J215+K215+L215+M215</f>
        <v>196</v>
      </c>
      <c r="G215" s="90" t="n">
        <v>0.72</v>
      </c>
      <c r="M215" s="90" t="n">
        <v>196</v>
      </c>
    </row>
    <row r="216" customFormat="false" ht="17.6" hidden="false" customHeight="false" outlineLevel="0" collapsed="false">
      <c r="A216" s="91" t="s">
        <v>344</v>
      </c>
      <c r="B216" s="90" t="s">
        <v>40</v>
      </c>
      <c r="C216" s="90" t="n">
        <f aca="false">ROUND(E216*G216+F216,0)</f>
        <v>457</v>
      </c>
      <c r="D216" s="90" t="s">
        <v>238</v>
      </c>
      <c r="E216" s="90" t="n">
        <v>550</v>
      </c>
      <c r="F216" s="90" t="n">
        <f aca="false">H216+I216+J216+K216+L216+M216</f>
        <v>61</v>
      </c>
      <c r="G216" s="90" t="n">
        <v>0.72</v>
      </c>
      <c r="H216" s="90" t="n">
        <v>25</v>
      </c>
      <c r="J216" s="90" t="n">
        <v>36</v>
      </c>
    </row>
    <row r="217" customFormat="false" ht="17.6" hidden="false" customHeight="false" outlineLevel="0" collapsed="false">
      <c r="A217" s="91" t="s">
        <v>345</v>
      </c>
      <c r="B217" s="90" t="s">
        <v>40</v>
      </c>
      <c r="C217" s="90" t="n">
        <f aca="false">ROUND(E217*G217+F217,0)</f>
        <v>432</v>
      </c>
      <c r="D217" s="90" t="s">
        <v>238</v>
      </c>
      <c r="E217" s="90" t="n">
        <v>550</v>
      </c>
      <c r="F217" s="90" t="n">
        <f aca="false">H217+I217+J217+K217+L217+M217</f>
        <v>36</v>
      </c>
      <c r="G217" s="90" t="n">
        <v>0.72</v>
      </c>
      <c r="J217" s="90" t="n">
        <v>36</v>
      </c>
    </row>
    <row r="218" customFormat="false" ht="17.6" hidden="false" customHeight="false" outlineLevel="0" collapsed="false">
      <c r="A218" s="91" t="s">
        <v>346</v>
      </c>
      <c r="B218" s="90" t="s">
        <v>40</v>
      </c>
      <c r="C218" s="90" t="n">
        <f aca="false">ROUND(E218*G218+F218,0)</f>
        <v>628</v>
      </c>
      <c r="D218" s="90" t="s">
        <v>238</v>
      </c>
      <c r="E218" s="90" t="n">
        <v>550</v>
      </c>
      <c r="F218" s="90" t="n">
        <f aca="false">H218+I218+J218+K218+L218+M218</f>
        <v>232</v>
      </c>
      <c r="G218" s="90" t="n">
        <v>0.72</v>
      </c>
      <c r="J218" s="90" t="n">
        <v>36</v>
      </c>
      <c r="M218" s="90" t="n">
        <v>196</v>
      </c>
    </row>
    <row r="219" customFormat="false" ht="17.6" hidden="false" customHeight="false" outlineLevel="0" collapsed="false">
      <c r="A219" s="91" t="s">
        <v>347</v>
      </c>
      <c r="B219" s="90" t="s">
        <v>40</v>
      </c>
      <c r="C219" s="90" t="n">
        <f aca="false">ROUND(E219*G219+F219,0)</f>
        <v>537</v>
      </c>
      <c r="D219" s="90" t="s">
        <v>238</v>
      </c>
      <c r="E219" s="90" t="n">
        <v>550</v>
      </c>
      <c r="F219" s="90" t="n">
        <f aca="false">H219+I219+J219+K219+L219+M219</f>
        <v>141</v>
      </c>
      <c r="G219" s="90" t="n">
        <v>0.72</v>
      </c>
      <c r="H219" s="90" t="n">
        <v>25</v>
      </c>
      <c r="I219" s="90" t="n">
        <v>80</v>
      </c>
      <c r="J219" s="90" t="n">
        <v>36</v>
      </c>
      <c r="K219" s="91"/>
      <c r="L219" s="91"/>
      <c r="M219" s="91"/>
    </row>
    <row r="220" customFormat="false" ht="17.6" hidden="false" customHeight="false" outlineLevel="0" collapsed="false">
      <c r="A220" s="91" t="s">
        <v>348</v>
      </c>
      <c r="B220" s="90" t="s">
        <v>40</v>
      </c>
      <c r="C220" s="90" t="n">
        <f aca="false">ROUND(E220*G220+F220,0)</f>
        <v>512</v>
      </c>
      <c r="D220" s="90" t="s">
        <v>238</v>
      </c>
      <c r="E220" s="90" t="n">
        <v>550</v>
      </c>
      <c r="F220" s="90" t="n">
        <f aca="false">H220+I220+J220+K220+L220+M220</f>
        <v>116</v>
      </c>
      <c r="G220" s="90" t="n">
        <v>0.72</v>
      </c>
      <c r="I220" s="90" t="n">
        <v>80</v>
      </c>
      <c r="J220" s="90" t="n">
        <v>36</v>
      </c>
    </row>
    <row r="221" customFormat="false" ht="17.6" hidden="false" customHeight="false" outlineLevel="0" collapsed="false">
      <c r="A221" s="91" t="s">
        <v>349</v>
      </c>
      <c r="B221" s="90" t="s">
        <v>40</v>
      </c>
      <c r="C221" s="90" t="n">
        <f aca="false">ROUND(E221*G221+F221,0)</f>
        <v>708</v>
      </c>
      <c r="D221" s="90" t="s">
        <v>238</v>
      </c>
      <c r="E221" s="90" t="n">
        <v>550</v>
      </c>
      <c r="F221" s="90" t="n">
        <f aca="false">H221+I221+J221+K221+L221+M221</f>
        <v>312</v>
      </c>
      <c r="G221" s="90" t="n">
        <v>0.72</v>
      </c>
      <c r="I221" s="90" t="n">
        <v>80</v>
      </c>
      <c r="J221" s="90" t="n">
        <v>36</v>
      </c>
      <c r="M221" s="90" t="n">
        <v>196</v>
      </c>
    </row>
    <row r="222" customFormat="false" ht="17.6" hidden="false" customHeight="false" outlineLevel="0" collapsed="false">
      <c r="A222" s="91" t="s">
        <v>350</v>
      </c>
      <c r="B222" s="90" t="s">
        <v>40</v>
      </c>
      <c r="C222" s="90" t="n">
        <f aca="false">ROUND(E222*G222+F222,0)</f>
        <v>493</v>
      </c>
      <c r="D222" s="90" t="s">
        <v>238</v>
      </c>
      <c r="E222" s="90" t="n">
        <v>650</v>
      </c>
      <c r="F222" s="90" t="n">
        <f aca="false">H222+I222+J222+K222+L222+M222</f>
        <v>25</v>
      </c>
      <c r="G222" s="90" t="n">
        <v>0.72</v>
      </c>
      <c r="H222" s="90" t="n">
        <v>25</v>
      </c>
    </row>
    <row r="223" customFormat="false" ht="17.6" hidden="false" customHeight="false" outlineLevel="0" collapsed="false">
      <c r="A223" s="91" t="s">
        <v>351</v>
      </c>
      <c r="B223" s="90" t="s">
        <v>40</v>
      </c>
      <c r="C223" s="90" t="n">
        <f aca="false">ROUND(E223*G223+F223,0)</f>
        <v>468</v>
      </c>
      <c r="D223" s="90" t="s">
        <v>238</v>
      </c>
      <c r="E223" s="90" t="n">
        <v>650</v>
      </c>
      <c r="F223" s="90" t="n">
        <f aca="false">H223+I223+J223+K223+L223+M223</f>
        <v>0</v>
      </c>
      <c r="G223" s="90" t="n">
        <v>0.72</v>
      </c>
    </row>
    <row r="224" customFormat="false" ht="17.6" hidden="false" customHeight="false" outlineLevel="0" collapsed="false">
      <c r="A224" s="91" t="s">
        <v>352</v>
      </c>
      <c r="B224" s="90" t="s">
        <v>40</v>
      </c>
      <c r="C224" s="90" t="n">
        <f aca="false">ROUND(E224*G224+F224,0)</f>
        <v>523</v>
      </c>
      <c r="D224" s="90" t="s">
        <v>238</v>
      </c>
      <c r="E224" s="90" t="n">
        <v>650</v>
      </c>
      <c r="F224" s="90" t="n">
        <f aca="false">H224+I224+J224+K224+L224+M224</f>
        <v>55</v>
      </c>
      <c r="G224" s="90" t="n">
        <v>0.72</v>
      </c>
      <c r="H224" s="90" t="n">
        <v>25</v>
      </c>
      <c r="L224" s="90" t="n">
        <v>30</v>
      </c>
    </row>
    <row r="225" customFormat="false" ht="17.6" hidden="false" customHeight="false" outlineLevel="0" collapsed="false">
      <c r="A225" s="91" t="s">
        <v>353</v>
      </c>
      <c r="B225" s="90" t="s">
        <v>40</v>
      </c>
      <c r="C225" s="90" t="n">
        <f aca="false">ROUND(E225*G225+F225,0)</f>
        <v>498</v>
      </c>
      <c r="D225" s="90" t="s">
        <v>238</v>
      </c>
      <c r="E225" s="90" t="n">
        <v>650</v>
      </c>
      <c r="F225" s="90" t="n">
        <f aca="false">H225+I225+J225+K225+L225+M225</f>
        <v>30</v>
      </c>
      <c r="G225" s="90" t="n">
        <v>0.72</v>
      </c>
      <c r="L225" s="90" t="n">
        <v>30</v>
      </c>
    </row>
    <row r="226" customFormat="false" ht="17.6" hidden="false" customHeight="false" outlineLevel="0" collapsed="false">
      <c r="A226" s="91" t="s">
        <v>354</v>
      </c>
      <c r="B226" s="90" t="s">
        <v>40</v>
      </c>
      <c r="C226" s="90" t="n">
        <f aca="false">ROUND(E226*G226+F226,0)</f>
        <v>694</v>
      </c>
      <c r="D226" s="90" t="s">
        <v>238</v>
      </c>
      <c r="E226" s="90" t="n">
        <v>650</v>
      </c>
      <c r="F226" s="90" t="n">
        <f aca="false">H226+I226+J226+K226+L226+M226</f>
        <v>226</v>
      </c>
      <c r="G226" s="90" t="n">
        <v>0.72</v>
      </c>
      <c r="L226" s="90" t="n">
        <v>30</v>
      </c>
      <c r="M226" s="90" t="n">
        <v>196</v>
      </c>
    </row>
    <row r="227" customFormat="false" ht="17.6" hidden="false" customHeight="false" outlineLevel="0" collapsed="false">
      <c r="A227" s="91" t="s">
        <v>355</v>
      </c>
      <c r="B227" s="90" t="s">
        <v>40</v>
      </c>
      <c r="C227" s="90" t="n">
        <f aca="false">ROUND(E227*G227+F227,0)</f>
        <v>525</v>
      </c>
      <c r="D227" s="90" t="s">
        <v>238</v>
      </c>
      <c r="E227" s="90" t="n">
        <v>650</v>
      </c>
      <c r="F227" s="90" t="n">
        <f aca="false">H227+I227+J227+K227+L227+M227</f>
        <v>57</v>
      </c>
      <c r="G227" s="90" t="n">
        <v>0.72</v>
      </c>
      <c r="H227" s="90" t="n">
        <v>25</v>
      </c>
      <c r="K227" s="90" t="n">
        <v>32</v>
      </c>
    </row>
    <row r="228" customFormat="false" ht="17.6" hidden="false" customHeight="false" outlineLevel="0" collapsed="false">
      <c r="A228" s="91" t="s">
        <v>356</v>
      </c>
      <c r="B228" s="90" t="s">
        <v>40</v>
      </c>
      <c r="C228" s="90" t="n">
        <f aca="false">ROUND(E228*G228+F228,0)</f>
        <v>500</v>
      </c>
      <c r="D228" s="90" t="s">
        <v>238</v>
      </c>
      <c r="E228" s="90" t="n">
        <v>650</v>
      </c>
      <c r="F228" s="90" t="n">
        <f aca="false">H228+I228+J228+K228+L228+M228</f>
        <v>32</v>
      </c>
      <c r="G228" s="90" t="n">
        <v>0.72</v>
      </c>
      <c r="K228" s="90" t="n">
        <v>32</v>
      </c>
    </row>
    <row r="229" customFormat="false" ht="17.6" hidden="false" customHeight="false" outlineLevel="0" collapsed="false">
      <c r="A229" s="91" t="s">
        <v>357</v>
      </c>
      <c r="B229" s="90" t="s">
        <v>40</v>
      </c>
      <c r="C229" s="90" t="n">
        <f aca="false">ROUND(E229*G229+F229,0)</f>
        <v>696</v>
      </c>
      <c r="D229" s="90" t="s">
        <v>238</v>
      </c>
      <c r="E229" s="90" t="n">
        <v>650</v>
      </c>
      <c r="F229" s="90" t="n">
        <f aca="false">H229+I229+J229+K229+L229+M229</f>
        <v>228</v>
      </c>
      <c r="G229" s="90" t="n">
        <v>0.72</v>
      </c>
      <c r="K229" s="90" t="n">
        <v>32</v>
      </c>
      <c r="M229" s="90" t="n">
        <v>196</v>
      </c>
    </row>
    <row r="230" customFormat="false" ht="17.6" hidden="false" customHeight="false" outlineLevel="0" collapsed="false">
      <c r="A230" s="91" t="s">
        <v>358</v>
      </c>
      <c r="B230" s="90" t="s">
        <v>40</v>
      </c>
      <c r="C230" s="90" t="n">
        <f aca="false">ROUND(E230*G230+F230,0)</f>
        <v>664</v>
      </c>
      <c r="D230" s="90" t="s">
        <v>238</v>
      </c>
      <c r="E230" s="90" t="n">
        <v>650</v>
      </c>
      <c r="F230" s="90" t="n">
        <f aca="false">H230+I230+J230+K230+L230+M230</f>
        <v>196</v>
      </c>
      <c r="G230" s="90" t="n">
        <v>0.72</v>
      </c>
      <c r="M230" s="90" t="n">
        <v>196</v>
      </c>
    </row>
    <row r="231" customFormat="false" ht="17.6" hidden="false" customHeight="false" outlineLevel="0" collapsed="false">
      <c r="A231" s="91" t="s">
        <v>359</v>
      </c>
      <c r="B231" s="90" t="s">
        <v>40</v>
      </c>
      <c r="C231" s="90" t="n">
        <f aca="false">ROUND(E231*G231+F231,0)</f>
        <v>529</v>
      </c>
      <c r="D231" s="90" t="s">
        <v>238</v>
      </c>
      <c r="E231" s="90" t="n">
        <v>650</v>
      </c>
      <c r="F231" s="90" t="n">
        <f aca="false">H231+I231+J231+K231+L231+M231</f>
        <v>61</v>
      </c>
      <c r="G231" s="90" t="n">
        <v>0.72</v>
      </c>
      <c r="H231" s="90" t="n">
        <v>25</v>
      </c>
      <c r="J231" s="90" t="n">
        <v>36</v>
      </c>
    </row>
    <row r="232" customFormat="false" ht="17.6" hidden="false" customHeight="false" outlineLevel="0" collapsed="false">
      <c r="A232" s="91" t="s">
        <v>360</v>
      </c>
      <c r="B232" s="90" t="s">
        <v>40</v>
      </c>
      <c r="C232" s="90" t="n">
        <f aca="false">ROUND(E232*G232+F232,0)</f>
        <v>504</v>
      </c>
      <c r="D232" s="90" t="s">
        <v>238</v>
      </c>
      <c r="E232" s="90" t="n">
        <v>650</v>
      </c>
      <c r="F232" s="90" t="n">
        <f aca="false">H232+I232+J232+K232+L232+M232</f>
        <v>36</v>
      </c>
      <c r="G232" s="90" t="n">
        <v>0.72</v>
      </c>
      <c r="J232" s="90" t="n">
        <v>36</v>
      </c>
    </row>
    <row r="233" customFormat="false" ht="17.6" hidden="false" customHeight="false" outlineLevel="0" collapsed="false">
      <c r="A233" s="91" t="s">
        <v>361</v>
      </c>
      <c r="B233" s="90" t="s">
        <v>40</v>
      </c>
      <c r="C233" s="90" t="n">
        <f aca="false">ROUND(E233*G233+F233,0)</f>
        <v>700</v>
      </c>
      <c r="D233" s="90" t="s">
        <v>238</v>
      </c>
      <c r="E233" s="90" t="n">
        <v>650</v>
      </c>
      <c r="F233" s="90" t="n">
        <f aca="false">H233+I233+J233+K233+L233+M233</f>
        <v>232</v>
      </c>
      <c r="G233" s="90" t="n">
        <v>0.72</v>
      </c>
      <c r="J233" s="90" t="n">
        <v>36</v>
      </c>
      <c r="M233" s="90" t="n">
        <v>196</v>
      </c>
    </row>
    <row r="234" customFormat="false" ht="17.6" hidden="false" customHeight="false" outlineLevel="0" collapsed="false">
      <c r="A234" s="91" t="s">
        <v>362</v>
      </c>
      <c r="B234" s="90" t="s">
        <v>40</v>
      </c>
      <c r="C234" s="90" t="n">
        <f aca="false">ROUND(E234*G234+F234,0)</f>
        <v>609</v>
      </c>
      <c r="D234" s="90" t="s">
        <v>238</v>
      </c>
      <c r="E234" s="90" t="n">
        <v>650</v>
      </c>
      <c r="F234" s="90" t="n">
        <f aca="false">H234+I234+J234+K234+L234+M234</f>
        <v>141</v>
      </c>
      <c r="G234" s="90" t="n">
        <v>0.72</v>
      </c>
      <c r="H234" s="90" t="n">
        <v>25</v>
      </c>
      <c r="I234" s="90" t="n">
        <v>80</v>
      </c>
      <c r="J234" s="90" t="n">
        <v>36</v>
      </c>
      <c r="K234" s="91"/>
      <c r="L234" s="91"/>
      <c r="M234" s="91"/>
    </row>
    <row r="235" customFormat="false" ht="17.6" hidden="false" customHeight="false" outlineLevel="0" collapsed="false">
      <c r="A235" s="91" t="s">
        <v>363</v>
      </c>
      <c r="B235" s="90" t="s">
        <v>40</v>
      </c>
      <c r="C235" s="90" t="n">
        <f aca="false">ROUND(E235*G235+F235,0)</f>
        <v>584</v>
      </c>
      <c r="D235" s="90" t="s">
        <v>238</v>
      </c>
      <c r="E235" s="90" t="n">
        <v>650</v>
      </c>
      <c r="F235" s="90" t="n">
        <f aca="false">H235+I235+J235+K235+L235+M235</f>
        <v>116</v>
      </c>
      <c r="G235" s="90" t="n">
        <v>0.72</v>
      </c>
      <c r="I235" s="90" t="n">
        <v>80</v>
      </c>
      <c r="J235" s="90" t="n">
        <v>36</v>
      </c>
    </row>
    <row r="236" customFormat="false" ht="17.6" hidden="false" customHeight="false" outlineLevel="0" collapsed="false">
      <c r="A236" s="91" t="s">
        <v>364</v>
      </c>
      <c r="B236" s="90" t="s">
        <v>40</v>
      </c>
      <c r="C236" s="90" t="n">
        <f aca="false">ROUND(E236*G236+F236,0)</f>
        <v>780</v>
      </c>
      <c r="D236" s="90" t="s">
        <v>238</v>
      </c>
      <c r="E236" s="90" t="n">
        <v>650</v>
      </c>
      <c r="F236" s="90" t="n">
        <f aca="false">H236+I236+J236+K236+L236+M236</f>
        <v>312</v>
      </c>
      <c r="G236" s="90" t="n">
        <v>0.72</v>
      </c>
      <c r="I236" s="90" t="n">
        <v>80</v>
      </c>
      <c r="J236" s="90" t="n">
        <v>36</v>
      </c>
      <c r="M236" s="90" t="n">
        <v>196</v>
      </c>
    </row>
    <row r="237" customFormat="false" ht="17.6" hidden="false" customHeight="false" outlineLevel="0" collapsed="false">
      <c r="A237" s="91" t="s">
        <v>365</v>
      </c>
      <c r="B237" s="90" t="s">
        <v>40</v>
      </c>
      <c r="C237" s="90" t="n">
        <f aca="false">ROUND(E237*G237+F237,0)</f>
        <v>431</v>
      </c>
      <c r="D237" s="90" t="s">
        <v>238</v>
      </c>
      <c r="E237" s="90" t="n">
        <v>550</v>
      </c>
      <c r="F237" s="90" t="n">
        <f aca="false">H237+I237+J237+K237+L237+M237</f>
        <v>35</v>
      </c>
      <c r="G237" s="90" t="n">
        <v>0.72</v>
      </c>
      <c r="H237" s="90" t="n">
        <v>35</v>
      </c>
    </row>
    <row r="238" customFormat="false" ht="17.6" hidden="false" customHeight="false" outlineLevel="0" collapsed="false">
      <c r="A238" s="91" t="s">
        <v>366</v>
      </c>
      <c r="B238" s="90" t="s">
        <v>40</v>
      </c>
      <c r="C238" s="90" t="n">
        <f aca="false">ROUND(E238*G238+F238,0)</f>
        <v>396</v>
      </c>
      <c r="D238" s="90" t="s">
        <v>238</v>
      </c>
      <c r="E238" s="90" t="n">
        <v>550</v>
      </c>
      <c r="F238" s="90" t="n">
        <f aca="false">H238+I238+J238+K238+L238+M238</f>
        <v>0</v>
      </c>
      <c r="G238" s="90" t="n">
        <v>0.72</v>
      </c>
    </row>
    <row r="239" customFormat="false" ht="17.6" hidden="false" customHeight="false" outlineLevel="0" collapsed="false">
      <c r="A239" s="91" t="s">
        <v>367</v>
      </c>
      <c r="B239" s="90" t="s">
        <v>40</v>
      </c>
      <c r="C239" s="90" t="n">
        <f aca="false">ROUND(E239*G239+F239,0)</f>
        <v>461</v>
      </c>
      <c r="D239" s="90" t="s">
        <v>238</v>
      </c>
      <c r="E239" s="90" t="n">
        <v>550</v>
      </c>
      <c r="F239" s="90" t="n">
        <f aca="false">H239+I239+J239+K239+L239+M239</f>
        <v>65</v>
      </c>
      <c r="G239" s="90" t="n">
        <v>0.72</v>
      </c>
      <c r="H239" s="90" t="n">
        <v>35</v>
      </c>
      <c r="L239" s="90" t="n">
        <v>30</v>
      </c>
    </row>
    <row r="240" customFormat="false" ht="17.6" hidden="false" customHeight="false" outlineLevel="0" collapsed="false">
      <c r="A240" s="91" t="s">
        <v>368</v>
      </c>
      <c r="B240" s="90" t="s">
        <v>40</v>
      </c>
      <c r="C240" s="90" t="n">
        <f aca="false">ROUND(E240*G240+F240,0)</f>
        <v>426</v>
      </c>
      <c r="D240" s="90" t="s">
        <v>238</v>
      </c>
      <c r="E240" s="90" t="n">
        <v>550</v>
      </c>
      <c r="F240" s="90" t="n">
        <f aca="false">H240+I240+J240+K240+L240+M240</f>
        <v>30</v>
      </c>
      <c r="G240" s="90" t="n">
        <v>0.72</v>
      </c>
      <c r="L240" s="90" t="n">
        <v>30</v>
      </c>
    </row>
    <row r="241" customFormat="false" ht="17.6" hidden="false" customHeight="false" outlineLevel="0" collapsed="false">
      <c r="A241" s="91" t="s">
        <v>369</v>
      </c>
      <c r="B241" s="90" t="s">
        <v>40</v>
      </c>
      <c r="C241" s="90" t="n">
        <f aca="false">ROUND(E241*G241+F241,0)</f>
        <v>622</v>
      </c>
      <c r="D241" s="90" t="s">
        <v>238</v>
      </c>
      <c r="E241" s="90" t="n">
        <v>550</v>
      </c>
      <c r="F241" s="90" t="n">
        <f aca="false">H241+I241+J241+K241+L241+M241</f>
        <v>226</v>
      </c>
      <c r="G241" s="90" t="n">
        <v>0.72</v>
      </c>
      <c r="L241" s="90" t="n">
        <v>30</v>
      </c>
      <c r="M241" s="90" t="n">
        <v>196</v>
      </c>
    </row>
    <row r="242" customFormat="false" ht="17.6" hidden="false" customHeight="false" outlineLevel="0" collapsed="false">
      <c r="A242" s="91" t="s">
        <v>370</v>
      </c>
      <c r="B242" s="90" t="s">
        <v>40</v>
      </c>
      <c r="C242" s="90" t="n">
        <f aca="false">ROUND(E242*G242+F242,0)</f>
        <v>463</v>
      </c>
      <c r="D242" s="90" t="s">
        <v>238</v>
      </c>
      <c r="E242" s="90" t="n">
        <v>550</v>
      </c>
      <c r="F242" s="90" t="n">
        <f aca="false">H242+I242+J242+K242+L242+M242</f>
        <v>67</v>
      </c>
      <c r="G242" s="90" t="n">
        <v>0.72</v>
      </c>
      <c r="H242" s="90" t="n">
        <v>35</v>
      </c>
      <c r="K242" s="90" t="n">
        <v>32</v>
      </c>
    </row>
    <row r="243" customFormat="false" ht="17.6" hidden="false" customHeight="false" outlineLevel="0" collapsed="false">
      <c r="A243" s="91" t="s">
        <v>371</v>
      </c>
      <c r="B243" s="90" t="s">
        <v>40</v>
      </c>
      <c r="C243" s="90" t="n">
        <f aca="false">ROUND(E243*G243+F243,0)</f>
        <v>428</v>
      </c>
      <c r="D243" s="90" t="s">
        <v>238</v>
      </c>
      <c r="E243" s="90" t="n">
        <v>550</v>
      </c>
      <c r="F243" s="90" t="n">
        <f aca="false">H243+I243+J243+K243+L243+M243</f>
        <v>32</v>
      </c>
      <c r="G243" s="90" t="n">
        <v>0.72</v>
      </c>
      <c r="K243" s="90" t="n">
        <v>32</v>
      </c>
    </row>
    <row r="244" customFormat="false" ht="17.6" hidden="false" customHeight="false" outlineLevel="0" collapsed="false">
      <c r="A244" s="91" t="s">
        <v>372</v>
      </c>
      <c r="B244" s="90" t="s">
        <v>40</v>
      </c>
      <c r="C244" s="90" t="n">
        <f aca="false">ROUND(E244*G244+F244,0)</f>
        <v>624</v>
      </c>
      <c r="D244" s="90" t="s">
        <v>238</v>
      </c>
      <c r="E244" s="90" t="n">
        <v>550</v>
      </c>
      <c r="F244" s="90" t="n">
        <f aca="false">H244+I244+J244+K244+L244+M244</f>
        <v>228</v>
      </c>
      <c r="G244" s="90" t="n">
        <v>0.72</v>
      </c>
      <c r="K244" s="90" t="n">
        <v>32</v>
      </c>
      <c r="M244" s="90" t="n">
        <v>196</v>
      </c>
    </row>
    <row r="245" customFormat="false" ht="17.6" hidden="false" customHeight="false" outlineLevel="0" collapsed="false">
      <c r="A245" s="91" t="s">
        <v>373</v>
      </c>
      <c r="B245" s="90" t="s">
        <v>40</v>
      </c>
      <c r="C245" s="90" t="n">
        <f aca="false">ROUND(E245*G245+F245,0)</f>
        <v>592</v>
      </c>
      <c r="D245" s="90" t="s">
        <v>238</v>
      </c>
      <c r="E245" s="90" t="n">
        <v>550</v>
      </c>
      <c r="F245" s="90" t="n">
        <f aca="false">H245+I245+J245+K245+L245+M245</f>
        <v>196</v>
      </c>
      <c r="G245" s="90" t="n">
        <v>0.72</v>
      </c>
      <c r="M245" s="90" t="n">
        <v>196</v>
      </c>
    </row>
    <row r="246" customFormat="false" ht="17.6" hidden="false" customHeight="false" outlineLevel="0" collapsed="false">
      <c r="A246" s="91" t="s">
        <v>374</v>
      </c>
      <c r="B246" s="90" t="s">
        <v>40</v>
      </c>
      <c r="C246" s="90" t="n">
        <f aca="false">ROUND(E246*G246+F246,0)</f>
        <v>467</v>
      </c>
      <c r="D246" s="90" t="s">
        <v>238</v>
      </c>
      <c r="E246" s="90" t="n">
        <v>550</v>
      </c>
      <c r="F246" s="90" t="n">
        <f aca="false">H246+I246+J246+K246+L246+M246</f>
        <v>71</v>
      </c>
      <c r="G246" s="90" t="n">
        <v>0.72</v>
      </c>
      <c r="H246" s="90" t="n">
        <v>35</v>
      </c>
      <c r="J246" s="90" t="n">
        <v>36</v>
      </c>
    </row>
    <row r="247" customFormat="false" ht="17.6" hidden="false" customHeight="false" outlineLevel="0" collapsed="false">
      <c r="A247" s="91" t="s">
        <v>375</v>
      </c>
      <c r="B247" s="90" t="s">
        <v>40</v>
      </c>
      <c r="C247" s="90" t="n">
        <f aca="false">ROUND(E247*G247+F247,0)</f>
        <v>432</v>
      </c>
      <c r="D247" s="90" t="s">
        <v>238</v>
      </c>
      <c r="E247" s="90" t="n">
        <v>550</v>
      </c>
      <c r="F247" s="90" t="n">
        <f aca="false">H247+I247+J247+K247+L247+M247</f>
        <v>36</v>
      </c>
      <c r="G247" s="90" t="n">
        <v>0.72</v>
      </c>
      <c r="J247" s="90" t="n">
        <v>36</v>
      </c>
    </row>
    <row r="248" customFormat="false" ht="17.6" hidden="false" customHeight="false" outlineLevel="0" collapsed="false">
      <c r="A248" s="91" t="s">
        <v>376</v>
      </c>
      <c r="B248" s="90" t="s">
        <v>40</v>
      </c>
      <c r="C248" s="90" t="n">
        <f aca="false">ROUND(E248*G248+F248,0)</f>
        <v>628</v>
      </c>
      <c r="D248" s="90" t="s">
        <v>238</v>
      </c>
      <c r="E248" s="90" t="n">
        <v>550</v>
      </c>
      <c r="F248" s="90" t="n">
        <f aca="false">H248+I248+J248+K248+L248+M248</f>
        <v>232</v>
      </c>
      <c r="G248" s="90" t="n">
        <v>0.72</v>
      </c>
      <c r="J248" s="90" t="n">
        <v>36</v>
      </c>
      <c r="M248" s="90" t="n">
        <v>196</v>
      </c>
    </row>
    <row r="249" customFormat="false" ht="17.6" hidden="false" customHeight="false" outlineLevel="0" collapsed="false">
      <c r="A249" s="91" t="s">
        <v>377</v>
      </c>
      <c r="B249" s="90" t="s">
        <v>40</v>
      </c>
      <c r="C249" s="90" t="n">
        <f aca="false">ROUND(E249*G249+F249,0)</f>
        <v>547</v>
      </c>
      <c r="D249" s="90" t="s">
        <v>238</v>
      </c>
      <c r="E249" s="90" t="n">
        <v>550</v>
      </c>
      <c r="F249" s="90" t="n">
        <f aca="false">H249+I249+J249+K249+L249+M249</f>
        <v>151</v>
      </c>
      <c r="G249" s="90" t="n">
        <v>0.72</v>
      </c>
      <c r="H249" s="90" t="n">
        <v>35</v>
      </c>
      <c r="I249" s="90" t="n">
        <v>80</v>
      </c>
      <c r="J249" s="90" t="n">
        <v>36</v>
      </c>
      <c r="K249" s="91"/>
      <c r="L249" s="91"/>
      <c r="M249" s="91"/>
    </row>
    <row r="250" customFormat="false" ht="17.6" hidden="false" customHeight="false" outlineLevel="0" collapsed="false">
      <c r="A250" s="91" t="s">
        <v>378</v>
      </c>
      <c r="B250" s="90" t="s">
        <v>40</v>
      </c>
      <c r="C250" s="90" t="n">
        <f aca="false">ROUND(E250*G250+F250,0)</f>
        <v>512</v>
      </c>
      <c r="D250" s="90" t="s">
        <v>238</v>
      </c>
      <c r="E250" s="90" t="n">
        <v>550</v>
      </c>
      <c r="F250" s="90" t="n">
        <f aca="false">H250+I250+J250+K250+L250+M250</f>
        <v>116</v>
      </c>
      <c r="G250" s="90" t="n">
        <v>0.72</v>
      </c>
      <c r="I250" s="90" t="n">
        <v>80</v>
      </c>
      <c r="J250" s="90" t="n">
        <v>36</v>
      </c>
    </row>
    <row r="251" customFormat="false" ht="17.6" hidden="false" customHeight="false" outlineLevel="0" collapsed="false">
      <c r="A251" s="91" t="s">
        <v>379</v>
      </c>
      <c r="B251" s="90" t="s">
        <v>40</v>
      </c>
      <c r="C251" s="90" t="n">
        <f aca="false">ROUND(E251*G251+F251,0)</f>
        <v>708</v>
      </c>
      <c r="D251" s="90" t="s">
        <v>238</v>
      </c>
      <c r="E251" s="90" t="n">
        <v>550</v>
      </c>
      <c r="F251" s="90" t="n">
        <f aca="false">H251+I251+J251+K251+L251+M251</f>
        <v>312</v>
      </c>
      <c r="G251" s="90" t="n">
        <v>0.72</v>
      </c>
      <c r="I251" s="90" t="n">
        <v>80</v>
      </c>
      <c r="J251" s="90" t="n">
        <v>36</v>
      </c>
      <c r="M251" s="90" t="n">
        <v>196</v>
      </c>
    </row>
    <row r="252" customFormat="false" ht="17.6" hidden="false" customHeight="false" outlineLevel="0" collapsed="false">
      <c r="A252" s="91" t="s">
        <v>380</v>
      </c>
      <c r="B252" s="90" t="s">
        <v>40</v>
      </c>
      <c r="C252" s="90" t="n">
        <f aca="false">ROUND(E252*G252+F252,0)</f>
        <v>755</v>
      </c>
      <c r="D252" s="90" t="s">
        <v>238</v>
      </c>
      <c r="E252" s="90" t="n">
        <v>1000</v>
      </c>
      <c r="F252" s="90" t="n">
        <f aca="false">H252+I252+J252+K252+L252+M252</f>
        <v>35</v>
      </c>
      <c r="G252" s="90" t="n">
        <v>0.72</v>
      </c>
      <c r="H252" s="90" t="n">
        <v>35</v>
      </c>
    </row>
    <row r="253" customFormat="false" ht="17.6" hidden="false" customHeight="false" outlineLevel="0" collapsed="false">
      <c r="A253" s="91" t="s">
        <v>381</v>
      </c>
      <c r="B253" s="90" t="s">
        <v>40</v>
      </c>
      <c r="C253" s="90" t="n">
        <f aca="false">ROUND(E253*G253+F253,0)</f>
        <v>720</v>
      </c>
      <c r="D253" s="90" t="s">
        <v>238</v>
      </c>
      <c r="E253" s="90" t="n">
        <v>1000</v>
      </c>
      <c r="F253" s="90" t="n">
        <f aca="false">H253+I253+J253+K253+L253+M253</f>
        <v>0</v>
      </c>
      <c r="G253" s="90" t="n">
        <v>0.72</v>
      </c>
    </row>
    <row r="254" customFormat="false" ht="17.6" hidden="false" customHeight="false" outlineLevel="0" collapsed="false">
      <c r="A254" s="91" t="s">
        <v>382</v>
      </c>
      <c r="B254" s="90" t="s">
        <v>40</v>
      </c>
      <c r="C254" s="90" t="n">
        <f aca="false">ROUND(E254*G254+F254,0)</f>
        <v>785</v>
      </c>
      <c r="D254" s="90" t="s">
        <v>238</v>
      </c>
      <c r="E254" s="90" t="n">
        <v>1000</v>
      </c>
      <c r="F254" s="90" t="n">
        <f aca="false">H254+I254+J254+K254+L254+M254</f>
        <v>65</v>
      </c>
      <c r="G254" s="90" t="n">
        <v>0.72</v>
      </c>
      <c r="H254" s="90" t="n">
        <v>35</v>
      </c>
      <c r="L254" s="90" t="n">
        <v>30</v>
      </c>
    </row>
    <row r="255" customFormat="false" ht="17.6" hidden="false" customHeight="false" outlineLevel="0" collapsed="false">
      <c r="A255" s="91" t="s">
        <v>383</v>
      </c>
      <c r="B255" s="90" t="s">
        <v>40</v>
      </c>
      <c r="C255" s="90" t="n">
        <f aca="false">ROUND(E255*G255+F255,0)</f>
        <v>750</v>
      </c>
      <c r="D255" s="90" t="s">
        <v>238</v>
      </c>
      <c r="E255" s="90" t="n">
        <v>1000</v>
      </c>
      <c r="F255" s="90" t="n">
        <f aca="false">H255+I255+J255+K255+L255+M255</f>
        <v>30</v>
      </c>
      <c r="G255" s="90" t="n">
        <v>0.72</v>
      </c>
      <c r="L255" s="90" t="n">
        <v>30</v>
      </c>
    </row>
    <row r="256" customFormat="false" ht="17.6" hidden="false" customHeight="false" outlineLevel="0" collapsed="false">
      <c r="A256" s="91" t="s">
        <v>384</v>
      </c>
      <c r="B256" s="90" t="s">
        <v>40</v>
      </c>
      <c r="C256" s="90" t="n">
        <f aca="false">ROUND(E256*G256+F256,0)</f>
        <v>946</v>
      </c>
      <c r="D256" s="90" t="s">
        <v>238</v>
      </c>
      <c r="E256" s="90" t="n">
        <v>1000</v>
      </c>
      <c r="F256" s="90" t="n">
        <f aca="false">H256+I256+J256+K256+L256+M256</f>
        <v>226</v>
      </c>
      <c r="G256" s="90" t="n">
        <v>0.72</v>
      </c>
      <c r="L256" s="90" t="n">
        <v>30</v>
      </c>
      <c r="M256" s="90" t="n">
        <v>196</v>
      </c>
    </row>
    <row r="257" customFormat="false" ht="17.6" hidden="false" customHeight="false" outlineLevel="0" collapsed="false">
      <c r="A257" s="91" t="s">
        <v>385</v>
      </c>
      <c r="B257" s="90" t="s">
        <v>40</v>
      </c>
      <c r="C257" s="90" t="n">
        <f aca="false">ROUND(E257*G257+F257,0)</f>
        <v>787</v>
      </c>
      <c r="D257" s="90" t="s">
        <v>238</v>
      </c>
      <c r="E257" s="90" t="n">
        <v>1000</v>
      </c>
      <c r="F257" s="90" t="n">
        <f aca="false">H257+I257+J257+K257+L257+M257</f>
        <v>67</v>
      </c>
      <c r="G257" s="90" t="n">
        <v>0.72</v>
      </c>
      <c r="H257" s="90" t="n">
        <v>35</v>
      </c>
      <c r="K257" s="90" t="n">
        <v>32</v>
      </c>
    </row>
    <row r="258" customFormat="false" ht="17.6" hidden="false" customHeight="false" outlineLevel="0" collapsed="false">
      <c r="A258" s="91" t="s">
        <v>386</v>
      </c>
      <c r="B258" s="90" t="s">
        <v>40</v>
      </c>
      <c r="C258" s="90" t="n">
        <f aca="false">ROUND(E258*G258+F258,0)</f>
        <v>752</v>
      </c>
      <c r="D258" s="90" t="s">
        <v>238</v>
      </c>
      <c r="E258" s="90" t="n">
        <v>1000</v>
      </c>
      <c r="F258" s="90" t="n">
        <f aca="false">H258+I258+J258+K258+L258+M258</f>
        <v>32</v>
      </c>
      <c r="G258" s="90" t="n">
        <v>0.72</v>
      </c>
      <c r="K258" s="90" t="n">
        <v>32</v>
      </c>
    </row>
    <row r="259" customFormat="false" ht="17.6" hidden="false" customHeight="false" outlineLevel="0" collapsed="false">
      <c r="A259" s="91" t="s">
        <v>387</v>
      </c>
      <c r="B259" s="90" t="s">
        <v>40</v>
      </c>
      <c r="C259" s="90" t="n">
        <f aca="false">ROUND(E259*G259+F259,0)</f>
        <v>948</v>
      </c>
      <c r="D259" s="90" t="s">
        <v>238</v>
      </c>
      <c r="E259" s="90" t="n">
        <v>1000</v>
      </c>
      <c r="F259" s="90" t="n">
        <f aca="false">H259+I259+J259+K259+L259+M259</f>
        <v>228</v>
      </c>
      <c r="G259" s="90" t="n">
        <v>0.72</v>
      </c>
      <c r="K259" s="90" t="n">
        <v>32</v>
      </c>
      <c r="M259" s="90" t="n">
        <v>196</v>
      </c>
    </row>
    <row r="260" customFormat="false" ht="17.6" hidden="false" customHeight="false" outlineLevel="0" collapsed="false">
      <c r="A260" s="91" t="s">
        <v>388</v>
      </c>
      <c r="B260" s="90" t="s">
        <v>40</v>
      </c>
      <c r="C260" s="90" t="n">
        <f aca="false">ROUND(E260*G260+F260,0)</f>
        <v>916</v>
      </c>
      <c r="D260" s="90" t="s">
        <v>238</v>
      </c>
      <c r="E260" s="90" t="n">
        <v>1000</v>
      </c>
      <c r="F260" s="90" t="n">
        <f aca="false">H260+I260+J260+K260+L260+M260</f>
        <v>196</v>
      </c>
      <c r="G260" s="90" t="n">
        <v>0.72</v>
      </c>
      <c r="M260" s="90" t="n">
        <v>196</v>
      </c>
    </row>
    <row r="261" customFormat="false" ht="17.6" hidden="false" customHeight="false" outlineLevel="0" collapsed="false">
      <c r="A261" s="91" t="s">
        <v>389</v>
      </c>
      <c r="B261" s="90" t="s">
        <v>40</v>
      </c>
      <c r="C261" s="90" t="n">
        <f aca="false">ROUND(E261*G261+F261,0)</f>
        <v>791</v>
      </c>
      <c r="D261" s="90" t="s">
        <v>238</v>
      </c>
      <c r="E261" s="90" t="n">
        <v>1000</v>
      </c>
      <c r="F261" s="90" t="n">
        <f aca="false">H261+I261+J261+K261+L261+M261</f>
        <v>71</v>
      </c>
      <c r="G261" s="90" t="n">
        <v>0.72</v>
      </c>
      <c r="H261" s="90" t="n">
        <v>35</v>
      </c>
      <c r="J261" s="90" t="n">
        <v>36</v>
      </c>
    </row>
    <row r="262" customFormat="false" ht="17.6" hidden="false" customHeight="false" outlineLevel="0" collapsed="false">
      <c r="A262" s="91" t="s">
        <v>390</v>
      </c>
      <c r="B262" s="90" t="s">
        <v>40</v>
      </c>
      <c r="C262" s="90" t="n">
        <f aca="false">ROUND(E262*G262+F262,0)</f>
        <v>756</v>
      </c>
      <c r="D262" s="90" t="s">
        <v>238</v>
      </c>
      <c r="E262" s="90" t="n">
        <v>1000</v>
      </c>
      <c r="F262" s="90" t="n">
        <f aca="false">H262+I262+J262+K262+L262+M262</f>
        <v>36</v>
      </c>
      <c r="G262" s="90" t="n">
        <v>0.72</v>
      </c>
      <c r="J262" s="90" t="n">
        <v>36</v>
      </c>
    </row>
    <row r="263" customFormat="false" ht="17.6" hidden="false" customHeight="false" outlineLevel="0" collapsed="false">
      <c r="A263" s="91" t="s">
        <v>391</v>
      </c>
      <c r="B263" s="90" t="s">
        <v>40</v>
      </c>
      <c r="C263" s="90" t="n">
        <f aca="false">ROUND(E263*G263+F263,0)</f>
        <v>952</v>
      </c>
      <c r="D263" s="90" t="s">
        <v>238</v>
      </c>
      <c r="E263" s="90" t="n">
        <v>1000</v>
      </c>
      <c r="F263" s="90" t="n">
        <f aca="false">H263+I263+J263+K263+L263+M263</f>
        <v>232</v>
      </c>
      <c r="G263" s="90" t="n">
        <v>0.72</v>
      </c>
      <c r="J263" s="90" t="n">
        <v>36</v>
      </c>
      <c r="M263" s="90" t="n">
        <v>196</v>
      </c>
    </row>
    <row r="264" customFormat="false" ht="17.6" hidden="false" customHeight="false" outlineLevel="0" collapsed="false">
      <c r="A264" s="91" t="s">
        <v>392</v>
      </c>
      <c r="B264" s="90" t="s">
        <v>40</v>
      </c>
      <c r="C264" s="90" t="n">
        <f aca="false">ROUND(E264*G264+F264,0)</f>
        <v>871</v>
      </c>
      <c r="D264" s="90" t="s">
        <v>238</v>
      </c>
      <c r="E264" s="90" t="n">
        <v>1000</v>
      </c>
      <c r="F264" s="90" t="n">
        <f aca="false">H264+I264+J264+K264+L264+M264</f>
        <v>151</v>
      </c>
      <c r="G264" s="90" t="n">
        <v>0.72</v>
      </c>
      <c r="H264" s="90" t="n">
        <v>35</v>
      </c>
      <c r="I264" s="90" t="n">
        <v>80</v>
      </c>
      <c r="J264" s="90" t="n">
        <v>36</v>
      </c>
    </row>
    <row r="265" customFormat="false" ht="17.6" hidden="false" customHeight="false" outlineLevel="0" collapsed="false">
      <c r="A265" s="91" t="s">
        <v>393</v>
      </c>
      <c r="B265" s="90" t="s">
        <v>40</v>
      </c>
      <c r="C265" s="90" t="n">
        <f aca="false">ROUND(E265*G265+F265,0)</f>
        <v>836</v>
      </c>
      <c r="D265" s="90" t="s">
        <v>238</v>
      </c>
      <c r="E265" s="90" t="n">
        <v>1000</v>
      </c>
      <c r="F265" s="90" t="n">
        <f aca="false">H265+I265+J265+K265+L265+M265</f>
        <v>116</v>
      </c>
      <c r="G265" s="90" t="n">
        <v>0.72</v>
      </c>
      <c r="I265" s="90" t="n">
        <v>80</v>
      </c>
      <c r="J265" s="90" t="n">
        <v>36</v>
      </c>
    </row>
    <row r="266" customFormat="false" ht="17.6" hidden="false" customHeight="false" outlineLevel="0" collapsed="false">
      <c r="A266" s="91" t="s">
        <v>394</v>
      </c>
      <c r="B266" s="90" t="s">
        <v>40</v>
      </c>
      <c r="C266" s="90" t="n">
        <f aca="false">ROUND(E266*G266+F266,0)</f>
        <v>1032</v>
      </c>
      <c r="D266" s="90" t="s">
        <v>238</v>
      </c>
      <c r="E266" s="90" t="n">
        <v>1000</v>
      </c>
      <c r="F266" s="90" t="n">
        <f aca="false">H266+I266+J266+K266+L266+M266</f>
        <v>312</v>
      </c>
      <c r="G266" s="90" t="n">
        <v>0.72</v>
      </c>
      <c r="I266" s="90" t="n">
        <v>80</v>
      </c>
      <c r="J266" s="90" t="n">
        <v>36</v>
      </c>
      <c r="M266" s="90" t="n">
        <v>196</v>
      </c>
    </row>
    <row r="267" customFormat="false" ht="17.6" hidden="false" customHeight="false" outlineLevel="0" collapsed="false">
      <c r="A267" s="91" t="s">
        <v>395</v>
      </c>
      <c r="B267" s="90" t="s">
        <v>40</v>
      </c>
      <c r="C267" s="90" t="n">
        <f aca="false">600*0.72+35</f>
        <v>467</v>
      </c>
      <c r="D267" s="90" t="s">
        <v>396</v>
      </c>
      <c r="E267" s="91"/>
      <c r="F267" s="91"/>
      <c r="G267" s="91"/>
      <c r="H267" s="91"/>
      <c r="I267" s="91"/>
      <c r="J267" s="91"/>
      <c r="K267" s="91"/>
      <c r="L267" s="91"/>
      <c r="M267" s="91"/>
    </row>
    <row r="268" customFormat="false" ht="17.6" hidden="false" customHeight="false" outlineLevel="0" collapsed="false">
      <c r="A268" s="91" t="s">
        <v>397</v>
      </c>
      <c r="B268" s="90" t="s">
        <v>40</v>
      </c>
      <c r="C268" s="90" t="n">
        <f aca="false">ROUND(E268*G268+F268,0)</f>
        <v>467</v>
      </c>
      <c r="D268" s="90" t="s">
        <v>238</v>
      </c>
      <c r="E268" s="90" t="n">
        <v>600</v>
      </c>
      <c r="F268" s="90" t="n">
        <f aca="false">H268+I268+J268+K268+L268+M268</f>
        <v>35</v>
      </c>
      <c r="G268" s="90" t="n">
        <v>0.72</v>
      </c>
      <c r="H268" s="90" t="n">
        <v>35</v>
      </c>
    </row>
    <row r="269" customFormat="false" ht="17.6" hidden="false" customHeight="false" outlineLevel="0" collapsed="false">
      <c r="A269" s="91" t="s">
        <v>398</v>
      </c>
      <c r="B269" s="90" t="s">
        <v>40</v>
      </c>
      <c r="C269" s="90" t="n">
        <f aca="false">ROUND(E269*G269+F269,0)</f>
        <v>432</v>
      </c>
      <c r="D269" s="90" t="s">
        <v>238</v>
      </c>
      <c r="E269" s="90" t="n">
        <v>600</v>
      </c>
      <c r="F269" s="90" t="n">
        <f aca="false">H269+I269+J269+K269+L269+M269</f>
        <v>0</v>
      </c>
      <c r="G269" s="90" t="n">
        <v>0.72</v>
      </c>
    </row>
    <row r="270" customFormat="false" ht="17.6" hidden="false" customHeight="false" outlineLevel="0" collapsed="false">
      <c r="A270" s="91" t="s">
        <v>399</v>
      </c>
      <c r="B270" s="90" t="s">
        <v>40</v>
      </c>
      <c r="C270" s="90" t="n">
        <f aca="false">ROUND(E270*G270+F270,0)</f>
        <v>497</v>
      </c>
      <c r="D270" s="90" t="s">
        <v>238</v>
      </c>
      <c r="E270" s="90" t="n">
        <v>600</v>
      </c>
      <c r="F270" s="90" t="n">
        <f aca="false">H270+I270+J270+K270+L270+M270</f>
        <v>65</v>
      </c>
      <c r="G270" s="90" t="n">
        <v>0.72</v>
      </c>
      <c r="H270" s="90" t="n">
        <v>35</v>
      </c>
      <c r="L270" s="90" t="n">
        <v>30</v>
      </c>
    </row>
    <row r="271" customFormat="false" ht="17.6" hidden="false" customHeight="false" outlineLevel="0" collapsed="false">
      <c r="A271" s="91" t="s">
        <v>400</v>
      </c>
      <c r="B271" s="90" t="s">
        <v>40</v>
      </c>
      <c r="C271" s="90" t="n">
        <f aca="false">ROUND(E271*G271+F271,0)</f>
        <v>462</v>
      </c>
      <c r="D271" s="90" t="s">
        <v>238</v>
      </c>
      <c r="E271" s="90" t="n">
        <v>600</v>
      </c>
      <c r="F271" s="90" t="n">
        <f aca="false">H271+I271+J271+K271+L271+M271</f>
        <v>30</v>
      </c>
      <c r="G271" s="90" t="n">
        <v>0.72</v>
      </c>
      <c r="L271" s="90" t="n">
        <v>30</v>
      </c>
    </row>
    <row r="272" customFormat="false" ht="17.6" hidden="false" customHeight="false" outlineLevel="0" collapsed="false">
      <c r="A272" s="91" t="s">
        <v>401</v>
      </c>
      <c r="B272" s="90" t="s">
        <v>40</v>
      </c>
      <c r="C272" s="90" t="n">
        <f aca="false">ROUND(E272*G272+F272,0)</f>
        <v>658</v>
      </c>
      <c r="D272" s="90" t="s">
        <v>238</v>
      </c>
      <c r="E272" s="90" t="n">
        <v>600</v>
      </c>
      <c r="F272" s="90" t="n">
        <f aca="false">H272+I272+J272+K272+L272+M272</f>
        <v>226</v>
      </c>
      <c r="G272" s="90" t="n">
        <v>0.72</v>
      </c>
      <c r="L272" s="90" t="n">
        <v>30</v>
      </c>
      <c r="M272" s="90" t="n">
        <v>196</v>
      </c>
    </row>
    <row r="273" customFormat="false" ht="17.6" hidden="false" customHeight="false" outlineLevel="0" collapsed="false">
      <c r="A273" s="91" t="s">
        <v>402</v>
      </c>
      <c r="B273" s="90" t="s">
        <v>40</v>
      </c>
      <c r="C273" s="90" t="n">
        <f aca="false">ROUND(E273*G273+F273,0)</f>
        <v>499</v>
      </c>
      <c r="D273" s="90" t="s">
        <v>238</v>
      </c>
      <c r="E273" s="90" t="n">
        <v>600</v>
      </c>
      <c r="F273" s="90" t="n">
        <f aca="false">H273+I273+J273+K273+L273+M273</f>
        <v>67</v>
      </c>
      <c r="G273" s="90" t="n">
        <v>0.72</v>
      </c>
      <c r="H273" s="90" t="n">
        <v>35</v>
      </c>
      <c r="K273" s="90" t="n">
        <v>32</v>
      </c>
    </row>
    <row r="274" customFormat="false" ht="17.6" hidden="false" customHeight="false" outlineLevel="0" collapsed="false">
      <c r="A274" s="91" t="s">
        <v>403</v>
      </c>
      <c r="B274" s="90" t="s">
        <v>40</v>
      </c>
      <c r="C274" s="90" t="n">
        <f aca="false">ROUND(E274*G274+F274,0)</f>
        <v>464</v>
      </c>
      <c r="D274" s="90" t="s">
        <v>238</v>
      </c>
      <c r="E274" s="90" t="n">
        <v>600</v>
      </c>
      <c r="F274" s="90" t="n">
        <f aca="false">H274+I274+J274+K274+L274+M274</f>
        <v>32</v>
      </c>
      <c r="G274" s="90" t="n">
        <v>0.72</v>
      </c>
      <c r="K274" s="90" t="n">
        <v>32</v>
      </c>
    </row>
    <row r="275" customFormat="false" ht="17.6" hidden="false" customHeight="false" outlineLevel="0" collapsed="false">
      <c r="A275" s="91" t="s">
        <v>404</v>
      </c>
      <c r="B275" s="90" t="s">
        <v>40</v>
      </c>
      <c r="C275" s="90" t="n">
        <f aca="false">ROUND(E275*G275+F275,0)</f>
        <v>660</v>
      </c>
      <c r="D275" s="90" t="s">
        <v>238</v>
      </c>
      <c r="E275" s="90" t="n">
        <v>600</v>
      </c>
      <c r="F275" s="90" t="n">
        <f aca="false">H275+I275+J275+K275+L275+M275</f>
        <v>228</v>
      </c>
      <c r="G275" s="90" t="n">
        <v>0.72</v>
      </c>
      <c r="K275" s="90" t="n">
        <v>32</v>
      </c>
      <c r="M275" s="90" t="n">
        <v>196</v>
      </c>
    </row>
    <row r="276" customFormat="false" ht="17.6" hidden="false" customHeight="false" outlineLevel="0" collapsed="false">
      <c r="A276" s="91" t="s">
        <v>405</v>
      </c>
      <c r="B276" s="90" t="s">
        <v>40</v>
      </c>
      <c r="C276" s="90" t="n">
        <f aca="false">ROUND(E276*G276+F276,0)</f>
        <v>628</v>
      </c>
      <c r="D276" s="90" t="s">
        <v>238</v>
      </c>
      <c r="E276" s="90" t="n">
        <v>600</v>
      </c>
      <c r="F276" s="90" t="n">
        <f aca="false">H276+I276+J276+K276+L276+M276</f>
        <v>196</v>
      </c>
      <c r="G276" s="90" t="n">
        <v>0.72</v>
      </c>
      <c r="M276" s="90" t="n">
        <v>196</v>
      </c>
    </row>
    <row r="277" customFormat="false" ht="17.6" hidden="false" customHeight="false" outlineLevel="0" collapsed="false">
      <c r="A277" s="91" t="s">
        <v>406</v>
      </c>
      <c r="B277" s="90" t="s">
        <v>40</v>
      </c>
      <c r="C277" s="90" t="n">
        <f aca="false">ROUND(E277*G277+F277,0)</f>
        <v>503</v>
      </c>
      <c r="D277" s="90" t="s">
        <v>238</v>
      </c>
      <c r="E277" s="90" t="n">
        <v>600</v>
      </c>
      <c r="F277" s="90" t="n">
        <f aca="false">H277+I277+J277+K277+L277+M277</f>
        <v>71</v>
      </c>
      <c r="G277" s="90" t="n">
        <v>0.72</v>
      </c>
      <c r="H277" s="90" t="n">
        <v>35</v>
      </c>
      <c r="J277" s="90" t="n">
        <v>36</v>
      </c>
    </row>
    <row r="278" customFormat="false" ht="17.6" hidden="false" customHeight="false" outlineLevel="0" collapsed="false">
      <c r="A278" s="91" t="s">
        <v>407</v>
      </c>
      <c r="B278" s="90" t="s">
        <v>40</v>
      </c>
      <c r="C278" s="90" t="n">
        <f aca="false">ROUND(E278*G278+F278,0)</f>
        <v>468</v>
      </c>
      <c r="D278" s="90" t="s">
        <v>238</v>
      </c>
      <c r="E278" s="90" t="n">
        <v>600</v>
      </c>
      <c r="F278" s="90" t="n">
        <f aca="false">H278+I278+J278+K278+L278+M278</f>
        <v>36</v>
      </c>
      <c r="G278" s="90" t="n">
        <v>0.72</v>
      </c>
      <c r="J278" s="90" t="n">
        <v>36</v>
      </c>
    </row>
    <row r="279" customFormat="false" ht="17.6" hidden="false" customHeight="false" outlineLevel="0" collapsed="false">
      <c r="A279" s="91" t="s">
        <v>408</v>
      </c>
      <c r="B279" s="90" t="s">
        <v>40</v>
      </c>
      <c r="C279" s="90" t="n">
        <f aca="false">ROUND(E279*G279+F279,0)</f>
        <v>664</v>
      </c>
      <c r="D279" s="90" t="s">
        <v>238</v>
      </c>
      <c r="E279" s="90" t="n">
        <v>600</v>
      </c>
      <c r="F279" s="90" t="n">
        <f aca="false">H279+I279+J279+K279+L279+M279</f>
        <v>232</v>
      </c>
      <c r="G279" s="90" t="n">
        <v>0.72</v>
      </c>
      <c r="J279" s="90" t="n">
        <v>36</v>
      </c>
      <c r="M279" s="90" t="n">
        <v>196</v>
      </c>
    </row>
    <row r="280" customFormat="false" ht="17.6" hidden="false" customHeight="false" outlineLevel="0" collapsed="false">
      <c r="A280" s="91" t="s">
        <v>409</v>
      </c>
      <c r="B280" s="90" t="s">
        <v>40</v>
      </c>
      <c r="C280" s="90" t="n">
        <f aca="false">ROUND(E280*G280+F280,0)</f>
        <v>583</v>
      </c>
      <c r="D280" s="90" t="s">
        <v>238</v>
      </c>
      <c r="E280" s="90" t="n">
        <v>600</v>
      </c>
      <c r="F280" s="90" t="n">
        <f aca="false">H280+I280+J280+K280+L280+M280</f>
        <v>151</v>
      </c>
      <c r="G280" s="90" t="n">
        <v>0.72</v>
      </c>
      <c r="H280" s="90" t="n">
        <v>35</v>
      </c>
      <c r="I280" s="90" t="n">
        <v>80</v>
      </c>
      <c r="J280" s="90" t="n">
        <v>36</v>
      </c>
      <c r="K280" s="91"/>
      <c r="L280" s="91"/>
      <c r="M280" s="91"/>
    </row>
    <row r="281" customFormat="false" ht="17.6" hidden="false" customHeight="false" outlineLevel="0" collapsed="false">
      <c r="A281" s="91" t="s">
        <v>410</v>
      </c>
      <c r="B281" s="90" t="s">
        <v>40</v>
      </c>
      <c r="C281" s="90" t="n">
        <f aca="false">ROUND(E281*G281+F281,0)</f>
        <v>548</v>
      </c>
      <c r="D281" s="90" t="s">
        <v>238</v>
      </c>
      <c r="E281" s="90" t="n">
        <v>600</v>
      </c>
      <c r="F281" s="90" t="n">
        <f aca="false">H281+I281+J281+K281+L281+M281</f>
        <v>116</v>
      </c>
      <c r="G281" s="90" t="n">
        <v>0.72</v>
      </c>
      <c r="I281" s="90" t="n">
        <v>80</v>
      </c>
      <c r="J281" s="90" t="n">
        <v>36</v>
      </c>
    </row>
    <row r="282" customFormat="false" ht="17.6" hidden="false" customHeight="false" outlineLevel="0" collapsed="false">
      <c r="A282" s="91" t="s">
        <v>411</v>
      </c>
      <c r="B282" s="90" t="s">
        <v>40</v>
      </c>
      <c r="C282" s="90" t="n">
        <f aca="false">ROUND(E282*G282+F282,0)</f>
        <v>744</v>
      </c>
      <c r="D282" s="90" t="s">
        <v>238</v>
      </c>
      <c r="E282" s="90" t="n">
        <v>600</v>
      </c>
      <c r="F282" s="90" t="n">
        <f aca="false">H282+I282+J282+K282+L282+M282</f>
        <v>312</v>
      </c>
      <c r="G282" s="90" t="n">
        <v>0.72</v>
      </c>
      <c r="I282" s="90" t="n">
        <v>80</v>
      </c>
      <c r="J282" s="90" t="n">
        <v>36</v>
      </c>
      <c r="M282" s="90" t="n">
        <v>196</v>
      </c>
    </row>
    <row r="283" customFormat="false" ht="17.6" hidden="false" customHeight="false" outlineLevel="0" collapsed="false">
      <c r="A283" s="91" t="s">
        <v>412</v>
      </c>
      <c r="B283" s="90" t="s">
        <v>40</v>
      </c>
      <c r="C283" s="90" t="n">
        <f aca="false">ROUND(E283*G283+F283,0)</f>
        <v>611</v>
      </c>
      <c r="D283" s="90" t="s">
        <v>238</v>
      </c>
      <c r="E283" s="90" t="n">
        <v>800</v>
      </c>
      <c r="F283" s="90" t="n">
        <f aca="false">H283+I283+J283+K283+L283+M283</f>
        <v>35</v>
      </c>
      <c r="G283" s="90" t="n">
        <v>0.72</v>
      </c>
      <c r="H283" s="90" t="n">
        <v>35</v>
      </c>
    </row>
    <row r="284" customFormat="false" ht="17.6" hidden="false" customHeight="false" outlineLevel="0" collapsed="false">
      <c r="A284" s="91" t="s">
        <v>413</v>
      </c>
      <c r="B284" s="90" t="s">
        <v>40</v>
      </c>
      <c r="C284" s="90" t="n">
        <f aca="false">ROUND(E284*G284+F284,0)</f>
        <v>576</v>
      </c>
      <c r="D284" s="90" t="s">
        <v>238</v>
      </c>
      <c r="E284" s="90" t="n">
        <v>800</v>
      </c>
      <c r="F284" s="90" t="n">
        <f aca="false">H284+I284+J284+K284+L284+M284</f>
        <v>0</v>
      </c>
      <c r="G284" s="90" t="n">
        <v>0.72</v>
      </c>
    </row>
    <row r="285" customFormat="false" ht="17.6" hidden="false" customHeight="false" outlineLevel="0" collapsed="false">
      <c r="A285" s="91" t="s">
        <v>414</v>
      </c>
      <c r="B285" s="90" t="s">
        <v>40</v>
      </c>
      <c r="C285" s="90" t="n">
        <f aca="false">ROUND(E285*G285+F285,0)</f>
        <v>641</v>
      </c>
      <c r="D285" s="90" t="s">
        <v>238</v>
      </c>
      <c r="E285" s="90" t="n">
        <v>800</v>
      </c>
      <c r="F285" s="90" t="n">
        <f aca="false">H285+I285+J285+K285+L285+M285</f>
        <v>65</v>
      </c>
      <c r="G285" s="90" t="n">
        <v>0.72</v>
      </c>
      <c r="H285" s="90" t="n">
        <v>35</v>
      </c>
      <c r="L285" s="90" t="n">
        <v>30</v>
      </c>
    </row>
    <row r="286" customFormat="false" ht="17.6" hidden="false" customHeight="false" outlineLevel="0" collapsed="false">
      <c r="A286" s="91" t="s">
        <v>415</v>
      </c>
      <c r="B286" s="90" t="s">
        <v>40</v>
      </c>
      <c r="C286" s="90" t="n">
        <f aca="false">ROUND(E286*G286+F286,0)</f>
        <v>606</v>
      </c>
      <c r="D286" s="90" t="s">
        <v>238</v>
      </c>
      <c r="E286" s="90" t="n">
        <v>800</v>
      </c>
      <c r="F286" s="90" t="n">
        <f aca="false">H286+I286+J286+K286+L286+M286</f>
        <v>30</v>
      </c>
      <c r="G286" s="90" t="n">
        <v>0.72</v>
      </c>
      <c r="L286" s="90" t="n">
        <v>30</v>
      </c>
    </row>
    <row r="287" customFormat="false" ht="17.6" hidden="false" customHeight="false" outlineLevel="0" collapsed="false">
      <c r="A287" s="91" t="s">
        <v>416</v>
      </c>
      <c r="B287" s="90" t="s">
        <v>40</v>
      </c>
      <c r="C287" s="90" t="n">
        <f aca="false">ROUND(E287*G287+F287,0)</f>
        <v>802</v>
      </c>
      <c r="D287" s="90" t="s">
        <v>238</v>
      </c>
      <c r="E287" s="90" t="n">
        <v>800</v>
      </c>
      <c r="F287" s="90" t="n">
        <f aca="false">H287+I287+J287+K287+L287+M287</f>
        <v>226</v>
      </c>
      <c r="G287" s="90" t="n">
        <v>0.72</v>
      </c>
      <c r="L287" s="90" t="n">
        <v>30</v>
      </c>
      <c r="M287" s="90" t="n">
        <v>196</v>
      </c>
    </row>
    <row r="288" customFormat="false" ht="17.6" hidden="false" customHeight="false" outlineLevel="0" collapsed="false">
      <c r="A288" s="91" t="s">
        <v>417</v>
      </c>
      <c r="B288" s="90" t="s">
        <v>40</v>
      </c>
      <c r="C288" s="90" t="n">
        <f aca="false">ROUND(E288*G288+F288,0)</f>
        <v>643</v>
      </c>
      <c r="D288" s="90" t="s">
        <v>238</v>
      </c>
      <c r="E288" s="90" t="n">
        <v>800</v>
      </c>
      <c r="F288" s="90" t="n">
        <f aca="false">H288+I288+J288+K288+L288+M288</f>
        <v>67</v>
      </c>
      <c r="G288" s="90" t="n">
        <v>0.72</v>
      </c>
      <c r="H288" s="90" t="n">
        <v>35</v>
      </c>
      <c r="K288" s="90" t="n">
        <v>32</v>
      </c>
    </row>
    <row r="289" customFormat="false" ht="17.6" hidden="false" customHeight="false" outlineLevel="0" collapsed="false">
      <c r="A289" s="91" t="s">
        <v>418</v>
      </c>
      <c r="B289" s="90" t="s">
        <v>40</v>
      </c>
      <c r="C289" s="90" t="n">
        <f aca="false">ROUND(E289*G289+F289,0)</f>
        <v>608</v>
      </c>
      <c r="D289" s="90" t="s">
        <v>238</v>
      </c>
      <c r="E289" s="90" t="n">
        <v>800</v>
      </c>
      <c r="F289" s="90" t="n">
        <f aca="false">H289+I289+J289+K289+L289+M289</f>
        <v>32</v>
      </c>
      <c r="G289" s="90" t="n">
        <v>0.72</v>
      </c>
      <c r="K289" s="90" t="n">
        <v>32</v>
      </c>
    </row>
    <row r="290" customFormat="false" ht="17.6" hidden="false" customHeight="false" outlineLevel="0" collapsed="false">
      <c r="A290" s="91" t="s">
        <v>419</v>
      </c>
      <c r="B290" s="90" t="s">
        <v>40</v>
      </c>
      <c r="C290" s="90" t="n">
        <f aca="false">ROUND(E290*G290+F290,0)</f>
        <v>804</v>
      </c>
      <c r="D290" s="90" t="s">
        <v>238</v>
      </c>
      <c r="E290" s="90" t="n">
        <v>800</v>
      </c>
      <c r="F290" s="90" t="n">
        <f aca="false">H290+I290+J290+K290+L290+M290</f>
        <v>228</v>
      </c>
      <c r="G290" s="90" t="n">
        <v>0.72</v>
      </c>
      <c r="K290" s="90" t="n">
        <v>32</v>
      </c>
      <c r="M290" s="90" t="n">
        <v>196</v>
      </c>
    </row>
    <row r="291" customFormat="false" ht="17.6" hidden="false" customHeight="false" outlineLevel="0" collapsed="false">
      <c r="A291" s="91" t="s">
        <v>420</v>
      </c>
      <c r="B291" s="90" t="s">
        <v>40</v>
      </c>
      <c r="C291" s="90" t="n">
        <f aca="false">ROUND(E291*G291+F291,0)</f>
        <v>772</v>
      </c>
      <c r="D291" s="90" t="s">
        <v>238</v>
      </c>
      <c r="E291" s="90" t="n">
        <v>800</v>
      </c>
      <c r="F291" s="90" t="n">
        <f aca="false">H291+I291+J291+K291+L291+M291</f>
        <v>196</v>
      </c>
      <c r="G291" s="90" t="n">
        <v>0.72</v>
      </c>
      <c r="M291" s="90" t="n">
        <v>196</v>
      </c>
    </row>
    <row r="292" customFormat="false" ht="17.6" hidden="false" customHeight="false" outlineLevel="0" collapsed="false">
      <c r="A292" s="91" t="s">
        <v>421</v>
      </c>
      <c r="B292" s="90" t="s">
        <v>40</v>
      </c>
      <c r="C292" s="90" t="n">
        <f aca="false">ROUND(E292*G292+F292,0)</f>
        <v>647</v>
      </c>
      <c r="D292" s="90" t="s">
        <v>238</v>
      </c>
      <c r="E292" s="90" t="n">
        <v>800</v>
      </c>
      <c r="F292" s="90" t="n">
        <f aca="false">H292+I292+J292+K292+L292+M292</f>
        <v>71</v>
      </c>
      <c r="G292" s="90" t="n">
        <v>0.72</v>
      </c>
      <c r="H292" s="90" t="n">
        <v>35</v>
      </c>
      <c r="J292" s="90" t="n">
        <v>36</v>
      </c>
    </row>
    <row r="293" customFormat="false" ht="17.6" hidden="false" customHeight="false" outlineLevel="0" collapsed="false">
      <c r="A293" s="91" t="s">
        <v>422</v>
      </c>
      <c r="B293" s="90" t="s">
        <v>40</v>
      </c>
      <c r="C293" s="90" t="n">
        <f aca="false">ROUND(E293*G293+F293,0)</f>
        <v>612</v>
      </c>
      <c r="D293" s="90" t="s">
        <v>238</v>
      </c>
      <c r="E293" s="90" t="n">
        <v>800</v>
      </c>
      <c r="F293" s="90" t="n">
        <f aca="false">H293+I293+J293+K293+L293+M293</f>
        <v>36</v>
      </c>
      <c r="G293" s="90" t="n">
        <v>0.72</v>
      </c>
      <c r="J293" s="90" t="n">
        <v>36</v>
      </c>
    </row>
    <row r="294" customFormat="false" ht="17.6" hidden="false" customHeight="false" outlineLevel="0" collapsed="false">
      <c r="A294" s="91" t="s">
        <v>423</v>
      </c>
      <c r="B294" s="90" t="s">
        <v>40</v>
      </c>
      <c r="C294" s="90" t="n">
        <f aca="false">ROUND(E294*G294+F294,0)</f>
        <v>808</v>
      </c>
      <c r="D294" s="90" t="s">
        <v>238</v>
      </c>
      <c r="E294" s="90" t="n">
        <v>800</v>
      </c>
      <c r="F294" s="90" t="n">
        <f aca="false">H294+I294+J294+K294+L294+M294</f>
        <v>232</v>
      </c>
      <c r="G294" s="90" t="n">
        <v>0.72</v>
      </c>
      <c r="J294" s="90" t="n">
        <v>36</v>
      </c>
      <c r="M294" s="90" t="n">
        <v>196</v>
      </c>
    </row>
    <row r="295" customFormat="false" ht="17.6" hidden="false" customHeight="false" outlineLevel="0" collapsed="false">
      <c r="A295" s="91" t="s">
        <v>424</v>
      </c>
      <c r="B295" s="90" t="s">
        <v>40</v>
      </c>
      <c r="C295" s="90" t="n">
        <f aca="false">ROUND(E295*G295+F295,0)</f>
        <v>727</v>
      </c>
      <c r="D295" s="90" t="s">
        <v>238</v>
      </c>
      <c r="E295" s="90" t="n">
        <v>800</v>
      </c>
      <c r="F295" s="90" t="n">
        <f aca="false">H295+I295+J295+K295+L295+M295</f>
        <v>151</v>
      </c>
      <c r="G295" s="90" t="n">
        <v>0.72</v>
      </c>
      <c r="H295" s="90" t="n">
        <v>35</v>
      </c>
      <c r="I295" s="90" t="n">
        <v>80</v>
      </c>
      <c r="J295" s="90" t="n">
        <v>36</v>
      </c>
      <c r="K295" s="91"/>
      <c r="L295" s="91"/>
      <c r="M295" s="91"/>
    </row>
    <row r="296" customFormat="false" ht="17.6" hidden="false" customHeight="false" outlineLevel="0" collapsed="false">
      <c r="A296" s="91" t="s">
        <v>425</v>
      </c>
      <c r="B296" s="90" t="s">
        <v>40</v>
      </c>
      <c r="C296" s="90" t="n">
        <f aca="false">ROUND(E296*G296+F296,0)</f>
        <v>692</v>
      </c>
      <c r="D296" s="90" t="s">
        <v>238</v>
      </c>
      <c r="E296" s="90" t="n">
        <v>800</v>
      </c>
      <c r="F296" s="90" t="n">
        <f aca="false">H296+I296+J296+K296+L296+M296</f>
        <v>116</v>
      </c>
      <c r="G296" s="90" t="n">
        <v>0.72</v>
      </c>
      <c r="I296" s="90" t="n">
        <v>80</v>
      </c>
      <c r="J296" s="90" t="n">
        <v>36</v>
      </c>
    </row>
    <row r="297" customFormat="false" ht="17.6" hidden="false" customHeight="false" outlineLevel="0" collapsed="false">
      <c r="A297" s="91" t="s">
        <v>426</v>
      </c>
      <c r="B297" s="90" t="s">
        <v>40</v>
      </c>
      <c r="C297" s="90" t="n">
        <f aca="false">ROUND(E297*G297+F297,0)</f>
        <v>888</v>
      </c>
      <c r="D297" s="90" t="s">
        <v>238</v>
      </c>
      <c r="E297" s="90" t="n">
        <v>800</v>
      </c>
      <c r="F297" s="90" t="n">
        <f aca="false">H297+I297+J297+K297+L297+M297</f>
        <v>312</v>
      </c>
      <c r="G297" s="90" t="n">
        <v>0.72</v>
      </c>
      <c r="I297" s="90" t="n">
        <v>80</v>
      </c>
      <c r="J297" s="90" t="n">
        <v>36</v>
      </c>
      <c r="M297" s="90" t="n">
        <v>196</v>
      </c>
    </row>
    <row r="298" customFormat="false" ht="17.6" hidden="false" customHeight="false" outlineLevel="0" collapsed="false">
      <c r="A298" s="91" t="s">
        <v>427</v>
      </c>
      <c r="B298" s="90" t="s">
        <v>40</v>
      </c>
      <c r="C298" s="90" t="n">
        <f aca="false">ROUND(E298*G298+F298,0)</f>
        <v>899</v>
      </c>
      <c r="D298" s="90" t="s">
        <v>238</v>
      </c>
      <c r="E298" s="90" t="n">
        <v>1200</v>
      </c>
      <c r="F298" s="90" t="n">
        <f aca="false">H298+I298+J298+K298+L298+M298</f>
        <v>35</v>
      </c>
      <c r="G298" s="90" t="n">
        <v>0.72</v>
      </c>
      <c r="H298" s="90" t="n">
        <v>35</v>
      </c>
    </row>
    <row r="299" customFormat="false" ht="17.6" hidden="false" customHeight="false" outlineLevel="0" collapsed="false">
      <c r="A299" s="91" t="s">
        <v>428</v>
      </c>
      <c r="B299" s="90" t="s">
        <v>40</v>
      </c>
      <c r="C299" s="90" t="n">
        <f aca="false">ROUND(E299*G299+F299,0)</f>
        <v>864</v>
      </c>
      <c r="D299" s="90" t="s">
        <v>238</v>
      </c>
      <c r="E299" s="90" t="n">
        <v>1200</v>
      </c>
      <c r="F299" s="90" t="n">
        <f aca="false">H299+I299+J299+K299+L299+M299</f>
        <v>0</v>
      </c>
      <c r="G299" s="90" t="n">
        <v>0.72</v>
      </c>
    </row>
    <row r="300" customFormat="false" ht="17.6" hidden="false" customHeight="false" outlineLevel="0" collapsed="false">
      <c r="A300" s="91" t="s">
        <v>429</v>
      </c>
      <c r="B300" s="90" t="s">
        <v>40</v>
      </c>
      <c r="C300" s="90" t="n">
        <f aca="false">ROUND(E300*G300+F300,0)</f>
        <v>929</v>
      </c>
      <c r="D300" s="90" t="s">
        <v>238</v>
      </c>
      <c r="E300" s="90" t="n">
        <v>1200</v>
      </c>
      <c r="F300" s="90" t="n">
        <f aca="false">H300+I300+J300+K300+L300+M300</f>
        <v>65</v>
      </c>
      <c r="G300" s="90" t="n">
        <v>0.72</v>
      </c>
      <c r="H300" s="90" t="n">
        <v>35</v>
      </c>
      <c r="L300" s="90" t="n">
        <v>30</v>
      </c>
    </row>
    <row r="301" customFormat="false" ht="17.6" hidden="false" customHeight="false" outlineLevel="0" collapsed="false">
      <c r="A301" s="91" t="s">
        <v>430</v>
      </c>
      <c r="B301" s="90" t="s">
        <v>40</v>
      </c>
      <c r="C301" s="90" t="n">
        <f aca="false">ROUND(E301*G301+F301,0)</f>
        <v>894</v>
      </c>
      <c r="D301" s="90" t="s">
        <v>238</v>
      </c>
      <c r="E301" s="90" t="n">
        <v>1200</v>
      </c>
      <c r="F301" s="90" t="n">
        <f aca="false">H301+I301+J301+K301+L301+M301</f>
        <v>30</v>
      </c>
      <c r="G301" s="90" t="n">
        <v>0.72</v>
      </c>
      <c r="L301" s="90" t="n">
        <v>30</v>
      </c>
    </row>
    <row r="302" customFormat="false" ht="17.6" hidden="false" customHeight="false" outlineLevel="0" collapsed="false">
      <c r="A302" s="91" t="s">
        <v>431</v>
      </c>
      <c r="B302" s="90" t="s">
        <v>40</v>
      </c>
      <c r="C302" s="90" t="n">
        <f aca="false">ROUND(E302*G302+F302,0)</f>
        <v>1090</v>
      </c>
      <c r="D302" s="90" t="s">
        <v>238</v>
      </c>
      <c r="E302" s="90" t="n">
        <v>1200</v>
      </c>
      <c r="F302" s="90" t="n">
        <f aca="false">H302+I302+J302+K302+L302+M302</f>
        <v>226</v>
      </c>
      <c r="G302" s="90" t="n">
        <v>0.72</v>
      </c>
      <c r="L302" s="90" t="n">
        <v>30</v>
      </c>
      <c r="M302" s="90" t="n">
        <v>196</v>
      </c>
    </row>
    <row r="303" customFormat="false" ht="17.6" hidden="false" customHeight="false" outlineLevel="0" collapsed="false">
      <c r="A303" s="91" t="s">
        <v>432</v>
      </c>
      <c r="B303" s="90" t="s">
        <v>40</v>
      </c>
      <c r="C303" s="90" t="n">
        <f aca="false">ROUND(E303*G303+F303,0)</f>
        <v>931</v>
      </c>
      <c r="D303" s="90" t="s">
        <v>238</v>
      </c>
      <c r="E303" s="90" t="n">
        <v>1200</v>
      </c>
      <c r="F303" s="90" t="n">
        <f aca="false">H303+I303+J303+K303+L303+M303</f>
        <v>67</v>
      </c>
      <c r="G303" s="90" t="n">
        <v>0.72</v>
      </c>
      <c r="H303" s="90" t="n">
        <v>35</v>
      </c>
      <c r="K303" s="90" t="n">
        <v>32</v>
      </c>
    </row>
    <row r="304" customFormat="false" ht="17.6" hidden="false" customHeight="false" outlineLevel="0" collapsed="false">
      <c r="A304" s="91" t="s">
        <v>433</v>
      </c>
      <c r="B304" s="90" t="s">
        <v>40</v>
      </c>
      <c r="C304" s="90" t="n">
        <f aca="false">ROUND(E304*G304+F304,0)</f>
        <v>896</v>
      </c>
      <c r="D304" s="90" t="s">
        <v>238</v>
      </c>
      <c r="E304" s="90" t="n">
        <v>1200</v>
      </c>
      <c r="F304" s="90" t="n">
        <f aca="false">H304+I304+J304+K304+L304+M304</f>
        <v>32</v>
      </c>
      <c r="G304" s="90" t="n">
        <v>0.72</v>
      </c>
      <c r="K304" s="90" t="n">
        <v>32</v>
      </c>
    </row>
    <row r="305" customFormat="false" ht="17.6" hidden="false" customHeight="false" outlineLevel="0" collapsed="false">
      <c r="A305" s="91" t="s">
        <v>434</v>
      </c>
      <c r="B305" s="90" t="s">
        <v>40</v>
      </c>
      <c r="C305" s="90" t="n">
        <f aca="false">ROUND(E305*G305+F305,0)</f>
        <v>1092</v>
      </c>
      <c r="D305" s="90" t="s">
        <v>238</v>
      </c>
      <c r="E305" s="90" t="n">
        <v>1200</v>
      </c>
      <c r="F305" s="90" t="n">
        <f aca="false">H305+I305+J305+K305+L305+M305</f>
        <v>228</v>
      </c>
      <c r="G305" s="90" t="n">
        <v>0.72</v>
      </c>
      <c r="K305" s="90" t="n">
        <v>32</v>
      </c>
      <c r="M305" s="90" t="n">
        <v>196</v>
      </c>
    </row>
    <row r="306" customFormat="false" ht="17.6" hidden="false" customHeight="false" outlineLevel="0" collapsed="false">
      <c r="A306" s="91" t="s">
        <v>435</v>
      </c>
      <c r="B306" s="90" t="s">
        <v>40</v>
      </c>
      <c r="C306" s="90" t="n">
        <f aca="false">ROUND(E306*G306+F306,0)</f>
        <v>1060</v>
      </c>
      <c r="D306" s="90" t="s">
        <v>238</v>
      </c>
      <c r="E306" s="90" t="n">
        <v>1200</v>
      </c>
      <c r="F306" s="90" t="n">
        <f aca="false">H306+I306+J306+K306+L306+M306</f>
        <v>196</v>
      </c>
      <c r="G306" s="90" t="n">
        <v>0.72</v>
      </c>
      <c r="M306" s="90" t="n">
        <v>196</v>
      </c>
    </row>
    <row r="307" customFormat="false" ht="17.6" hidden="false" customHeight="false" outlineLevel="0" collapsed="false">
      <c r="A307" s="91" t="s">
        <v>436</v>
      </c>
      <c r="B307" s="90" t="s">
        <v>40</v>
      </c>
      <c r="C307" s="90" t="n">
        <f aca="false">ROUND(E307*G307+F307,0)</f>
        <v>935</v>
      </c>
      <c r="D307" s="90" t="s">
        <v>238</v>
      </c>
      <c r="E307" s="90" t="n">
        <v>1200</v>
      </c>
      <c r="F307" s="90" t="n">
        <f aca="false">H307+I307+J307+K307+L307+M307</f>
        <v>71</v>
      </c>
      <c r="G307" s="90" t="n">
        <v>0.72</v>
      </c>
      <c r="H307" s="90" t="n">
        <v>35</v>
      </c>
      <c r="J307" s="90" t="n">
        <v>36</v>
      </c>
    </row>
    <row r="308" customFormat="false" ht="17.6" hidden="false" customHeight="false" outlineLevel="0" collapsed="false">
      <c r="A308" s="91" t="s">
        <v>437</v>
      </c>
      <c r="B308" s="90" t="s">
        <v>40</v>
      </c>
      <c r="C308" s="90" t="n">
        <f aca="false">ROUND(E308*G308+F308,0)</f>
        <v>900</v>
      </c>
      <c r="D308" s="90" t="s">
        <v>238</v>
      </c>
      <c r="E308" s="90" t="n">
        <v>1200</v>
      </c>
      <c r="F308" s="90" t="n">
        <f aca="false">H308+I308+J308+K308+L308+M308</f>
        <v>36</v>
      </c>
      <c r="G308" s="90" t="n">
        <v>0.72</v>
      </c>
      <c r="J308" s="90" t="n">
        <v>36</v>
      </c>
    </row>
    <row r="309" customFormat="false" ht="17.6" hidden="false" customHeight="false" outlineLevel="0" collapsed="false">
      <c r="A309" s="91" t="s">
        <v>438</v>
      </c>
      <c r="B309" s="90" t="s">
        <v>40</v>
      </c>
      <c r="C309" s="90" t="n">
        <f aca="false">ROUND(E309*G309+F309,0)</f>
        <v>1096</v>
      </c>
      <c r="D309" s="90" t="s">
        <v>238</v>
      </c>
      <c r="E309" s="90" t="n">
        <v>1200</v>
      </c>
      <c r="F309" s="90" t="n">
        <f aca="false">H309+I309+J309+K309+L309+M309</f>
        <v>232</v>
      </c>
      <c r="G309" s="90" t="n">
        <v>0.72</v>
      </c>
      <c r="J309" s="90" t="n">
        <v>36</v>
      </c>
      <c r="M309" s="90" t="n">
        <v>196</v>
      </c>
    </row>
    <row r="310" customFormat="false" ht="17.6" hidden="false" customHeight="false" outlineLevel="0" collapsed="false">
      <c r="A310" s="91" t="s">
        <v>439</v>
      </c>
      <c r="B310" s="90" t="s">
        <v>40</v>
      </c>
      <c r="C310" s="90" t="n">
        <f aca="false">ROUND(E310*G310+F310,0)</f>
        <v>1015</v>
      </c>
      <c r="D310" s="90" t="s">
        <v>238</v>
      </c>
      <c r="E310" s="90" t="n">
        <v>1200</v>
      </c>
      <c r="F310" s="90" t="n">
        <f aca="false">H310+I310+J310+K310+L310+M310</f>
        <v>151</v>
      </c>
      <c r="G310" s="90" t="n">
        <v>0.72</v>
      </c>
      <c r="H310" s="90" t="n">
        <v>35</v>
      </c>
      <c r="I310" s="90" t="n">
        <v>80</v>
      </c>
      <c r="J310" s="90" t="n">
        <v>36</v>
      </c>
      <c r="K310" s="91"/>
      <c r="L310" s="91"/>
      <c r="M310" s="91"/>
    </row>
    <row r="311" customFormat="false" ht="17.6" hidden="false" customHeight="false" outlineLevel="0" collapsed="false">
      <c r="A311" s="91" t="s">
        <v>440</v>
      </c>
      <c r="B311" s="90" t="s">
        <v>40</v>
      </c>
      <c r="C311" s="90" t="n">
        <f aca="false">ROUND(E311*G311+F311,0)</f>
        <v>980</v>
      </c>
      <c r="D311" s="90" t="s">
        <v>238</v>
      </c>
      <c r="E311" s="90" t="n">
        <v>1200</v>
      </c>
      <c r="F311" s="90" t="n">
        <f aca="false">H311+I311+J311+K311+L311+M311</f>
        <v>116</v>
      </c>
      <c r="G311" s="90" t="n">
        <v>0.72</v>
      </c>
      <c r="I311" s="90" t="n">
        <v>80</v>
      </c>
      <c r="J311" s="90" t="n">
        <v>36</v>
      </c>
    </row>
    <row r="312" customFormat="false" ht="17.6" hidden="false" customHeight="false" outlineLevel="0" collapsed="false">
      <c r="A312" s="91" t="s">
        <v>441</v>
      </c>
      <c r="B312" s="90" t="s">
        <v>40</v>
      </c>
      <c r="C312" s="90" t="n">
        <f aca="false">ROUND(E312*G312+F312,0)</f>
        <v>1176</v>
      </c>
      <c r="D312" s="90" t="s">
        <v>238</v>
      </c>
      <c r="E312" s="90" t="n">
        <v>1200</v>
      </c>
      <c r="F312" s="90" t="n">
        <f aca="false">H312+I312+J312+K312+L312+M312</f>
        <v>312</v>
      </c>
      <c r="G312" s="90" t="n">
        <v>0.72</v>
      </c>
      <c r="I312" s="90" t="n">
        <v>80</v>
      </c>
      <c r="J312" s="90" t="n">
        <v>36</v>
      </c>
      <c r="M312" s="90" t="n">
        <v>196</v>
      </c>
    </row>
    <row r="313" customFormat="false" ht="17.6" hidden="false" customHeight="false" outlineLevel="0" collapsed="false">
      <c r="A313" s="91" t="s">
        <v>442</v>
      </c>
      <c r="B313" s="90" t="s">
        <v>40</v>
      </c>
      <c r="C313" s="90" t="n">
        <f aca="false">ROUND(E313*G313+F313,0)</f>
        <v>611</v>
      </c>
      <c r="D313" s="90" t="s">
        <v>238</v>
      </c>
      <c r="E313" s="90" t="n">
        <v>800</v>
      </c>
      <c r="F313" s="90" t="n">
        <f aca="false">H313+I313+J313+K313+L313+M313</f>
        <v>35</v>
      </c>
      <c r="G313" s="90" t="n">
        <v>0.72</v>
      </c>
      <c r="H313" s="90" t="n">
        <v>35</v>
      </c>
    </row>
    <row r="314" customFormat="false" ht="17.6" hidden="false" customHeight="false" outlineLevel="0" collapsed="false">
      <c r="A314" s="91" t="s">
        <v>443</v>
      </c>
      <c r="B314" s="90" t="s">
        <v>40</v>
      </c>
      <c r="C314" s="90" t="n">
        <f aca="false">ROUND(E314*G314+F314,0)</f>
        <v>576</v>
      </c>
      <c r="D314" s="90" t="s">
        <v>238</v>
      </c>
      <c r="E314" s="90" t="n">
        <v>800</v>
      </c>
      <c r="F314" s="90" t="n">
        <f aca="false">H314+I314+J314+K314+L314+M314</f>
        <v>0</v>
      </c>
      <c r="G314" s="90" t="n">
        <v>0.72</v>
      </c>
    </row>
    <row r="315" customFormat="false" ht="17.6" hidden="false" customHeight="false" outlineLevel="0" collapsed="false">
      <c r="A315" s="91" t="s">
        <v>444</v>
      </c>
      <c r="B315" s="90" t="s">
        <v>40</v>
      </c>
      <c r="C315" s="90" t="n">
        <f aca="false">ROUND(E315*G315+F315,0)</f>
        <v>641</v>
      </c>
      <c r="D315" s="90" t="s">
        <v>238</v>
      </c>
      <c r="E315" s="90" t="n">
        <v>800</v>
      </c>
      <c r="F315" s="90" t="n">
        <f aca="false">H315+I315+J315+K315+L315+M315</f>
        <v>65</v>
      </c>
      <c r="G315" s="90" t="n">
        <v>0.72</v>
      </c>
      <c r="H315" s="90" t="n">
        <v>35</v>
      </c>
      <c r="L315" s="90" t="n">
        <v>30</v>
      </c>
    </row>
    <row r="316" customFormat="false" ht="17.6" hidden="false" customHeight="false" outlineLevel="0" collapsed="false">
      <c r="A316" s="91" t="s">
        <v>445</v>
      </c>
      <c r="B316" s="90" t="s">
        <v>40</v>
      </c>
      <c r="C316" s="90" t="n">
        <f aca="false">ROUND(E316*G316+F316,0)</f>
        <v>606</v>
      </c>
      <c r="D316" s="90" t="s">
        <v>238</v>
      </c>
      <c r="E316" s="90" t="n">
        <v>800</v>
      </c>
      <c r="F316" s="90" t="n">
        <f aca="false">H316+I316+J316+K316+L316+M316</f>
        <v>30</v>
      </c>
      <c r="G316" s="90" t="n">
        <v>0.72</v>
      </c>
      <c r="L316" s="90" t="n">
        <v>30</v>
      </c>
    </row>
    <row r="317" customFormat="false" ht="17.6" hidden="false" customHeight="false" outlineLevel="0" collapsed="false">
      <c r="A317" s="91" t="s">
        <v>446</v>
      </c>
      <c r="B317" s="90" t="s">
        <v>40</v>
      </c>
      <c r="C317" s="90" t="n">
        <f aca="false">ROUND(E317*G317+F317,0)</f>
        <v>802</v>
      </c>
      <c r="D317" s="90" t="s">
        <v>238</v>
      </c>
      <c r="E317" s="90" t="n">
        <v>800</v>
      </c>
      <c r="F317" s="90" t="n">
        <f aca="false">H317+I317+J317+K317+L317+M317</f>
        <v>226</v>
      </c>
      <c r="G317" s="90" t="n">
        <v>0.72</v>
      </c>
      <c r="L317" s="90" t="n">
        <v>30</v>
      </c>
      <c r="M317" s="90" t="n">
        <v>196</v>
      </c>
    </row>
    <row r="318" customFormat="false" ht="17.6" hidden="false" customHeight="false" outlineLevel="0" collapsed="false">
      <c r="A318" s="91" t="s">
        <v>447</v>
      </c>
      <c r="B318" s="90" t="s">
        <v>40</v>
      </c>
      <c r="C318" s="90" t="n">
        <f aca="false">ROUND(E318*G318+F318,0)</f>
        <v>643</v>
      </c>
      <c r="D318" s="90" t="s">
        <v>238</v>
      </c>
      <c r="E318" s="90" t="n">
        <v>800</v>
      </c>
      <c r="F318" s="90" t="n">
        <f aca="false">H318+I318+J318+K318+L318+M318</f>
        <v>67</v>
      </c>
      <c r="G318" s="90" t="n">
        <v>0.72</v>
      </c>
      <c r="H318" s="90" t="n">
        <v>35</v>
      </c>
      <c r="K318" s="90" t="n">
        <v>32</v>
      </c>
    </row>
    <row r="319" customFormat="false" ht="17.6" hidden="false" customHeight="false" outlineLevel="0" collapsed="false">
      <c r="A319" s="91" t="s">
        <v>448</v>
      </c>
      <c r="B319" s="90" t="s">
        <v>40</v>
      </c>
      <c r="C319" s="90" t="n">
        <f aca="false">ROUND(E319*G319+F319,0)</f>
        <v>608</v>
      </c>
      <c r="D319" s="90" t="s">
        <v>238</v>
      </c>
      <c r="E319" s="90" t="n">
        <v>800</v>
      </c>
      <c r="F319" s="90" t="n">
        <f aca="false">H319+I319+J319+K319+L319+M319</f>
        <v>32</v>
      </c>
      <c r="G319" s="90" t="n">
        <v>0.72</v>
      </c>
      <c r="K319" s="90" t="n">
        <v>32</v>
      </c>
    </row>
    <row r="320" customFormat="false" ht="17.6" hidden="false" customHeight="false" outlineLevel="0" collapsed="false">
      <c r="A320" s="91" t="s">
        <v>449</v>
      </c>
      <c r="B320" s="90" t="s">
        <v>40</v>
      </c>
      <c r="C320" s="90" t="n">
        <f aca="false">ROUND(E320*G320+F320,0)</f>
        <v>804</v>
      </c>
      <c r="D320" s="90" t="s">
        <v>238</v>
      </c>
      <c r="E320" s="90" t="n">
        <v>800</v>
      </c>
      <c r="F320" s="90" t="n">
        <f aca="false">H320+I320+J320+K320+L320+M320</f>
        <v>228</v>
      </c>
      <c r="G320" s="90" t="n">
        <v>0.72</v>
      </c>
      <c r="K320" s="90" t="n">
        <v>32</v>
      </c>
      <c r="M320" s="90" t="n">
        <v>196</v>
      </c>
    </row>
    <row r="321" customFormat="false" ht="17.6" hidden="false" customHeight="false" outlineLevel="0" collapsed="false">
      <c r="A321" s="91" t="s">
        <v>450</v>
      </c>
      <c r="B321" s="90" t="s">
        <v>40</v>
      </c>
      <c r="C321" s="90" t="n">
        <f aca="false">ROUND(E321*G321+F321,0)</f>
        <v>772</v>
      </c>
      <c r="D321" s="90" t="s">
        <v>238</v>
      </c>
      <c r="E321" s="90" t="n">
        <v>800</v>
      </c>
      <c r="F321" s="90" t="n">
        <f aca="false">H321+I321+J321+K321+L321+M321</f>
        <v>196</v>
      </c>
      <c r="G321" s="90" t="n">
        <v>0.72</v>
      </c>
      <c r="M321" s="90" t="n">
        <v>196</v>
      </c>
    </row>
    <row r="322" customFormat="false" ht="17.6" hidden="false" customHeight="false" outlineLevel="0" collapsed="false">
      <c r="A322" s="91" t="s">
        <v>451</v>
      </c>
      <c r="B322" s="90" t="s">
        <v>40</v>
      </c>
      <c r="C322" s="90" t="n">
        <f aca="false">ROUND(E322*G322+F322,0)</f>
        <v>647</v>
      </c>
      <c r="D322" s="90" t="s">
        <v>238</v>
      </c>
      <c r="E322" s="90" t="n">
        <v>800</v>
      </c>
      <c r="F322" s="90" t="n">
        <f aca="false">H322+I322+J322+K322+L322+M322</f>
        <v>71</v>
      </c>
      <c r="G322" s="90" t="n">
        <v>0.72</v>
      </c>
      <c r="H322" s="90" t="n">
        <v>35</v>
      </c>
      <c r="J322" s="90" t="n">
        <v>36</v>
      </c>
    </row>
    <row r="323" customFormat="false" ht="17.6" hidden="false" customHeight="false" outlineLevel="0" collapsed="false">
      <c r="A323" s="91" t="s">
        <v>452</v>
      </c>
      <c r="B323" s="90" t="s">
        <v>40</v>
      </c>
      <c r="C323" s="90" t="n">
        <f aca="false">ROUND(E323*G323+F323,0)</f>
        <v>612</v>
      </c>
      <c r="D323" s="90" t="s">
        <v>238</v>
      </c>
      <c r="E323" s="90" t="n">
        <v>800</v>
      </c>
      <c r="F323" s="90" t="n">
        <f aca="false">H323+I323+J323+K323+L323+M323</f>
        <v>36</v>
      </c>
      <c r="G323" s="90" t="n">
        <v>0.72</v>
      </c>
      <c r="J323" s="90" t="n">
        <v>36</v>
      </c>
      <c r="O323" s="14" t="n">
        <f aca="false">105500/14</f>
        <v>7535.71428571429</v>
      </c>
    </row>
    <row r="324" customFormat="false" ht="17.6" hidden="false" customHeight="false" outlineLevel="0" collapsed="false">
      <c r="A324" s="91" t="s">
        <v>453</v>
      </c>
      <c r="B324" s="90" t="s">
        <v>40</v>
      </c>
      <c r="C324" s="90" t="n">
        <f aca="false">ROUND(E324*G324+F324,0)</f>
        <v>808</v>
      </c>
      <c r="D324" s="90" t="s">
        <v>238</v>
      </c>
      <c r="E324" s="90" t="n">
        <v>800</v>
      </c>
      <c r="F324" s="90" t="n">
        <f aca="false">H324+I324+J324+K324+L324+M324</f>
        <v>232</v>
      </c>
      <c r="G324" s="90" t="n">
        <v>0.72</v>
      </c>
      <c r="J324" s="90" t="n">
        <v>36</v>
      </c>
      <c r="M324" s="90" t="n">
        <v>196</v>
      </c>
    </row>
    <row r="325" customFormat="false" ht="17.6" hidden="false" customHeight="false" outlineLevel="0" collapsed="false">
      <c r="A325" s="91" t="s">
        <v>454</v>
      </c>
      <c r="B325" s="90" t="s">
        <v>40</v>
      </c>
      <c r="C325" s="90" t="n">
        <f aca="false">ROUND(E325*G325+F325,0)</f>
        <v>727</v>
      </c>
      <c r="D325" s="90" t="s">
        <v>238</v>
      </c>
      <c r="E325" s="90" t="n">
        <v>800</v>
      </c>
      <c r="F325" s="90" t="n">
        <f aca="false">H325+I325+J325+K325+L325+M325</f>
        <v>151</v>
      </c>
      <c r="G325" s="90" t="n">
        <v>0.72</v>
      </c>
      <c r="H325" s="90" t="n">
        <v>35</v>
      </c>
      <c r="I325" s="90" t="n">
        <v>80</v>
      </c>
      <c r="J325" s="90" t="n">
        <v>36</v>
      </c>
      <c r="K325" s="91"/>
      <c r="L325" s="91"/>
      <c r="M325" s="91"/>
    </row>
    <row r="326" customFormat="false" ht="17.6" hidden="false" customHeight="false" outlineLevel="0" collapsed="false">
      <c r="A326" s="91" t="s">
        <v>455</v>
      </c>
      <c r="B326" s="90" t="s">
        <v>40</v>
      </c>
      <c r="C326" s="90" t="n">
        <f aca="false">ROUND(E326*G326+F326,0)</f>
        <v>692</v>
      </c>
      <c r="D326" s="90" t="s">
        <v>238</v>
      </c>
      <c r="E326" s="90" t="n">
        <v>800</v>
      </c>
      <c r="F326" s="90" t="n">
        <f aca="false">H326+I326+J326+K326+L326+M326</f>
        <v>116</v>
      </c>
      <c r="G326" s="90" t="n">
        <v>0.72</v>
      </c>
      <c r="I326" s="90" t="n">
        <v>80</v>
      </c>
      <c r="J326" s="90" t="n">
        <v>36</v>
      </c>
    </row>
    <row r="327" customFormat="false" ht="17.6" hidden="false" customHeight="false" outlineLevel="0" collapsed="false">
      <c r="A327" s="91" t="s">
        <v>456</v>
      </c>
      <c r="B327" s="90" t="s">
        <v>40</v>
      </c>
      <c r="C327" s="90" t="n">
        <f aca="false">ROUND(E327*G327+F327,0)</f>
        <v>888</v>
      </c>
      <c r="D327" s="90" t="s">
        <v>238</v>
      </c>
      <c r="E327" s="90" t="n">
        <v>800</v>
      </c>
      <c r="F327" s="90" t="n">
        <f aca="false">H327+I327+J327+K327+L327+M327</f>
        <v>312</v>
      </c>
      <c r="G327" s="90" t="n">
        <v>0.72</v>
      </c>
      <c r="I327" s="90" t="n">
        <v>80</v>
      </c>
      <c r="J327" s="90" t="n">
        <v>36</v>
      </c>
      <c r="M327" s="90" t="n">
        <v>196</v>
      </c>
    </row>
    <row r="328" customFormat="false" ht="17.6" hidden="false" customHeight="false" outlineLevel="0" collapsed="false">
      <c r="A328" s="91" t="s">
        <v>457</v>
      </c>
      <c r="B328" s="90" t="s">
        <v>40</v>
      </c>
      <c r="C328" s="90" t="n">
        <f aca="false">ROUND(E328*G328+F328,0)</f>
        <v>755</v>
      </c>
      <c r="D328" s="90" t="s">
        <v>238</v>
      </c>
      <c r="E328" s="90" t="n">
        <v>1000</v>
      </c>
      <c r="F328" s="90" t="n">
        <f aca="false">H328+I328+J328+K328+L328+M328</f>
        <v>35</v>
      </c>
      <c r="G328" s="90" t="n">
        <v>0.72</v>
      </c>
      <c r="H328" s="90" t="n">
        <v>35</v>
      </c>
    </row>
    <row r="329" customFormat="false" ht="17.6" hidden="false" customHeight="false" outlineLevel="0" collapsed="false">
      <c r="A329" s="91" t="s">
        <v>458</v>
      </c>
      <c r="B329" s="90" t="s">
        <v>40</v>
      </c>
      <c r="C329" s="90" t="n">
        <f aca="false">ROUND(E329*G329+F329,0)</f>
        <v>720</v>
      </c>
      <c r="D329" s="90" t="s">
        <v>238</v>
      </c>
      <c r="E329" s="90" t="n">
        <v>1000</v>
      </c>
      <c r="F329" s="90" t="n">
        <f aca="false">H329+I329+J329+K329+L329+M329</f>
        <v>0</v>
      </c>
      <c r="G329" s="90" t="n">
        <v>0.72</v>
      </c>
    </row>
    <row r="330" customFormat="false" ht="17.6" hidden="false" customHeight="false" outlineLevel="0" collapsed="false">
      <c r="A330" s="91" t="s">
        <v>459</v>
      </c>
      <c r="B330" s="90" t="s">
        <v>40</v>
      </c>
      <c r="C330" s="90" t="n">
        <f aca="false">ROUND(E330*G330+F330,0)</f>
        <v>785</v>
      </c>
      <c r="D330" s="90" t="s">
        <v>238</v>
      </c>
      <c r="E330" s="90" t="n">
        <v>1000</v>
      </c>
      <c r="F330" s="90" t="n">
        <f aca="false">H330+I330+J330+K330+L330+M330</f>
        <v>65</v>
      </c>
      <c r="G330" s="90" t="n">
        <v>0.72</v>
      </c>
      <c r="H330" s="90" t="n">
        <v>35</v>
      </c>
      <c r="L330" s="90" t="n">
        <v>30</v>
      </c>
    </row>
    <row r="331" customFormat="false" ht="17.6" hidden="false" customHeight="false" outlineLevel="0" collapsed="false">
      <c r="A331" s="91" t="s">
        <v>460</v>
      </c>
      <c r="B331" s="90" t="s">
        <v>40</v>
      </c>
      <c r="C331" s="90" t="n">
        <f aca="false">ROUND(E331*G331+F331,0)</f>
        <v>750</v>
      </c>
      <c r="D331" s="90" t="s">
        <v>238</v>
      </c>
      <c r="E331" s="90" t="n">
        <v>1000</v>
      </c>
      <c r="F331" s="90" t="n">
        <f aca="false">H331+I331+J331+K331+L331+M331</f>
        <v>30</v>
      </c>
      <c r="G331" s="90" t="n">
        <v>0.72</v>
      </c>
      <c r="L331" s="90" t="n">
        <v>30</v>
      </c>
    </row>
    <row r="332" customFormat="false" ht="17.6" hidden="false" customHeight="false" outlineLevel="0" collapsed="false">
      <c r="A332" s="91" t="s">
        <v>461</v>
      </c>
      <c r="B332" s="90" t="s">
        <v>40</v>
      </c>
      <c r="C332" s="90" t="n">
        <f aca="false">ROUND(E332*G332+F332,0)</f>
        <v>946</v>
      </c>
      <c r="D332" s="90" t="s">
        <v>238</v>
      </c>
      <c r="E332" s="90" t="n">
        <v>1000</v>
      </c>
      <c r="F332" s="90" t="n">
        <f aca="false">H332+I332+J332+K332+L332+M332</f>
        <v>226</v>
      </c>
      <c r="G332" s="90" t="n">
        <v>0.72</v>
      </c>
      <c r="L332" s="90" t="n">
        <v>30</v>
      </c>
      <c r="M332" s="90" t="n">
        <v>196</v>
      </c>
    </row>
    <row r="333" customFormat="false" ht="17.6" hidden="false" customHeight="false" outlineLevel="0" collapsed="false">
      <c r="A333" s="91" t="s">
        <v>462</v>
      </c>
      <c r="B333" s="90" t="s">
        <v>40</v>
      </c>
      <c r="C333" s="90" t="n">
        <f aca="false">ROUND(E333*G333+F333,0)</f>
        <v>787</v>
      </c>
      <c r="D333" s="90" t="s">
        <v>238</v>
      </c>
      <c r="E333" s="90" t="n">
        <v>1000</v>
      </c>
      <c r="F333" s="90" t="n">
        <f aca="false">H333+I333+J333+K333+L333+M333</f>
        <v>67</v>
      </c>
      <c r="G333" s="90" t="n">
        <v>0.72</v>
      </c>
      <c r="H333" s="90" t="n">
        <v>35</v>
      </c>
      <c r="K333" s="90" t="n">
        <v>32</v>
      </c>
    </row>
    <row r="334" customFormat="false" ht="17.6" hidden="false" customHeight="false" outlineLevel="0" collapsed="false">
      <c r="A334" s="91" t="s">
        <v>463</v>
      </c>
      <c r="B334" s="90" t="s">
        <v>40</v>
      </c>
      <c r="C334" s="90" t="n">
        <f aca="false">ROUND(E334*G334+F334,0)</f>
        <v>752</v>
      </c>
      <c r="D334" s="90" t="s">
        <v>238</v>
      </c>
      <c r="E334" s="90" t="n">
        <v>1000</v>
      </c>
      <c r="F334" s="90" t="n">
        <f aca="false">H334+I334+J334+K334+L334+M334</f>
        <v>32</v>
      </c>
      <c r="G334" s="90" t="n">
        <v>0.72</v>
      </c>
      <c r="K334" s="90" t="n">
        <v>32</v>
      </c>
    </row>
    <row r="335" customFormat="false" ht="17.6" hidden="false" customHeight="false" outlineLevel="0" collapsed="false">
      <c r="A335" s="91" t="s">
        <v>464</v>
      </c>
      <c r="B335" s="90" t="s">
        <v>40</v>
      </c>
      <c r="C335" s="90" t="n">
        <f aca="false">ROUND(E335*G335+F335,0)</f>
        <v>948</v>
      </c>
      <c r="D335" s="90" t="s">
        <v>238</v>
      </c>
      <c r="E335" s="90" t="n">
        <v>1000</v>
      </c>
      <c r="F335" s="90" t="n">
        <f aca="false">H335+I335+J335+K335+L335+M335</f>
        <v>228</v>
      </c>
      <c r="G335" s="90" t="n">
        <v>0.72</v>
      </c>
      <c r="K335" s="90" t="n">
        <v>32</v>
      </c>
      <c r="M335" s="90" t="n">
        <v>196</v>
      </c>
    </row>
    <row r="336" customFormat="false" ht="17.6" hidden="false" customHeight="false" outlineLevel="0" collapsed="false">
      <c r="A336" s="91" t="s">
        <v>465</v>
      </c>
      <c r="B336" s="90" t="s">
        <v>40</v>
      </c>
      <c r="C336" s="90" t="n">
        <f aca="false">ROUND(E336*G336+F336,0)</f>
        <v>916</v>
      </c>
      <c r="D336" s="90" t="s">
        <v>238</v>
      </c>
      <c r="E336" s="90" t="n">
        <v>1000</v>
      </c>
      <c r="F336" s="90" t="n">
        <f aca="false">H336+I336+J336+K336+L336+M336</f>
        <v>196</v>
      </c>
      <c r="G336" s="90" t="n">
        <v>0.72</v>
      </c>
      <c r="M336" s="90" t="n">
        <v>196</v>
      </c>
    </row>
    <row r="337" customFormat="false" ht="17.6" hidden="false" customHeight="false" outlineLevel="0" collapsed="false">
      <c r="A337" s="91" t="s">
        <v>466</v>
      </c>
      <c r="B337" s="90" t="s">
        <v>40</v>
      </c>
      <c r="C337" s="90" t="n">
        <f aca="false">ROUND(E337*G337+F337,0)</f>
        <v>791</v>
      </c>
      <c r="D337" s="90" t="s">
        <v>238</v>
      </c>
      <c r="E337" s="90" t="n">
        <v>1000</v>
      </c>
      <c r="F337" s="90" t="n">
        <f aca="false">H337+I337+J337+K337+L337+M337</f>
        <v>71</v>
      </c>
      <c r="G337" s="90" t="n">
        <v>0.72</v>
      </c>
      <c r="H337" s="90" t="n">
        <v>35</v>
      </c>
      <c r="J337" s="90" t="n">
        <v>36</v>
      </c>
    </row>
    <row r="338" customFormat="false" ht="17.6" hidden="false" customHeight="false" outlineLevel="0" collapsed="false">
      <c r="A338" s="91" t="s">
        <v>467</v>
      </c>
      <c r="B338" s="90" t="s">
        <v>40</v>
      </c>
      <c r="C338" s="90" t="n">
        <f aca="false">ROUND(E338*G338+F338,0)</f>
        <v>756</v>
      </c>
      <c r="D338" s="90" t="s">
        <v>238</v>
      </c>
      <c r="E338" s="90" t="n">
        <v>1000</v>
      </c>
      <c r="F338" s="90" t="n">
        <f aca="false">H338+I338+J338+K338+L338+M338</f>
        <v>36</v>
      </c>
      <c r="G338" s="90" t="n">
        <v>0.72</v>
      </c>
      <c r="J338" s="90" t="n">
        <v>36</v>
      </c>
    </row>
    <row r="339" customFormat="false" ht="17.6" hidden="false" customHeight="false" outlineLevel="0" collapsed="false">
      <c r="A339" s="91" t="s">
        <v>468</v>
      </c>
      <c r="B339" s="90" t="s">
        <v>40</v>
      </c>
      <c r="C339" s="90" t="n">
        <f aca="false">ROUND(E339*G339+F339,0)</f>
        <v>952</v>
      </c>
      <c r="D339" s="90" t="s">
        <v>238</v>
      </c>
      <c r="E339" s="90" t="n">
        <v>1000</v>
      </c>
      <c r="F339" s="90" t="n">
        <f aca="false">H339+I339+J339+K339+L339+M339</f>
        <v>232</v>
      </c>
      <c r="G339" s="90" t="n">
        <v>0.72</v>
      </c>
      <c r="J339" s="90" t="n">
        <v>36</v>
      </c>
      <c r="M339" s="90" t="n">
        <v>196</v>
      </c>
    </row>
    <row r="340" customFormat="false" ht="17.6" hidden="false" customHeight="false" outlineLevel="0" collapsed="false">
      <c r="A340" s="91" t="s">
        <v>469</v>
      </c>
      <c r="B340" s="90" t="s">
        <v>40</v>
      </c>
      <c r="C340" s="90" t="n">
        <f aca="false">ROUND(E340*G340+F340,0)</f>
        <v>871</v>
      </c>
      <c r="D340" s="90" t="s">
        <v>238</v>
      </c>
      <c r="E340" s="90" t="n">
        <v>1000</v>
      </c>
      <c r="F340" s="90" t="n">
        <f aca="false">H340+I340+J340+K340+L340+M340</f>
        <v>151</v>
      </c>
      <c r="G340" s="90" t="n">
        <v>0.72</v>
      </c>
      <c r="H340" s="90" t="n">
        <v>35</v>
      </c>
      <c r="I340" s="90" t="n">
        <v>80</v>
      </c>
      <c r="J340" s="90" t="n">
        <v>36</v>
      </c>
      <c r="K340" s="91"/>
      <c r="L340" s="91"/>
      <c r="M340" s="91"/>
    </row>
    <row r="341" customFormat="false" ht="17.6" hidden="false" customHeight="false" outlineLevel="0" collapsed="false">
      <c r="A341" s="91" t="s">
        <v>470</v>
      </c>
      <c r="B341" s="90" t="s">
        <v>40</v>
      </c>
      <c r="C341" s="90" t="n">
        <f aca="false">ROUND(E341*G341+F341,0)</f>
        <v>836</v>
      </c>
      <c r="D341" s="90" t="s">
        <v>238</v>
      </c>
      <c r="E341" s="90" t="n">
        <v>1000</v>
      </c>
      <c r="F341" s="90" t="n">
        <f aca="false">H341+I341+J341+K341+L341+M341</f>
        <v>116</v>
      </c>
      <c r="G341" s="90" t="n">
        <v>0.72</v>
      </c>
      <c r="I341" s="90" t="n">
        <v>80</v>
      </c>
      <c r="J341" s="90" t="n">
        <v>36</v>
      </c>
    </row>
    <row r="342" customFormat="false" ht="17.6" hidden="false" customHeight="false" outlineLevel="0" collapsed="false">
      <c r="A342" s="91" t="s">
        <v>471</v>
      </c>
      <c r="B342" s="90" t="s">
        <v>40</v>
      </c>
      <c r="C342" s="90" t="n">
        <f aca="false">ROUND(E342*G342+F342,0)</f>
        <v>1032</v>
      </c>
      <c r="D342" s="90" t="s">
        <v>238</v>
      </c>
      <c r="E342" s="90" t="n">
        <v>1000</v>
      </c>
      <c r="F342" s="90" t="n">
        <f aca="false">H342+I342+J342+K342+L342+M342</f>
        <v>312</v>
      </c>
      <c r="G342" s="90" t="n">
        <v>0.72</v>
      </c>
      <c r="I342" s="90" t="n">
        <v>80</v>
      </c>
      <c r="J342" s="90" t="n">
        <v>36</v>
      </c>
      <c r="M342" s="90" t="n">
        <v>196</v>
      </c>
    </row>
    <row r="343" customFormat="false" ht="17.6" hidden="false" customHeight="false" outlineLevel="0" collapsed="false">
      <c r="A343" s="91" t="s">
        <v>472</v>
      </c>
      <c r="B343" s="90" t="s">
        <v>40</v>
      </c>
      <c r="C343" s="90" t="n">
        <f aca="false">ROUND(E343*G343+F343,0)</f>
        <v>744</v>
      </c>
      <c r="D343" s="90" t="s">
        <v>238</v>
      </c>
      <c r="E343" s="90" t="n">
        <v>950</v>
      </c>
      <c r="F343" s="90" t="n">
        <f aca="false">H343+I343+J343+K343+L343+M343</f>
        <v>60</v>
      </c>
      <c r="G343" s="90" t="n">
        <v>0.72</v>
      </c>
      <c r="H343" s="90" t="n">
        <v>60</v>
      </c>
    </row>
    <row r="344" customFormat="false" ht="17.6" hidden="false" customHeight="false" outlineLevel="0" collapsed="false">
      <c r="A344" s="91" t="s">
        <v>473</v>
      </c>
      <c r="B344" s="90" t="s">
        <v>40</v>
      </c>
      <c r="C344" s="90" t="n">
        <f aca="false">ROUND(E344*G344+F344,0)</f>
        <v>684</v>
      </c>
      <c r="D344" s="90" t="s">
        <v>238</v>
      </c>
      <c r="E344" s="90" t="n">
        <v>950</v>
      </c>
      <c r="F344" s="90" t="n">
        <f aca="false">H344+I344+J344+K344+L344+M344</f>
        <v>0</v>
      </c>
      <c r="G344" s="90" t="n">
        <v>0.72</v>
      </c>
    </row>
    <row r="345" customFormat="false" ht="17.6" hidden="false" customHeight="false" outlineLevel="0" collapsed="false">
      <c r="A345" s="91" t="s">
        <v>474</v>
      </c>
      <c r="B345" s="90" t="s">
        <v>40</v>
      </c>
      <c r="C345" s="90" t="n">
        <f aca="false">ROUND(E345*G345+F345,0)</f>
        <v>774</v>
      </c>
      <c r="D345" s="90" t="s">
        <v>238</v>
      </c>
      <c r="E345" s="90" t="n">
        <v>950</v>
      </c>
      <c r="F345" s="90" t="n">
        <f aca="false">H345+I345+J345+K345+L345+M345</f>
        <v>90</v>
      </c>
      <c r="G345" s="90" t="n">
        <v>0.72</v>
      </c>
      <c r="H345" s="90" t="n">
        <v>60</v>
      </c>
      <c r="L345" s="90" t="n">
        <v>30</v>
      </c>
    </row>
    <row r="346" customFormat="false" ht="17.6" hidden="false" customHeight="false" outlineLevel="0" collapsed="false">
      <c r="A346" s="91" t="s">
        <v>475</v>
      </c>
      <c r="B346" s="90" t="s">
        <v>40</v>
      </c>
      <c r="C346" s="90" t="n">
        <f aca="false">ROUND(E346*G346+F346,0)</f>
        <v>714</v>
      </c>
      <c r="D346" s="90" t="s">
        <v>238</v>
      </c>
      <c r="E346" s="90" t="n">
        <v>950</v>
      </c>
      <c r="F346" s="90" t="n">
        <f aca="false">H346+I346+J346+K346+L346+M346</f>
        <v>30</v>
      </c>
      <c r="G346" s="90" t="n">
        <v>0.72</v>
      </c>
      <c r="L346" s="90" t="n">
        <v>30</v>
      </c>
    </row>
    <row r="347" customFormat="false" ht="17.6" hidden="false" customHeight="false" outlineLevel="0" collapsed="false">
      <c r="A347" s="91" t="s">
        <v>476</v>
      </c>
      <c r="B347" s="90" t="s">
        <v>40</v>
      </c>
      <c r="C347" s="90" t="n">
        <f aca="false">ROUND(E347*G347+F347,0)</f>
        <v>1114</v>
      </c>
      <c r="D347" s="90" t="s">
        <v>238</v>
      </c>
      <c r="E347" s="90" t="n">
        <v>950</v>
      </c>
      <c r="F347" s="90" t="n">
        <f aca="false">H347+I347+J347+K347+L347+M347</f>
        <v>430</v>
      </c>
      <c r="G347" s="90" t="n">
        <v>0.72</v>
      </c>
      <c r="L347" s="90" t="n">
        <v>30</v>
      </c>
      <c r="M347" s="90" t="n">
        <v>400</v>
      </c>
    </row>
    <row r="348" customFormat="false" ht="17.6" hidden="false" customHeight="false" outlineLevel="0" collapsed="false">
      <c r="A348" s="91" t="s">
        <v>477</v>
      </c>
      <c r="B348" s="90" t="s">
        <v>40</v>
      </c>
      <c r="C348" s="90" t="n">
        <f aca="false">ROUND(E348*G348+F348,0)</f>
        <v>794</v>
      </c>
      <c r="D348" s="90" t="s">
        <v>238</v>
      </c>
      <c r="E348" s="90" t="n">
        <v>950</v>
      </c>
      <c r="F348" s="90" t="n">
        <f aca="false">H348+I348+J348+K348+L348+M348</f>
        <v>110</v>
      </c>
      <c r="G348" s="90" t="n">
        <v>0.72</v>
      </c>
      <c r="H348" s="90" t="n">
        <v>60</v>
      </c>
      <c r="K348" s="90" t="n">
        <v>50</v>
      </c>
    </row>
    <row r="349" customFormat="false" ht="17.6" hidden="false" customHeight="false" outlineLevel="0" collapsed="false">
      <c r="A349" s="91" t="s">
        <v>478</v>
      </c>
      <c r="B349" s="90" t="s">
        <v>40</v>
      </c>
      <c r="C349" s="90" t="n">
        <f aca="false">ROUND(E349*G349+F349,0)</f>
        <v>734</v>
      </c>
      <c r="D349" s="90" t="s">
        <v>238</v>
      </c>
      <c r="E349" s="90" t="n">
        <v>950</v>
      </c>
      <c r="F349" s="90" t="n">
        <f aca="false">H349+I349+J349+K349+L349+M349</f>
        <v>50</v>
      </c>
      <c r="G349" s="90" t="n">
        <v>0.72</v>
      </c>
      <c r="K349" s="90" t="n">
        <v>50</v>
      </c>
    </row>
    <row r="350" customFormat="false" ht="17.6" hidden="false" customHeight="false" outlineLevel="0" collapsed="false">
      <c r="A350" s="91" t="s">
        <v>479</v>
      </c>
      <c r="B350" s="90" t="s">
        <v>40</v>
      </c>
      <c r="C350" s="90" t="n">
        <f aca="false">ROUND(E350*G350+F350,0)</f>
        <v>1134</v>
      </c>
      <c r="D350" s="90" t="s">
        <v>238</v>
      </c>
      <c r="E350" s="90" t="n">
        <v>950</v>
      </c>
      <c r="F350" s="90" t="n">
        <f aca="false">H350+I350+J350+K350+L350+M350</f>
        <v>450</v>
      </c>
      <c r="G350" s="90" t="n">
        <v>0.72</v>
      </c>
      <c r="K350" s="90" t="n">
        <v>50</v>
      </c>
      <c r="M350" s="90" t="n">
        <v>400</v>
      </c>
    </row>
    <row r="351" customFormat="false" ht="17.6" hidden="false" customHeight="false" outlineLevel="0" collapsed="false">
      <c r="A351" s="91" t="s">
        <v>480</v>
      </c>
      <c r="B351" s="90" t="s">
        <v>40</v>
      </c>
      <c r="C351" s="90" t="n">
        <f aca="false">ROUND(E351*G351+F351,0)</f>
        <v>1084</v>
      </c>
      <c r="D351" s="90" t="s">
        <v>238</v>
      </c>
      <c r="E351" s="90" t="n">
        <v>950</v>
      </c>
      <c r="F351" s="90" t="n">
        <f aca="false">H351+I351+J351+K351+L351+M351</f>
        <v>400</v>
      </c>
      <c r="G351" s="90" t="n">
        <v>0.72</v>
      </c>
      <c r="M351" s="90" t="n">
        <v>400</v>
      </c>
    </row>
    <row r="352" customFormat="false" ht="17.6" hidden="false" customHeight="false" outlineLevel="0" collapsed="false">
      <c r="A352" s="91" t="s">
        <v>481</v>
      </c>
      <c r="B352" s="90" t="s">
        <v>40</v>
      </c>
      <c r="C352" s="90" t="n">
        <f aca="false">ROUND(E352*G352+F352,0)</f>
        <v>794</v>
      </c>
      <c r="D352" s="90" t="s">
        <v>238</v>
      </c>
      <c r="E352" s="90" t="n">
        <v>950</v>
      </c>
      <c r="F352" s="90" t="n">
        <f aca="false">H352+I352+J352+K352+L352+M352</f>
        <v>110</v>
      </c>
      <c r="G352" s="90" t="n">
        <v>0.72</v>
      </c>
      <c r="H352" s="90" t="n">
        <v>60</v>
      </c>
      <c r="J352" s="90" t="n">
        <v>50</v>
      </c>
    </row>
    <row r="353" customFormat="false" ht="17.6" hidden="false" customHeight="false" outlineLevel="0" collapsed="false">
      <c r="A353" s="91" t="s">
        <v>482</v>
      </c>
      <c r="B353" s="90" t="s">
        <v>40</v>
      </c>
      <c r="C353" s="90" t="n">
        <f aca="false">ROUND(E353*G353+F353,0)</f>
        <v>734</v>
      </c>
      <c r="D353" s="90" t="s">
        <v>238</v>
      </c>
      <c r="E353" s="90" t="n">
        <v>950</v>
      </c>
      <c r="F353" s="90" t="n">
        <f aca="false">H353+I353+J353+K353+L353+M353</f>
        <v>50</v>
      </c>
      <c r="G353" s="90" t="n">
        <v>0.72</v>
      </c>
      <c r="J353" s="90" t="n">
        <v>50</v>
      </c>
    </row>
    <row r="354" customFormat="false" ht="17.6" hidden="false" customHeight="false" outlineLevel="0" collapsed="false">
      <c r="A354" s="91" t="s">
        <v>483</v>
      </c>
      <c r="B354" s="90" t="s">
        <v>40</v>
      </c>
      <c r="C354" s="90" t="n">
        <f aca="false">ROUND(E354*G354+F354,0)</f>
        <v>1134</v>
      </c>
      <c r="D354" s="90" t="s">
        <v>238</v>
      </c>
      <c r="E354" s="90" t="n">
        <v>950</v>
      </c>
      <c r="F354" s="90" t="n">
        <f aca="false">H354+I354+J354+K354+L354+M354</f>
        <v>450</v>
      </c>
      <c r="G354" s="90" t="n">
        <v>0.72</v>
      </c>
      <c r="J354" s="90" t="n">
        <v>50</v>
      </c>
      <c r="M354" s="90" t="n">
        <v>400</v>
      </c>
    </row>
    <row r="355" customFormat="false" ht="17.6" hidden="false" customHeight="false" outlineLevel="0" collapsed="false">
      <c r="A355" s="91" t="s">
        <v>484</v>
      </c>
      <c r="B355" s="90" t="s">
        <v>40</v>
      </c>
      <c r="C355" s="90" t="n">
        <f aca="false">ROUND(E355*G355+F355,0)</f>
        <v>924</v>
      </c>
      <c r="D355" s="90" t="s">
        <v>238</v>
      </c>
      <c r="E355" s="90" t="n">
        <v>950</v>
      </c>
      <c r="F355" s="90" t="n">
        <f aca="false">H355+I355+J355+K355+L355+M355</f>
        <v>240</v>
      </c>
      <c r="G355" s="90" t="n">
        <v>0.72</v>
      </c>
      <c r="H355" s="90" t="n">
        <v>60</v>
      </c>
      <c r="I355" s="90" t="n">
        <v>130</v>
      </c>
      <c r="J355" s="90" t="n">
        <v>50</v>
      </c>
      <c r="K355" s="91"/>
      <c r="L355" s="91"/>
      <c r="M355" s="91"/>
    </row>
    <row r="356" customFormat="false" ht="17.6" hidden="false" customHeight="false" outlineLevel="0" collapsed="false">
      <c r="A356" s="91" t="s">
        <v>485</v>
      </c>
      <c r="B356" s="90" t="s">
        <v>40</v>
      </c>
      <c r="C356" s="90" t="n">
        <f aca="false">ROUND(E356*G356+F356,0)</f>
        <v>864</v>
      </c>
      <c r="D356" s="90" t="s">
        <v>238</v>
      </c>
      <c r="E356" s="90" t="n">
        <v>950</v>
      </c>
      <c r="F356" s="90" t="n">
        <f aca="false">H356+I356+J356+K356+L356+M356</f>
        <v>180</v>
      </c>
      <c r="G356" s="90" t="n">
        <v>0.72</v>
      </c>
      <c r="I356" s="90" t="n">
        <v>130</v>
      </c>
      <c r="J356" s="90" t="n">
        <v>50</v>
      </c>
    </row>
    <row r="357" customFormat="false" ht="17.6" hidden="false" customHeight="false" outlineLevel="0" collapsed="false">
      <c r="A357" s="91" t="s">
        <v>486</v>
      </c>
      <c r="B357" s="90" t="s">
        <v>40</v>
      </c>
      <c r="C357" s="90" t="n">
        <f aca="false">ROUND(E357*G357+F357,0)</f>
        <v>1264</v>
      </c>
      <c r="D357" s="90" t="s">
        <v>238</v>
      </c>
      <c r="E357" s="90" t="n">
        <v>950</v>
      </c>
      <c r="F357" s="90" t="n">
        <f aca="false">H357+I357+J357+K357+L357+M357</f>
        <v>580</v>
      </c>
      <c r="G357" s="90" t="n">
        <v>0.72</v>
      </c>
      <c r="I357" s="90" t="n">
        <v>130</v>
      </c>
      <c r="J357" s="90" t="n">
        <v>50</v>
      </c>
      <c r="M357" s="90" t="n">
        <v>400</v>
      </c>
    </row>
    <row r="358" customFormat="false" ht="17.6" hidden="false" customHeight="false" outlineLevel="0" collapsed="false">
      <c r="A358" s="91" t="s">
        <v>487</v>
      </c>
      <c r="B358" s="90" t="s">
        <v>40</v>
      </c>
      <c r="C358" s="90" t="n">
        <f aca="false">ROUND(E358*G358+F358,0)</f>
        <v>1212</v>
      </c>
      <c r="D358" s="90" t="s">
        <v>238</v>
      </c>
      <c r="E358" s="90" t="n">
        <v>1600</v>
      </c>
      <c r="F358" s="90" t="n">
        <f aca="false">H358+I358+J358+K358+L358+M358</f>
        <v>60</v>
      </c>
      <c r="G358" s="90" t="n">
        <v>0.72</v>
      </c>
      <c r="H358" s="90" t="n">
        <v>60</v>
      </c>
    </row>
    <row r="359" customFormat="false" ht="17.6" hidden="false" customHeight="false" outlineLevel="0" collapsed="false">
      <c r="A359" s="91" t="s">
        <v>488</v>
      </c>
      <c r="B359" s="90" t="s">
        <v>40</v>
      </c>
      <c r="C359" s="90" t="n">
        <f aca="false">ROUND(E359*G359+F359,0)</f>
        <v>1152</v>
      </c>
      <c r="D359" s="90" t="s">
        <v>238</v>
      </c>
      <c r="E359" s="90" t="n">
        <v>1600</v>
      </c>
      <c r="F359" s="90" t="n">
        <f aca="false">H359+I359+J359+K359+L359+M359</f>
        <v>0</v>
      </c>
      <c r="G359" s="90" t="n">
        <v>0.72</v>
      </c>
    </row>
    <row r="360" customFormat="false" ht="17.6" hidden="false" customHeight="false" outlineLevel="0" collapsed="false">
      <c r="A360" s="91" t="s">
        <v>489</v>
      </c>
      <c r="B360" s="90" t="s">
        <v>40</v>
      </c>
      <c r="C360" s="90" t="n">
        <f aca="false">ROUND(E360*G360+F360,0)</f>
        <v>1242</v>
      </c>
      <c r="D360" s="90" t="s">
        <v>238</v>
      </c>
      <c r="E360" s="90" t="n">
        <v>1600</v>
      </c>
      <c r="F360" s="90" t="n">
        <f aca="false">H360+I360+J360+K360+L360+M360</f>
        <v>90</v>
      </c>
      <c r="G360" s="90" t="n">
        <v>0.72</v>
      </c>
      <c r="H360" s="90" t="n">
        <v>60</v>
      </c>
      <c r="L360" s="90" t="n">
        <v>30</v>
      </c>
    </row>
    <row r="361" customFormat="false" ht="17.6" hidden="false" customHeight="false" outlineLevel="0" collapsed="false">
      <c r="A361" s="91" t="s">
        <v>490</v>
      </c>
      <c r="B361" s="90" t="s">
        <v>40</v>
      </c>
      <c r="C361" s="90" t="n">
        <f aca="false">ROUND(E361*G361+F361,0)</f>
        <v>1182</v>
      </c>
      <c r="D361" s="90" t="s">
        <v>238</v>
      </c>
      <c r="E361" s="90" t="n">
        <v>1600</v>
      </c>
      <c r="F361" s="90" t="n">
        <f aca="false">H361+I361+J361+K361+L361+M361</f>
        <v>30</v>
      </c>
      <c r="G361" s="90" t="n">
        <v>0.72</v>
      </c>
      <c r="L361" s="90" t="n">
        <v>30</v>
      </c>
    </row>
    <row r="362" customFormat="false" ht="17.6" hidden="false" customHeight="false" outlineLevel="0" collapsed="false">
      <c r="A362" s="91" t="s">
        <v>491</v>
      </c>
      <c r="B362" s="90" t="s">
        <v>40</v>
      </c>
      <c r="C362" s="90" t="n">
        <f aca="false">ROUND(E362*G362+F362,0)</f>
        <v>1582</v>
      </c>
      <c r="D362" s="90" t="s">
        <v>238</v>
      </c>
      <c r="E362" s="90" t="n">
        <v>1600</v>
      </c>
      <c r="F362" s="90" t="n">
        <f aca="false">H362+I362+J362+K362+L362+M362</f>
        <v>430</v>
      </c>
      <c r="G362" s="90" t="n">
        <v>0.72</v>
      </c>
      <c r="L362" s="90" t="n">
        <v>30</v>
      </c>
      <c r="M362" s="90" t="n">
        <v>400</v>
      </c>
    </row>
    <row r="363" customFormat="false" ht="17.6" hidden="false" customHeight="false" outlineLevel="0" collapsed="false">
      <c r="A363" s="91" t="s">
        <v>492</v>
      </c>
      <c r="B363" s="90" t="s">
        <v>40</v>
      </c>
      <c r="C363" s="90" t="n">
        <f aca="false">ROUND(E363*G363+F363,0)</f>
        <v>1262</v>
      </c>
      <c r="D363" s="90" t="s">
        <v>238</v>
      </c>
      <c r="E363" s="90" t="n">
        <v>1600</v>
      </c>
      <c r="F363" s="90" t="n">
        <f aca="false">H363+I363+J363+K363+L363+M363</f>
        <v>110</v>
      </c>
      <c r="G363" s="90" t="n">
        <v>0.72</v>
      </c>
      <c r="H363" s="90" t="n">
        <v>60</v>
      </c>
      <c r="K363" s="90" t="n">
        <v>50</v>
      </c>
    </row>
    <row r="364" customFormat="false" ht="17.6" hidden="false" customHeight="false" outlineLevel="0" collapsed="false">
      <c r="A364" s="91" t="s">
        <v>493</v>
      </c>
      <c r="B364" s="90" t="s">
        <v>40</v>
      </c>
      <c r="C364" s="90" t="n">
        <f aca="false">ROUND(E364*G364+F364,0)</f>
        <v>1202</v>
      </c>
      <c r="D364" s="90" t="s">
        <v>238</v>
      </c>
      <c r="E364" s="90" t="n">
        <v>1600</v>
      </c>
      <c r="F364" s="90" t="n">
        <f aca="false">H364+I364+J364+K364+L364+M364</f>
        <v>50</v>
      </c>
      <c r="G364" s="90" t="n">
        <v>0.72</v>
      </c>
      <c r="K364" s="90" t="n">
        <v>50</v>
      </c>
    </row>
    <row r="365" customFormat="false" ht="17.6" hidden="false" customHeight="false" outlineLevel="0" collapsed="false">
      <c r="A365" s="91" t="s">
        <v>494</v>
      </c>
      <c r="B365" s="90" t="s">
        <v>40</v>
      </c>
      <c r="C365" s="90" t="n">
        <f aca="false">ROUND(E365*G365+F365,0)</f>
        <v>1602</v>
      </c>
      <c r="D365" s="90" t="s">
        <v>238</v>
      </c>
      <c r="E365" s="90" t="n">
        <v>1600</v>
      </c>
      <c r="F365" s="90" t="n">
        <f aca="false">H365+I365+J365+K365+L365+M365</f>
        <v>450</v>
      </c>
      <c r="G365" s="90" t="n">
        <v>0.72</v>
      </c>
      <c r="K365" s="90" t="n">
        <v>50</v>
      </c>
      <c r="M365" s="90" t="n">
        <v>400</v>
      </c>
    </row>
    <row r="366" customFormat="false" ht="17.6" hidden="false" customHeight="false" outlineLevel="0" collapsed="false">
      <c r="A366" s="91" t="s">
        <v>495</v>
      </c>
      <c r="B366" s="90" t="s">
        <v>40</v>
      </c>
      <c r="C366" s="90" t="n">
        <f aca="false">ROUND(E366*G366+F366,0)</f>
        <v>1552</v>
      </c>
      <c r="D366" s="90" t="s">
        <v>238</v>
      </c>
      <c r="E366" s="90" t="n">
        <v>1600</v>
      </c>
      <c r="F366" s="90" t="n">
        <f aca="false">H366+I366+J366+K366+L366+M366</f>
        <v>400</v>
      </c>
      <c r="G366" s="90" t="n">
        <v>0.72</v>
      </c>
      <c r="M366" s="90" t="n">
        <v>400</v>
      </c>
    </row>
    <row r="367" customFormat="false" ht="17.6" hidden="false" customHeight="false" outlineLevel="0" collapsed="false">
      <c r="A367" s="91" t="s">
        <v>496</v>
      </c>
      <c r="B367" s="90" t="s">
        <v>40</v>
      </c>
      <c r="C367" s="90" t="n">
        <f aca="false">ROUND(E367*G367+F367,0)</f>
        <v>1262</v>
      </c>
      <c r="D367" s="90" t="s">
        <v>238</v>
      </c>
      <c r="E367" s="90" t="n">
        <v>1600</v>
      </c>
      <c r="F367" s="90" t="n">
        <f aca="false">H367+I367+J367+K367+L367+M367</f>
        <v>110</v>
      </c>
      <c r="G367" s="90" t="n">
        <v>0.72</v>
      </c>
      <c r="H367" s="90" t="n">
        <v>60</v>
      </c>
      <c r="J367" s="90" t="n">
        <v>50</v>
      </c>
    </row>
    <row r="368" customFormat="false" ht="17.6" hidden="false" customHeight="false" outlineLevel="0" collapsed="false">
      <c r="A368" s="91" t="s">
        <v>497</v>
      </c>
      <c r="B368" s="90" t="s">
        <v>40</v>
      </c>
      <c r="C368" s="90" t="n">
        <f aca="false">ROUND(E368*G368+F368,0)</f>
        <v>1202</v>
      </c>
      <c r="D368" s="90" t="s">
        <v>238</v>
      </c>
      <c r="E368" s="90" t="n">
        <v>1600</v>
      </c>
      <c r="F368" s="90" t="n">
        <f aca="false">H368+I368+J368+K368+L368+M368</f>
        <v>50</v>
      </c>
      <c r="G368" s="90" t="n">
        <v>0.72</v>
      </c>
      <c r="J368" s="90" t="n">
        <v>50</v>
      </c>
    </row>
    <row r="369" customFormat="false" ht="17.6" hidden="false" customHeight="false" outlineLevel="0" collapsed="false">
      <c r="A369" s="91" t="s">
        <v>498</v>
      </c>
      <c r="B369" s="90" t="s">
        <v>40</v>
      </c>
      <c r="C369" s="90" t="n">
        <f aca="false">ROUND(E369*G369+F369,0)</f>
        <v>1602</v>
      </c>
      <c r="D369" s="90" t="s">
        <v>238</v>
      </c>
      <c r="E369" s="90" t="n">
        <v>1600</v>
      </c>
      <c r="F369" s="90" t="n">
        <f aca="false">H369+I369+J369+K369+L369+M369</f>
        <v>450</v>
      </c>
      <c r="G369" s="90" t="n">
        <v>0.72</v>
      </c>
      <c r="J369" s="90" t="n">
        <v>50</v>
      </c>
      <c r="M369" s="90" t="n">
        <v>400</v>
      </c>
    </row>
    <row r="370" customFormat="false" ht="17.6" hidden="false" customHeight="false" outlineLevel="0" collapsed="false">
      <c r="A370" s="91" t="s">
        <v>499</v>
      </c>
      <c r="B370" s="90" t="s">
        <v>40</v>
      </c>
      <c r="C370" s="90" t="n">
        <f aca="false">ROUND(E370*G370+F370,0)</f>
        <v>1392</v>
      </c>
      <c r="D370" s="90" t="s">
        <v>238</v>
      </c>
      <c r="E370" s="90" t="n">
        <v>1600</v>
      </c>
      <c r="F370" s="90" t="n">
        <f aca="false">H370+I370+J370+K370+L370+M370</f>
        <v>240</v>
      </c>
      <c r="G370" s="90" t="n">
        <v>0.72</v>
      </c>
      <c r="H370" s="90" t="n">
        <v>60</v>
      </c>
      <c r="I370" s="90" t="n">
        <v>130</v>
      </c>
      <c r="J370" s="90" t="n">
        <v>50</v>
      </c>
      <c r="K370" s="91"/>
      <c r="L370" s="91"/>
      <c r="M370" s="91"/>
    </row>
    <row r="371" customFormat="false" ht="17.6" hidden="false" customHeight="false" outlineLevel="0" collapsed="false">
      <c r="A371" s="91" t="s">
        <v>500</v>
      </c>
      <c r="B371" s="90" t="s">
        <v>40</v>
      </c>
      <c r="C371" s="90" t="n">
        <f aca="false">ROUND(E371*G371+F371,0)</f>
        <v>1332</v>
      </c>
      <c r="D371" s="90" t="s">
        <v>238</v>
      </c>
      <c r="E371" s="90" t="n">
        <v>1600</v>
      </c>
      <c r="F371" s="90" t="n">
        <f aca="false">H371+I371+J371+K371+L371+M371</f>
        <v>180</v>
      </c>
      <c r="G371" s="90" t="n">
        <v>0.72</v>
      </c>
      <c r="I371" s="90" t="n">
        <v>130</v>
      </c>
      <c r="J371" s="90" t="n">
        <v>50</v>
      </c>
    </row>
    <row r="372" customFormat="false" ht="17.6" hidden="false" customHeight="false" outlineLevel="0" collapsed="false">
      <c r="A372" s="91" t="s">
        <v>501</v>
      </c>
      <c r="B372" s="90" t="s">
        <v>40</v>
      </c>
      <c r="C372" s="90" t="n">
        <f aca="false">ROUND(E372*G372+F372,0)</f>
        <v>1732</v>
      </c>
      <c r="D372" s="90" t="s">
        <v>238</v>
      </c>
      <c r="E372" s="90" t="n">
        <v>1600</v>
      </c>
      <c r="F372" s="90" t="n">
        <f aca="false">H372+I372+J372+K372+L372+M372</f>
        <v>580</v>
      </c>
      <c r="G372" s="90" t="n">
        <v>0.72</v>
      </c>
      <c r="I372" s="90" t="n">
        <v>130</v>
      </c>
      <c r="J372" s="90" t="n">
        <v>50</v>
      </c>
      <c r="M372" s="90" t="n">
        <v>400</v>
      </c>
    </row>
    <row r="373" customFormat="false" ht="17.6" hidden="false" customHeight="false" outlineLevel="0" collapsed="false">
      <c r="A373" s="91" t="s">
        <v>502</v>
      </c>
      <c r="B373" s="90" t="s">
        <v>40</v>
      </c>
      <c r="C373" s="90" t="n">
        <f aca="false">1000*0.72+60</f>
        <v>780</v>
      </c>
      <c r="D373" s="90" t="s">
        <v>396</v>
      </c>
      <c r="E373" s="91"/>
      <c r="F373" s="91"/>
      <c r="G373" s="91"/>
      <c r="H373" s="91"/>
      <c r="I373" s="91"/>
      <c r="J373" s="91"/>
      <c r="K373" s="91"/>
      <c r="L373" s="91"/>
      <c r="M373" s="91"/>
    </row>
    <row r="374" customFormat="false" ht="17.6" hidden="false" customHeight="false" outlineLevel="0" collapsed="false">
      <c r="A374" s="91" t="s">
        <v>503</v>
      </c>
      <c r="B374" s="90" t="s">
        <v>40</v>
      </c>
      <c r="C374" s="90" t="n">
        <f aca="false">ROUND(E374*G374+F374,0)</f>
        <v>780</v>
      </c>
      <c r="D374" s="90" t="s">
        <v>238</v>
      </c>
      <c r="E374" s="90" t="n">
        <v>1000</v>
      </c>
      <c r="F374" s="90" t="n">
        <f aca="false">H374+I374+J374+K374+L374+M374</f>
        <v>60</v>
      </c>
      <c r="G374" s="90" t="n">
        <v>0.72</v>
      </c>
      <c r="H374" s="90" t="n">
        <v>60</v>
      </c>
    </row>
    <row r="375" customFormat="false" ht="17.6" hidden="false" customHeight="false" outlineLevel="0" collapsed="false">
      <c r="A375" s="91" t="s">
        <v>504</v>
      </c>
      <c r="B375" s="90" t="s">
        <v>40</v>
      </c>
      <c r="C375" s="90" t="n">
        <f aca="false">ROUND(E375*G375+F375,0)</f>
        <v>720</v>
      </c>
      <c r="D375" s="90" t="s">
        <v>238</v>
      </c>
      <c r="E375" s="90" t="n">
        <v>1000</v>
      </c>
      <c r="F375" s="90" t="n">
        <f aca="false">H375+I375+J375+K375+L375+M375</f>
        <v>0</v>
      </c>
      <c r="G375" s="90" t="n">
        <v>0.72</v>
      </c>
    </row>
    <row r="376" customFormat="false" ht="17.6" hidden="false" customHeight="false" outlineLevel="0" collapsed="false">
      <c r="A376" s="91" t="s">
        <v>505</v>
      </c>
      <c r="B376" s="90" t="s">
        <v>40</v>
      </c>
      <c r="C376" s="90" t="n">
        <f aca="false">ROUND(E376*G376+F376,0)</f>
        <v>810</v>
      </c>
      <c r="D376" s="90" t="s">
        <v>238</v>
      </c>
      <c r="E376" s="90" t="n">
        <v>1000</v>
      </c>
      <c r="F376" s="90" t="n">
        <f aca="false">H376+I376+J376+K376+L376+M376</f>
        <v>90</v>
      </c>
      <c r="G376" s="90" t="n">
        <v>0.72</v>
      </c>
      <c r="H376" s="90" t="n">
        <v>60</v>
      </c>
      <c r="L376" s="90" t="n">
        <v>30</v>
      </c>
    </row>
    <row r="377" customFormat="false" ht="17.6" hidden="false" customHeight="false" outlineLevel="0" collapsed="false">
      <c r="A377" s="91" t="s">
        <v>506</v>
      </c>
      <c r="B377" s="90" t="s">
        <v>40</v>
      </c>
      <c r="C377" s="90" t="n">
        <f aca="false">ROUND(E377*G377+F377,0)</f>
        <v>750</v>
      </c>
      <c r="D377" s="90" t="s">
        <v>238</v>
      </c>
      <c r="E377" s="90" t="n">
        <v>1000</v>
      </c>
      <c r="F377" s="90" t="n">
        <f aca="false">H377+I377+J377+K377+L377+M377</f>
        <v>30</v>
      </c>
      <c r="G377" s="90" t="n">
        <v>0.72</v>
      </c>
      <c r="L377" s="90" t="n">
        <v>30</v>
      </c>
    </row>
    <row r="378" customFormat="false" ht="17.6" hidden="false" customHeight="false" outlineLevel="0" collapsed="false">
      <c r="A378" s="91" t="s">
        <v>507</v>
      </c>
      <c r="B378" s="90" t="s">
        <v>40</v>
      </c>
      <c r="C378" s="90" t="n">
        <f aca="false">ROUND(E378*G378+F378,0)</f>
        <v>1150</v>
      </c>
      <c r="D378" s="90" t="s">
        <v>238</v>
      </c>
      <c r="E378" s="90" t="n">
        <v>1000</v>
      </c>
      <c r="F378" s="90" t="n">
        <f aca="false">H378+I378+J378+K378+L378+M378</f>
        <v>430</v>
      </c>
      <c r="G378" s="90" t="n">
        <v>0.72</v>
      </c>
      <c r="L378" s="90" t="n">
        <v>30</v>
      </c>
      <c r="M378" s="90" t="n">
        <v>400</v>
      </c>
    </row>
    <row r="379" customFormat="false" ht="17.6" hidden="false" customHeight="false" outlineLevel="0" collapsed="false">
      <c r="A379" s="91" t="s">
        <v>508</v>
      </c>
      <c r="B379" s="90" t="s">
        <v>40</v>
      </c>
      <c r="C379" s="90" t="n">
        <f aca="false">ROUND(E379*G379+F379,0)</f>
        <v>830</v>
      </c>
      <c r="D379" s="90" t="s">
        <v>238</v>
      </c>
      <c r="E379" s="90" t="n">
        <v>1000</v>
      </c>
      <c r="F379" s="90" t="n">
        <f aca="false">H379+I379+J379+K379+L379+M379</f>
        <v>110</v>
      </c>
      <c r="G379" s="90" t="n">
        <v>0.72</v>
      </c>
      <c r="H379" s="90" t="n">
        <v>60</v>
      </c>
      <c r="K379" s="90" t="n">
        <v>50</v>
      </c>
    </row>
    <row r="380" customFormat="false" ht="17.6" hidden="false" customHeight="false" outlineLevel="0" collapsed="false">
      <c r="A380" s="91" t="s">
        <v>509</v>
      </c>
      <c r="B380" s="90" t="s">
        <v>40</v>
      </c>
      <c r="C380" s="90" t="n">
        <f aca="false">ROUND(E380*G380+F380,0)</f>
        <v>770</v>
      </c>
      <c r="D380" s="90" t="s">
        <v>238</v>
      </c>
      <c r="E380" s="90" t="n">
        <v>1000</v>
      </c>
      <c r="F380" s="90" t="n">
        <f aca="false">H380+I380+J380+K380+L380+M380</f>
        <v>50</v>
      </c>
      <c r="G380" s="90" t="n">
        <v>0.72</v>
      </c>
      <c r="K380" s="90" t="n">
        <v>50</v>
      </c>
    </row>
    <row r="381" customFormat="false" ht="17.6" hidden="false" customHeight="false" outlineLevel="0" collapsed="false">
      <c r="A381" s="91" t="s">
        <v>510</v>
      </c>
      <c r="B381" s="90" t="s">
        <v>40</v>
      </c>
      <c r="C381" s="90" t="n">
        <f aca="false">ROUND(E381*G381+F381,0)</f>
        <v>1170</v>
      </c>
      <c r="D381" s="90" t="s">
        <v>238</v>
      </c>
      <c r="E381" s="90" t="n">
        <v>1000</v>
      </c>
      <c r="F381" s="90" t="n">
        <f aca="false">H381+I381+J381+K381+L381+M381</f>
        <v>450</v>
      </c>
      <c r="G381" s="90" t="n">
        <v>0.72</v>
      </c>
      <c r="K381" s="90" t="n">
        <v>50</v>
      </c>
      <c r="M381" s="90" t="n">
        <v>400</v>
      </c>
    </row>
    <row r="382" customFormat="false" ht="17.6" hidden="false" customHeight="false" outlineLevel="0" collapsed="false">
      <c r="A382" s="91" t="s">
        <v>511</v>
      </c>
      <c r="B382" s="90" t="s">
        <v>40</v>
      </c>
      <c r="C382" s="90" t="n">
        <f aca="false">ROUND(E382*G382+F382,0)</f>
        <v>1120</v>
      </c>
      <c r="D382" s="90" t="s">
        <v>238</v>
      </c>
      <c r="E382" s="90" t="n">
        <v>1000</v>
      </c>
      <c r="F382" s="90" t="n">
        <f aca="false">H382+I382+J382+K382+L382+M382</f>
        <v>400</v>
      </c>
      <c r="G382" s="90" t="n">
        <v>0.72</v>
      </c>
      <c r="M382" s="90" t="n">
        <v>400</v>
      </c>
    </row>
    <row r="383" customFormat="false" ht="17.6" hidden="false" customHeight="false" outlineLevel="0" collapsed="false">
      <c r="A383" s="91" t="s">
        <v>512</v>
      </c>
      <c r="B383" s="90" t="s">
        <v>40</v>
      </c>
      <c r="C383" s="90" t="n">
        <f aca="false">ROUND(E383*G383+F383,0)</f>
        <v>830</v>
      </c>
      <c r="D383" s="90" t="s">
        <v>238</v>
      </c>
      <c r="E383" s="90" t="n">
        <v>1000</v>
      </c>
      <c r="F383" s="90" t="n">
        <f aca="false">H383+I383+J383+K383+L383+M383</f>
        <v>110</v>
      </c>
      <c r="G383" s="90" t="n">
        <v>0.72</v>
      </c>
      <c r="H383" s="90" t="n">
        <v>60</v>
      </c>
      <c r="J383" s="90" t="n">
        <v>50</v>
      </c>
    </row>
    <row r="384" customFormat="false" ht="17.6" hidden="false" customHeight="false" outlineLevel="0" collapsed="false">
      <c r="A384" s="91" t="s">
        <v>513</v>
      </c>
      <c r="B384" s="90" t="s">
        <v>40</v>
      </c>
      <c r="C384" s="90" t="n">
        <f aca="false">ROUND(E384*G384+F384,0)</f>
        <v>770</v>
      </c>
      <c r="D384" s="90" t="s">
        <v>238</v>
      </c>
      <c r="E384" s="90" t="n">
        <v>1000</v>
      </c>
      <c r="F384" s="90" t="n">
        <f aca="false">H384+I384+J384+K384+L384+M384</f>
        <v>50</v>
      </c>
      <c r="G384" s="90" t="n">
        <v>0.72</v>
      </c>
      <c r="J384" s="90" t="n">
        <v>50</v>
      </c>
    </row>
    <row r="385" customFormat="false" ht="17.6" hidden="false" customHeight="false" outlineLevel="0" collapsed="false">
      <c r="A385" s="91" t="s">
        <v>514</v>
      </c>
      <c r="B385" s="90" t="s">
        <v>40</v>
      </c>
      <c r="C385" s="90" t="n">
        <f aca="false">ROUND(E385*G385+F385,0)</f>
        <v>1170</v>
      </c>
      <c r="D385" s="90" t="s">
        <v>238</v>
      </c>
      <c r="E385" s="90" t="n">
        <v>1000</v>
      </c>
      <c r="F385" s="90" t="n">
        <f aca="false">H385+I385+J385+K385+L385+M385</f>
        <v>450</v>
      </c>
      <c r="G385" s="90" t="n">
        <v>0.72</v>
      </c>
      <c r="J385" s="90" t="n">
        <v>50</v>
      </c>
      <c r="M385" s="90" t="n">
        <v>400</v>
      </c>
    </row>
    <row r="386" customFormat="false" ht="17.6" hidden="false" customHeight="false" outlineLevel="0" collapsed="false">
      <c r="A386" s="91" t="s">
        <v>515</v>
      </c>
      <c r="B386" s="90" t="s">
        <v>40</v>
      </c>
      <c r="C386" s="90" t="n">
        <f aca="false">ROUND(E386*G386+F386,0)</f>
        <v>960</v>
      </c>
      <c r="D386" s="90" t="s">
        <v>238</v>
      </c>
      <c r="E386" s="90" t="n">
        <v>1000</v>
      </c>
      <c r="F386" s="90" t="n">
        <f aca="false">H386+I386+J386+K386+L386+M386</f>
        <v>240</v>
      </c>
      <c r="G386" s="90" t="n">
        <v>0.72</v>
      </c>
      <c r="H386" s="90" t="n">
        <v>60</v>
      </c>
      <c r="I386" s="90" t="n">
        <v>130</v>
      </c>
      <c r="J386" s="90" t="n">
        <v>50</v>
      </c>
      <c r="K386" s="91"/>
      <c r="L386" s="91"/>
      <c r="M386" s="91"/>
    </row>
    <row r="387" customFormat="false" ht="17.6" hidden="false" customHeight="false" outlineLevel="0" collapsed="false">
      <c r="A387" s="91" t="s">
        <v>516</v>
      </c>
      <c r="B387" s="90" t="s">
        <v>40</v>
      </c>
      <c r="C387" s="90" t="n">
        <f aca="false">ROUND(E387*G387+F387,0)</f>
        <v>900</v>
      </c>
      <c r="D387" s="90" t="s">
        <v>238</v>
      </c>
      <c r="E387" s="90" t="n">
        <v>1000</v>
      </c>
      <c r="F387" s="90" t="n">
        <f aca="false">H387+I387+J387+K387+L387+M387</f>
        <v>180</v>
      </c>
      <c r="G387" s="90" t="n">
        <v>0.72</v>
      </c>
      <c r="I387" s="90" t="n">
        <v>130</v>
      </c>
      <c r="J387" s="90" t="n">
        <v>50</v>
      </c>
    </row>
    <row r="388" customFormat="false" ht="17.6" hidden="false" customHeight="false" outlineLevel="0" collapsed="false">
      <c r="A388" s="91" t="s">
        <v>517</v>
      </c>
      <c r="B388" s="90" t="s">
        <v>40</v>
      </c>
      <c r="C388" s="90" t="n">
        <f aca="false">ROUND(E388*G388+F388,0)</f>
        <v>1300</v>
      </c>
      <c r="D388" s="90" t="s">
        <v>238</v>
      </c>
      <c r="E388" s="90" t="n">
        <v>1000</v>
      </c>
      <c r="F388" s="90" t="n">
        <f aca="false">H388+I388+J388+K388+L388+M388</f>
        <v>580</v>
      </c>
      <c r="G388" s="90" t="n">
        <v>0.72</v>
      </c>
      <c r="I388" s="90" t="n">
        <v>130</v>
      </c>
      <c r="J388" s="90" t="n">
        <v>50</v>
      </c>
      <c r="M388" s="90" t="n">
        <v>400</v>
      </c>
    </row>
    <row r="389" customFormat="false" ht="17.6" hidden="false" customHeight="false" outlineLevel="0" collapsed="false">
      <c r="A389" s="91" t="s">
        <v>518</v>
      </c>
      <c r="B389" s="90" t="s">
        <v>40</v>
      </c>
      <c r="C389" s="90" t="n">
        <f aca="false">ROUND(E389*G389+F389,0)</f>
        <v>924</v>
      </c>
      <c r="D389" s="90" t="s">
        <v>238</v>
      </c>
      <c r="E389" s="90" t="n">
        <v>1200</v>
      </c>
      <c r="F389" s="90" t="n">
        <f aca="false">H389+I389+J389+K389+L389+M389</f>
        <v>60</v>
      </c>
      <c r="G389" s="90" t="n">
        <v>0.72</v>
      </c>
      <c r="H389" s="90" t="n">
        <v>60</v>
      </c>
    </row>
    <row r="390" customFormat="false" ht="17.6" hidden="false" customHeight="false" outlineLevel="0" collapsed="false">
      <c r="A390" s="91" t="s">
        <v>519</v>
      </c>
      <c r="B390" s="90" t="s">
        <v>40</v>
      </c>
      <c r="C390" s="90" t="n">
        <f aca="false">ROUND(E390*G390+F390,0)</f>
        <v>864</v>
      </c>
      <c r="D390" s="90" t="s">
        <v>238</v>
      </c>
      <c r="E390" s="90" t="n">
        <v>1200</v>
      </c>
      <c r="F390" s="90" t="n">
        <f aca="false">H390+I390+J390+K390+L390+M390</f>
        <v>0</v>
      </c>
      <c r="G390" s="90" t="n">
        <v>0.72</v>
      </c>
    </row>
    <row r="391" customFormat="false" ht="17.6" hidden="false" customHeight="false" outlineLevel="0" collapsed="false">
      <c r="A391" s="91" t="s">
        <v>520</v>
      </c>
      <c r="B391" s="90" t="s">
        <v>40</v>
      </c>
      <c r="C391" s="90" t="n">
        <f aca="false">ROUND(E391*G391+F391,0)</f>
        <v>954</v>
      </c>
      <c r="D391" s="90" t="s">
        <v>238</v>
      </c>
      <c r="E391" s="90" t="n">
        <v>1200</v>
      </c>
      <c r="F391" s="90" t="n">
        <f aca="false">H391+I391+J391+K391+L391+M391</f>
        <v>90</v>
      </c>
      <c r="G391" s="90" t="n">
        <v>0.72</v>
      </c>
      <c r="H391" s="90" t="n">
        <v>60</v>
      </c>
      <c r="L391" s="90" t="n">
        <v>30</v>
      </c>
    </row>
    <row r="392" customFormat="false" ht="17.6" hidden="false" customHeight="false" outlineLevel="0" collapsed="false">
      <c r="A392" s="91" t="s">
        <v>521</v>
      </c>
      <c r="B392" s="90" t="s">
        <v>40</v>
      </c>
      <c r="C392" s="90" t="n">
        <f aca="false">ROUND(E392*G392+F392,0)</f>
        <v>894</v>
      </c>
      <c r="D392" s="90" t="s">
        <v>238</v>
      </c>
      <c r="E392" s="90" t="n">
        <v>1200</v>
      </c>
      <c r="F392" s="90" t="n">
        <f aca="false">H392+I392+J392+K392+L392+M392</f>
        <v>30</v>
      </c>
      <c r="G392" s="90" t="n">
        <v>0.72</v>
      </c>
      <c r="L392" s="90" t="n">
        <v>30</v>
      </c>
    </row>
    <row r="393" customFormat="false" ht="17.6" hidden="false" customHeight="false" outlineLevel="0" collapsed="false">
      <c r="A393" s="91" t="s">
        <v>522</v>
      </c>
      <c r="B393" s="90" t="s">
        <v>40</v>
      </c>
      <c r="C393" s="90" t="n">
        <f aca="false">ROUND(E393*G393+F393,0)</f>
        <v>1294</v>
      </c>
      <c r="D393" s="90" t="s">
        <v>238</v>
      </c>
      <c r="E393" s="90" t="n">
        <v>1200</v>
      </c>
      <c r="F393" s="90" t="n">
        <f aca="false">H393+I393+J393+K393+L393+M393</f>
        <v>430</v>
      </c>
      <c r="G393" s="90" t="n">
        <v>0.72</v>
      </c>
      <c r="L393" s="90" t="n">
        <v>30</v>
      </c>
      <c r="M393" s="90" t="n">
        <v>400</v>
      </c>
    </row>
    <row r="394" customFormat="false" ht="17.6" hidden="false" customHeight="false" outlineLevel="0" collapsed="false">
      <c r="A394" s="91" t="s">
        <v>523</v>
      </c>
      <c r="B394" s="90" t="s">
        <v>40</v>
      </c>
      <c r="C394" s="90" t="n">
        <f aca="false">ROUND(E394*G394+F394,0)</f>
        <v>974</v>
      </c>
      <c r="D394" s="90" t="s">
        <v>238</v>
      </c>
      <c r="E394" s="90" t="n">
        <v>1200</v>
      </c>
      <c r="F394" s="90" t="n">
        <f aca="false">H394+I394+J394+K394+L394+M394</f>
        <v>110</v>
      </c>
      <c r="G394" s="90" t="n">
        <v>0.72</v>
      </c>
      <c r="H394" s="90" t="n">
        <v>60</v>
      </c>
      <c r="K394" s="90" t="n">
        <v>50</v>
      </c>
    </row>
    <row r="395" customFormat="false" ht="17.6" hidden="false" customHeight="false" outlineLevel="0" collapsed="false">
      <c r="A395" s="91" t="s">
        <v>524</v>
      </c>
      <c r="B395" s="90" t="s">
        <v>40</v>
      </c>
      <c r="C395" s="90" t="n">
        <f aca="false">ROUND(E395*G395+F395,0)</f>
        <v>914</v>
      </c>
      <c r="D395" s="90" t="s">
        <v>238</v>
      </c>
      <c r="E395" s="90" t="n">
        <v>1200</v>
      </c>
      <c r="F395" s="90" t="n">
        <f aca="false">H395+I395+J395+K395+L395+M395</f>
        <v>50</v>
      </c>
      <c r="G395" s="90" t="n">
        <v>0.72</v>
      </c>
      <c r="K395" s="90" t="n">
        <v>50</v>
      </c>
    </row>
    <row r="396" customFormat="false" ht="17.6" hidden="false" customHeight="false" outlineLevel="0" collapsed="false">
      <c r="A396" s="91" t="s">
        <v>525</v>
      </c>
      <c r="B396" s="90" t="s">
        <v>40</v>
      </c>
      <c r="C396" s="90" t="n">
        <f aca="false">ROUND(E396*G396+F396,0)</f>
        <v>1314</v>
      </c>
      <c r="D396" s="90" t="s">
        <v>238</v>
      </c>
      <c r="E396" s="90" t="n">
        <v>1200</v>
      </c>
      <c r="F396" s="90" t="n">
        <f aca="false">H396+I396+J396+K396+L396+M396</f>
        <v>450</v>
      </c>
      <c r="G396" s="90" t="n">
        <v>0.72</v>
      </c>
      <c r="K396" s="90" t="n">
        <v>50</v>
      </c>
      <c r="M396" s="90" t="n">
        <v>400</v>
      </c>
    </row>
    <row r="397" customFormat="false" ht="17.6" hidden="false" customHeight="false" outlineLevel="0" collapsed="false">
      <c r="A397" s="91" t="s">
        <v>526</v>
      </c>
      <c r="B397" s="90" t="s">
        <v>40</v>
      </c>
      <c r="C397" s="90" t="n">
        <f aca="false">ROUND(E397*G397+F397,0)</f>
        <v>1264</v>
      </c>
      <c r="D397" s="90" t="s">
        <v>238</v>
      </c>
      <c r="E397" s="90" t="n">
        <v>1200</v>
      </c>
      <c r="F397" s="90" t="n">
        <f aca="false">H397+I397+J397+K397+L397+M397</f>
        <v>400</v>
      </c>
      <c r="G397" s="90" t="n">
        <v>0.72</v>
      </c>
      <c r="M397" s="90" t="n">
        <v>400</v>
      </c>
    </row>
    <row r="398" customFormat="false" ht="17.6" hidden="false" customHeight="false" outlineLevel="0" collapsed="false">
      <c r="A398" s="91" t="s">
        <v>527</v>
      </c>
      <c r="B398" s="90" t="s">
        <v>40</v>
      </c>
      <c r="C398" s="90" t="n">
        <f aca="false">ROUND(E398*G398+F398,0)</f>
        <v>974</v>
      </c>
      <c r="D398" s="90" t="s">
        <v>238</v>
      </c>
      <c r="E398" s="90" t="n">
        <v>1200</v>
      </c>
      <c r="F398" s="90" t="n">
        <f aca="false">H398+I398+J398+K398+L398+M398</f>
        <v>110</v>
      </c>
      <c r="G398" s="90" t="n">
        <v>0.72</v>
      </c>
      <c r="H398" s="90" t="n">
        <v>60</v>
      </c>
      <c r="J398" s="90" t="n">
        <v>50</v>
      </c>
    </row>
    <row r="399" customFormat="false" ht="17.6" hidden="false" customHeight="false" outlineLevel="0" collapsed="false">
      <c r="A399" s="91" t="s">
        <v>528</v>
      </c>
      <c r="B399" s="90" t="s">
        <v>40</v>
      </c>
      <c r="C399" s="90" t="n">
        <f aca="false">ROUND(E399*G399+F399,0)</f>
        <v>914</v>
      </c>
      <c r="D399" s="90" t="s">
        <v>238</v>
      </c>
      <c r="E399" s="90" t="n">
        <v>1200</v>
      </c>
      <c r="F399" s="90" t="n">
        <f aca="false">H399+I399+J399+K399+L399+M399</f>
        <v>50</v>
      </c>
      <c r="G399" s="90" t="n">
        <v>0.72</v>
      </c>
      <c r="J399" s="90" t="n">
        <v>50</v>
      </c>
    </row>
    <row r="400" customFormat="false" ht="17.6" hidden="false" customHeight="false" outlineLevel="0" collapsed="false">
      <c r="A400" s="91" t="s">
        <v>529</v>
      </c>
      <c r="B400" s="90" t="s">
        <v>40</v>
      </c>
      <c r="C400" s="90" t="n">
        <f aca="false">ROUND(E400*G400+F400,0)</f>
        <v>1314</v>
      </c>
      <c r="D400" s="90" t="s">
        <v>238</v>
      </c>
      <c r="E400" s="90" t="n">
        <v>1200</v>
      </c>
      <c r="F400" s="90" t="n">
        <f aca="false">H400+I400+J400+K400+L400+M400</f>
        <v>450</v>
      </c>
      <c r="G400" s="90" t="n">
        <v>0.72</v>
      </c>
      <c r="J400" s="90" t="n">
        <v>50</v>
      </c>
      <c r="M400" s="90" t="n">
        <v>400</v>
      </c>
    </row>
    <row r="401" customFormat="false" ht="17.6" hidden="false" customHeight="false" outlineLevel="0" collapsed="false">
      <c r="A401" s="91" t="s">
        <v>530</v>
      </c>
      <c r="B401" s="90" t="s">
        <v>40</v>
      </c>
      <c r="C401" s="90" t="n">
        <f aca="false">ROUND(E401*G401+F401,0)</f>
        <v>1104</v>
      </c>
      <c r="D401" s="90" t="s">
        <v>238</v>
      </c>
      <c r="E401" s="90" t="n">
        <v>1200</v>
      </c>
      <c r="F401" s="90" t="n">
        <f aca="false">H401+I401+J401+K401+L401+M401</f>
        <v>240</v>
      </c>
      <c r="G401" s="90" t="n">
        <v>0.72</v>
      </c>
      <c r="H401" s="90" t="n">
        <v>60</v>
      </c>
      <c r="I401" s="90" t="n">
        <v>130</v>
      </c>
      <c r="J401" s="90" t="n">
        <v>50</v>
      </c>
      <c r="K401" s="91"/>
      <c r="L401" s="91"/>
      <c r="M401" s="91"/>
    </row>
    <row r="402" customFormat="false" ht="17.6" hidden="false" customHeight="false" outlineLevel="0" collapsed="false">
      <c r="A402" s="91" t="s">
        <v>531</v>
      </c>
      <c r="B402" s="90" t="s">
        <v>40</v>
      </c>
      <c r="C402" s="90" t="n">
        <f aca="false">ROUND(E402*G402+F402,0)</f>
        <v>1044</v>
      </c>
      <c r="D402" s="90" t="s">
        <v>238</v>
      </c>
      <c r="E402" s="90" t="n">
        <v>1200</v>
      </c>
      <c r="F402" s="90" t="n">
        <f aca="false">H402+I402+J402+K402+L402+M402</f>
        <v>180</v>
      </c>
      <c r="G402" s="90" t="n">
        <v>0.72</v>
      </c>
      <c r="I402" s="90" t="n">
        <v>130</v>
      </c>
      <c r="J402" s="90" t="n">
        <v>50</v>
      </c>
    </row>
    <row r="403" customFormat="false" ht="17.6" hidden="false" customHeight="false" outlineLevel="0" collapsed="false">
      <c r="A403" s="91" t="s">
        <v>532</v>
      </c>
      <c r="B403" s="90" t="s">
        <v>40</v>
      </c>
      <c r="C403" s="90" t="n">
        <f aca="false">ROUND(E403*G403+F403,0)</f>
        <v>1444</v>
      </c>
      <c r="D403" s="90" t="s">
        <v>238</v>
      </c>
      <c r="E403" s="90" t="n">
        <v>1200</v>
      </c>
      <c r="F403" s="90" t="n">
        <f aca="false">H403+I403+J403+K403+L403+M403</f>
        <v>580</v>
      </c>
      <c r="G403" s="90" t="n">
        <v>0.72</v>
      </c>
      <c r="I403" s="90" t="n">
        <v>130</v>
      </c>
      <c r="J403" s="90" t="n">
        <v>50</v>
      </c>
      <c r="M403" s="90" t="n">
        <v>400</v>
      </c>
    </row>
    <row r="404" customFormat="false" ht="17.6" hidden="false" customHeight="false" outlineLevel="0" collapsed="false">
      <c r="A404" s="91" t="s">
        <v>533</v>
      </c>
      <c r="B404" s="90" t="s">
        <v>40</v>
      </c>
      <c r="C404" s="90" t="n">
        <f aca="false">ROUND(E404*G404+F404,0)</f>
        <v>1086</v>
      </c>
      <c r="D404" s="90" t="s">
        <v>238</v>
      </c>
      <c r="E404" s="90" t="n">
        <v>1300</v>
      </c>
      <c r="F404" s="90" t="n">
        <f aca="false">H404+I404+J404+K404+L404+M404</f>
        <v>150</v>
      </c>
      <c r="G404" s="90" t="n">
        <v>0.72</v>
      </c>
      <c r="H404" s="90" t="n">
        <v>150</v>
      </c>
    </row>
    <row r="405" customFormat="false" ht="17.6" hidden="false" customHeight="false" outlineLevel="0" collapsed="false">
      <c r="A405" s="91" t="s">
        <v>534</v>
      </c>
      <c r="B405" s="90" t="s">
        <v>40</v>
      </c>
      <c r="C405" s="90" t="n">
        <f aca="false">ROUND(E405*G405+F405,0)</f>
        <v>936</v>
      </c>
      <c r="D405" s="90" t="s">
        <v>238</v>
      </c>
      <c r="E405" s="90" t="n">
        <v>1300</v>
      </c>
      <c r="F405" s="90" t="n">
        <f aca="false">H405+I405+J405+K405+L405+M405</f>
        <v>0</v>
      </c>
      <c r="G405" s="90" t="n">
        <v>0.72</v>
      </c>
    </row>
    <row r="406" customFormat="false" ht="17.6" hidden="false" customHeight="false" outlineLevel="0" collapsed="false">
      <c r="A406" s="91" t="s">
        <v>535</v>
      </c>
      <c r="B406" s="90" t="s">
        <v>40</v>
      </c>
      <c r="C406" s="90" t="n">
        <f aca="false">ROUND(E406*G406+F406,0)</f>
        <v>1116</v>
      </c>
      <c r="D406" s="90" t="s">
        <v>238</v>
      </c>
      <c r="E406" s="90" t="n">
        <v>1300</v>
      </c>
      <c r="F406" s="90" t="n">
        <f aca="false">H406+I406+J406+K406+L406+M406</f>
        <v>180</v>
      </c>
      <c r="G406" s="90" t="n">
        <v>0.72</v>
      </c>
      <c r="H406" s="90" t="n">
        <v>150</v>
      </c>
      <c r="L406" s="90" t="n">
        <v>30</v>
      </c>
    </row>
    <row r="407" customFormat="false" ht="17.6" hidden="false" customHeight="false" outlineLevel="0" collapsed="false">
      <c r="A407" s="91" t="s">
        <v>536</v>
      </c>
      <c r="B407" s="90" t="s">
        <v>40</v>
      </c>
      <c r="C407" s="90" t="n">
        <f aca="false">ROUND(E407*G407+F407,0)</f>
        <v>966</v>
      </c>
      <c r="D407" s="90" t="s">
        <v>238</v>
      </c>
      <c r="E407" s="90" t="n">
        <v>1300</v>
      </c>
      <c r="F407" s="90" t="n">
        <f aca="false">H407+I407+J407+K407+L407+M407</f>
        <v>30</v>
      </c>
      <c r="G407" s="90" t="n">
        <v>0.72</v>
      </c>
      <c r="L407" s="90" t="n">
        <v>30</v>
      </c>
    </row>
    <row r="408" customFormat="false" ht="17.6" hidden="false" customHeight="false" outlineLevel="0" collapsed="false">
      <c r="A408" s="91" t="s">
        <v>537</v>
      </c>
      <c r="B408" s="90" t="s">
        <v>40</v>
      </c>
      <c r="C408" s="90" t="n">
        <f aca="false">ROUND(E408*G408+F408,0)</f>
        <v>1596</v>
      </c>
      <c r="D408" s="90" t="s">
        <v>238</v>
      </c>
      <c r="E408" s="90" t="n">
        <v>1300</v>
      </c>
      <c r="F408" s="90" t="n">
        <f aca="false">H408+I408+J408+K408+L408+M408</f>
        <v>660</v>
      </c>
      <c r="G408" s="90" t="n">
        <v>0.72</v>
      </c>
      <c r="L408" s="90" t="n">
        <v>30</v>
      </c>
      <c r="M408" s="90" t="n">
        <v>630</v>
      </c>
    </row>
    <row r="409" customFormat="false" ht="17.6" hidden="false" customHeight="false" outlineLevel="0" collapsed="false">
      <c r="A409" s="91" t="s">
        <v>538</v>
      </c>
      <c r="B409" s="90" t="s">
        <v>40</v>
      </c>
      <c r="C409" s="90" t="n">
        <f aca="false">ROUND(E409*G409+F409,0)</f>
        <v>1136</v>
      </c>
      <c r="D409" s="90" t="s">
        <v>238</v>
      </c>
      <c r="E409" s="90" t="n">
        <v>1300</v>
      </c>
      <c r="F409" s="90" t="n">
        <f aca="false">H409+I409+J409+K409+L409+M409</f>
        <v>200</v>
      </c>
      <c r="G409" s="90" t="n">
        <v>0.72</v>
      </c>
      <c r="H409" s="90" t="n">
        <v>150</v>
      </c>
      <c r="K409" s="90" t="n">
        <v>50</v>
      </c>
    </row>
    <row r="410" customFormat="false" ht="17.6" hidden="false" customHeight="false" outlineLevel="0" collapsed="false">
      <c r="A410" s="91" t="s">
        <v>539</v>
      </c>
      <c r="B410" s="90" t="s">
        <v>40</v>
      </c>
      <c r="C410" s="90" t="n">
        <f aca="false">ROUND(E410*G410+F410,0)</f>
        <v>986</v>
      </c>
      <c r="D410" s="90" t="s">
        <v>238</v>
      </c>
      <c r="E410" s="90" t="n">
        <v>1300</v>
      </c>
      <c r="F410" s="90" t="n">
        <f aca="false">H410+I410+J410+K410+L410+M410</f>
        <v>50</v>
      </c>
      <c r="G410" s="90" t="n">
        <v>0.72</v>
      </c>
      <c r="K410" s="90" t="n">
        <v>50</v>
      </c>
    </row>
    <row r="411" customFormat="false" ht="17.6" hidden="false" customHeight="false" outlineLevel="0" collapsed="false">
      <c r="A411" s="91" t="s">
        <v>540</v>
      </c>
      <c r="B411" s="90" t="s">
        <v>40</v>
      </c>
      <c r="C411" s="90" t="n">
        <f aca="false">ROUND(E411*G411+F411,0)</f>
        <v>1616</v>
      </c>
      <c r="D411" s="90" t="s">
        <v>238</v>
      </c>
      <c r="E411" s="90" t="n">
        <v>1300</v>
      </c>
      <c r="F411" s="90" t="n">
        <f aca="false">H411+I411+J411+K411+L411+M411</f>
        <v>680</v>
      </c>
      <c r="G411" s="90" t="n">
        <v>0.72</v>
      </c>
      <c r="K411" s="90" t="n">
        <v>50</v>
      </c>
      <c r="M411" s="90" t="n">
        <v>630</v>
      </c>
    </row>
    <row r="412" customFormat="false" ht="17.6" hidden="false" customHeight="false" outlineLevel="0" collapsed="false">
      <c r="A412" s="91" t="s">
        <v>541</v>
      </c>
      <c r="B412" s="90" t="s">
        <v>40</v>
      </c>
      <c r="C412" s="90" t="n">
        <f aca="false">ROUND(E412*G412+F412,0)</f>
        <v>1566</v>
      </c>
      <c r="D412" s="90" t="s">
        <v>238</v>
      </c>
      <c r="E412" s="90" t="n">
        <v>1300</v>
      </c>
      <c r="F412" s="90" t="n">
        <f aca="false">H412+I412+J412+K412+L412+M412</f>
        <v>630</v>
      </c>
      <c r="G412" s="90" t="n">
        <v>0.72</v>
      </c>
      <c r="M412" s="90" t="n">
        <v>630</v>
      </c>
    </row>
    <row r="413" customFormat="false" ht="17.6" hidden="false" customHeight="false" outlineLevel="0" collapsed="false">
      <c r="A413" s="91" t="s">
        <v>542</v>
      </c>
      <c r="B413" s="90" t="s">
        <v>40</v>
      </c>
      <c r="C413" s="90" t="n">
        <f aca="false">ROUND(E413*G413+F413,0)</f>
        <v>1136</v>
      </c>
      <c r="D413" s="90" t="s">
        <v>238</v>
      </c>
      <c r="E413" s="90" t="n">
        <v>1300</v>
      </c>
      <c r="F413" s="90" t="n">
        <f aca="false">H413+I413+J413+K413+L413+M413</f>
        <v>200</v>
      </c>
      <c r="G413" s="90" t="n">
        <v>0.72</v>
      </c>
      <c r="H413" s="90" t="n">
        <v>150</v>
      </c>
      <c r="J413" s="90" t="n">
        <v>50</v>
      </c>
    </row>
    <row r="414" customFormat="false" ht="17.6" hidden="false" customHeight="false" outlineLevel="0" collapsed="false">
      <c r="A414" s="91" t="s">
        <v>543</v>
      </c>
      <c r="B414" s="90" t="s">
        <v>40</v>
      </c>
      <c r="C414" s="90" t="n">
        <f aca="false">ROUND(E414*G414+F414,0)</f>
        <v>986</v>
      </c>
      <c r="D414" s="90" t="s">
        <v>238</v>
      </c>
      <c r="E414" s="90" t="n">
        <v>1300</v>
      </c>
      <c r="F414" s="90" t="n">
        <f aca="false">H414+I414+J414+K414+L414+M414</f>
        <v>50</v>
      </c>
      <c r="G414" s="90" t="n">
        <v>0.72</v>
      </c>
      <c r="J414" s="90" t="n">
        <v>50</v>
      </c>
    </row>
    <row r="415" customFormat="false" ht="17.6" hidden="false" customHeight="false" outlineLevel="0" collapsed="false">
      <c r="A415" s="91" t="s">
        <v>544</v>
      </c>
      <c r="B415" s="90" t="s">
        <v>40</v>
      </c>
      <c r="C415" s="90" t="n">
        <f aca="false">ROUND(E415*G415+F415,0)</f>
        <v>1616</v>
      </c>
      <c r="D415" s="90" t="s">
        <v>238</v>
      </c>
      <c r="E415" s="90" t="n">
        <v>1300</v>
      </c>
      <c r="F415" s="90" t="n">
        <f aca="false">H415+I415+J415+K415+L415+M415</f>
        <v>680</v>
      </c>
      <c r="G415" s="90" t="n">
        <v>0.72</v>
      </c>
      <c r="J415" s="90" t="n">
        <v>50</v>
      </c>
      <c r="M415" s="90" t="n">
        <v>630</v>
      </c>
    </row>
    <row r="416" customFormat="false" ht="17.6" hidden="false" customHeight="false" outlineLevel="0" collapsed="false">
      <c r="A416" s="91" t="s">
        <v>545</v>
      </c>
      <c r="B416" s="90" t="s">
        <v>40</v>
      </c>
      <c r="C416" s="90" t="n">
        <f aca="false">ROUND(E416*G416+F416,0)</f>
        <v>1266</v>
      </c>
      <c r="D416" s="90" t="s">
        <v>238</v>
      </c>
      <c r="E416" s="90" t="n">
        <v>1300</v>
      </c>
      <c r="F416" s="90" t="n">
        <f aca="false">H416+I416+J416+K416+L416+M416</f>
        <v>330</v>
      </c>
      <c r="G416" s="90" t="n">
        <v>0.72</v>
      </c>
      <c r="H416" s="90" t="n">
        <v>150</v>
      </c>
      <c r="I416" s="90" t="n">
        <v>130</v>
      </c>
      <c r="J416" s="90" t="n">
        <v>50</v>
      </c>
      <c r="K416" s="91"/>
      <c r="L416" s="91"/>
      <c r="M416" s="91"/>
    </row>
    <row r="417" customFormat="false" ht="17.6" hidden="false" customHeight="false" outlineLevel="0" collapsed="false">
      <c r="A417" s="91" t="s">
        <v>546</v>
      </c>
      <c r="B417" s="90" t="s">
        <v>40</v>
      </c>
      <c r="C417" s="90" t="n">
        <f aca="false">ROUND(E417*G417+F417,0)</f>
        <v>1116</v>
      </c>
      <c r="D417" s="90" t="s">
        <v>238</v>
      </c>
      <c r="E417" s="90" t="n">
        <v>1300</v>
      </c>
      <c r="F417" s="90" t="n">
        <f aca="false">H417+I417+J417+K417+L417+M417</f>
        <v>180</v>
      </c>
      <c r="G417" s="90" t="n">
        <v>0.72</v>
      </c>
      <c r="I417" s="90" t="n">
        <v>130</v>
      </c>
      <c r="J417" s="90" t="n">
        <v>50</v>
      </c>
    </row>
    <row r="418" customFormat="false" ht="17.6" hidden="false" customHeight="false" outlineLevel="0" collapsed="false">
      <c r="A418" s="91" t="s">
        <v>547</v>
      </c>
      <c r="B418" s="90" t="s">
        <v>40</v>
      </c>
      <c r="C418" s="90" t="n">
        <f aca="false">ROUND(E418*G418+F418,0)</f>
        <v>1746</v>
      </c>
      <c r="D418" s="90" t="s">
        <v>238</v>
      </c>
      <c r="E418" s="90" t="n">
        <v>1300</v>
      </c>
      <c r="F418" s="90" t="n">
        <f aca="false">H418+I418+J418+K418+L418+M418</f>
        <v>810</v>
      </c>
      <c r="G418" s="90" t="n">
        <v>0.72</v>
      </c>
      <c r="I418" s="90" t="n">
        <v>130</v>
      </c>
      <c r="J418" s="90" t="n">
        <v>50</v>
      </c>
      <c r="M418" s="90" t="n">
        <v>630</v>
      </c>
    </row>
    <row r="419" customFormat="false" ht="17.6" hidden="false" customHeight="false" outlineLevel="0" collapsed="false">
      <c r="A419" s="91" t="s">
        <v>548</v>
      </c>
      <c r="B419" s="90" t="s">
        <v>40</v>
      </c>
      <c r="C419" s="90" t="n">
        <f aca="false">ROUND(E419*G419+F419,0)</f>
        <v>1950</v>
      </c>
      <c r="D419" s="90" t="s">
        <v>238</v>
      </c>
      <c r="E419" s="90" t="n">
        <v>2500</v>
      </c>
      <c r="F419" s="90" t="n">
        <f aca="false">H419+I419+J419+K419+L419+M419</f>
        <v>150</v>
      </c>
      <c r="G419" s="90" t="n">
        <v>0.72</v>
      </c>
      <c r="H419" s="90" t="n">
        <v>150</v>
      </c>
      <c r="I419" s="91"/>
      <c r="J419" s="91"/>
      <c r="K419" s="91"/>
      <c r="L419" s="91"/>
      <c r="M419" s="91"/>
    </row>
    <row r="420" customFormat="false" ht="17.6" hidden="false" customHeight="false" outlineLevel="0" collapsed="false">
      <c r="A420" s="91" t="s">
        <v>549</v>
      </c>
      <c r="B420" s="90" t="s">
        <v>40</v>
      </c>
      <c r="C420" s="90" t="n">
        <f aca="false">ROUND(E420*G420+F420,0)</f>
        <v>1800</v>
      </c>
      <c r="D420" s="90" t="s">
        <v>238</v>
      </c>
      <c r="E420" s="90" t="n">
        <v>2500</v>
      </c>
      <c r="F420" s="90" t="n">
        <f aca="false">H420+I420+J420+K420+L420+M420</f>
        <v>0</v>
      </c>
      <c r="G420" s="90" t="n">
        <v>0.72</v>
      </c>
    </row>
    <row r="421" customFormat="false" ht="17.6" hidden="false" customHeight="false" outlineLevel="0" collapsed="false">
      <c r="A421" s="91" t="s">
        <v>550</v>
      </c>
      <c r="B421" s="90" t="s">
        <v>40</v>
      </c>
      <c r="C421" s="90" t="n">
        <f aca="false">ROUND(E421*G421+F421,0)</f>
        <v>1980</v>
      </c>
      <c r="D421" s="90" t="s">
        <v>238</v>
      </c>
      <c r="E421" s="90" t="n">
        <v>2500</v>
      </c>
      <c r="F421" s="90" t="n">
        <f aca="false">H421+I421+J421+K421+L421+M421</f>
        <v>180</v>
      </c>
      <c r="G421" s="90" t="n">
        <v>0.72</v>
      </c>
      <c r="H421" s="90" t="n">
        <v>150</v>
      </c>
      <c r="I421" s="91"/>
      <c r="J421" s="91"/>
      <c r="L421" s="90" t="n">
        <v>30</v>
      </c>
      <c r="M421" s="91"/>
    </row>
    <row r="422" customFormat="false" ht="17.6" hidden="false" customHeight="false" outlineLevel="0" collapsed="false">
      <c r="A422" s="91" t="s">
        <v>551</v>
      </c>
      <c r="B422" s="90" t="s">
        <v>40</v>
      </c>
      <c r="C422" s="90" t="n">
        <f aca="false">ROUND(E422*G422+F422,0)</f>
        <v>1830</v>
      </c>
      <c r="D422" s="90" t="s">
        <v>238</v>
      </c>
      <c r="E422" s="90" t="n">
        <v>2500</v>
      </c>
      <c r="F422" s="90" t="n">
        <f aca="false">H422+I422+J422+K422+L422+M422</f>
        <v>30</v>
      </c>
      <c r="G422" s="90" t="n">
        <v>0.72</v>
      </c>
      <c r="L422" s="90" t="n">
        <v>30</v>
      </c>
    </row>
    <row r="423" customFormat="false" ht="17.6" hidden="false" customHeight="false" outlineLevel="0" collapsed="false">
      <c r="A423" s="91" t="s">
        <v>552</v>
      </c>
      <c r="B423" s="90" t="s">
        <v>40</v>
      </c>
      <c r="C423" s="90" t="n">
        <f aca="false">ROUND(E423*G423+F423,0)</f>
        <v>2460</v>
      </c>
      <c r="D423" s="90" t="s">
        <v>238</v>
      </c>
      <c r="E423" s="90" t="n">
        <v>2500</v>
      </c>
      <c r="F423" s="90" t="n">
        <f aca="false">H423+I423+J423+K423+L423+M423</f>
        <v>660</v>
      </c>
      <c r="G423" s="90" t="n">
        <v>0.72</v>
      </c>
      <c r="L423" s="90" t="n">
        <v>30</v>
      </c>
      <c r="M423" s="90" t="n">
        <v>630</v>
      </c>
    </row>
    <row r="424" customFormat="false" ht="17.6" hidden="false" customHeight="false" outlineLevel="0" collapsed="false">
      <c r="A424" s="91" t="s">
        <v>553</v>
      </c>
      <c r="B424" s="90" t="s">
        <v>40</v>
      </c>
      <c r="C424" s="90" t="n">
        <f aca="false">ROUND(E424*G424+F424,0)</f>
        <v>2000</v>
      </c>
      <c r="D424" s="90" t="s">
        <v>238</v>
      </c>
      <c r="E424" s="90" t="n">
        <v>2500</v>
      </c>
      <c r="F424" s="90" t="n">
        <f aca="false">H424+I424+J424+K424+L424+M424</f>
        <v>200</v>
      </c>
      <c r="G424" s="90" t="n">
        <v>0.72</v>
      </c>
      <c r="H424" s="90" t="n">
        <v>150</v>
      </c>
      <c r="I424" s="91"/>
      <c r="J424" s="91"/>
      <c r="K424" s="90" t="n">
        <v>50</v>
      </c>
      <c r="L424" s="91"/>
      <c r="M424" s="91"/>
    </row>
    <row r="425" customFormat="false" ht="17.6" hidden="false" customHeight="false" outlineLevel="0" collapsed="false">
      <c r="A425" s="91" t="s">
        <v>554</v>
      </c>
      <c r="B425" s="90" t="s">
        <v>40</v>
      </c>
      <c r="C425" s="90" t="n">
        <f aca="false">ROUND(E425*G425+F425,0)</f>
        <v>1850</v>
      </c>
      <c r="D425" s="90" t="s">
        <v>238</v>
      </c>
      <c r="E425" s="90" t="n">
        <v>2500</v>
      </c>
      <c r="F425" s="90" t="n">
        <f aca="false">H425+I425+J425+K425+L425+M425</f>
        <v>50</v>
      </c>
      <c r="G425" s="90" t="n">
        <v>0.72</v>
      </c>
      <c r="K425" s="90" t="n">
        <v>50</v>
      </c>
    </row>
    <row r="426" customFormat="false" ht="17.6" hidden="false" customHeight="false" outlineLevel="0" collapsed="false">
      <c r="A426" s="91" t="s">
        <v>555</v>
      </c>
      <c r="B426" s="90" t="s">
        <v>40</v>
      </c>
      <c r="C426" s="90" t="n">
        <f aca="false">ROUND(E426*G426+F426,0)</f>
        <v>2480</v>
      </c>
      <c r="D426" s="90" t="s">
        <v>238</v>
      </c>
      <c r="E426" s="90" t="n">
        <v>2500</v>
      </c>
      <c r="F426" s="90" t="n">
        <f aca="false">H426+I426+J426+K426+L426+M426</f>
        <v>680</v>
      </c>
      <c r="G426" s="90" t="n">
        <v>0.72</v>
      </c>
      <c r="K426" s="90" t="n">
        <v>50</v>
      </c>
      <c r="M426" s="90" t="n">
        <v>630</v>
      </c>
    </row>
    <row r="427" customFormat="false" ht="17.6" hidden="false" customHeight="false" outlineLevel="0" collapsed="false">
      <c r="A427" s="91" t="s">
        <v>556</v>
      </c>
      <c r="B427" s="90" t="s">
        <v>40</v>
      </c>
      <c r="C427" s="90" t="n">
        <f aca="false">ROUND(E427*G427+F427,0)</f>
        <v>2430</v>
      </c>
      <c r="D427" s="90" t="s">
        <v>238</v>
      </c>
      <c r="E427" s="90" t="n">
        <v>2500</v>
      </c>
      <c r="F427" s="90" t="n">
        <f aca="false">H427+I427+J427+K427+L427+M427</f>
        <v>630</v>
      </c>
      <c r="G427" s="90" t="n">
        <v>0.72</v>
      </c>
      <c r="M427" s="90" t="n">
        <v>630</v>
      </c>
    </row>
    <row r="428" customFormat="false" ht="17.6" hidden="false" customHeight="false" outlineLevel="0" collapsed="false">
      <c r="A428" s="91" t="s">
        <v>557</v>
      </c>
      <c r="B428" s="90" t="s">
        <v>40</v>
      </c>
      <c r="C428" s="90" t="n">
        <f aca="false">ROUND(E428*G428+F428,0)</f>
        <v>2000</v>
      </c>
      <c r="D428" s="90" t="s">
        <v>238</v>
      </c>
      <c r="E428" s="90" t="n">
        <v>2500</v>
      </c>
      <c r="F428" s="90" t="n">
        <f aca="false">H428+I428+J428+K428+L428+M428</f>
        <v>200</v>
      </c>
      <c r="G428" s="90" t="n">
        <v>0.72</v>
      </c>
      <c r="H428" s="90" t="n">
        <v>150</v>
      </c>
      <c r="J428" s="90" t="n">
        <v>50</v>
      </c>
    </row>
    <row r="429" customFormat="false" ht="17.6" hidden="false" customHeight="false" outlineLevel="0" collapsed="false">
      <c r="A429" s="91" t="s">
        <v>558</v>
      </c>
      <c r="B429" s="90" t="s">
        <v>40</v>
      </c>
      <c r="C429" s="90" t="n">
        <f aca="false">ROUND(E429*G429+F429,0)</f>
        <v>1850</v>
      </c>
      <c r="D429" s="90" t="s">
        <v>238</v>
      </c>
      <c r="E429" s="90" t="n">
        <v>2500</v>
      </c>
      <c r="F429" s="90" t="n">
        <f aca="false">H429+I429+J429+K429+L429+M429</f>
        <v>50</v>
      </c>
      <c r="G429" s="90" t="n">
        <v>0.72</v>
      </c>
      <c r="J429" s="90" t="n">
        <v>50</v>
      </c>
    </row>
    <row r="430" customFormat="false" ht="17.6" hidden="false" customHeight="false" outlineLevel="0" collapsed="false">
      <c r="A430" s="91" t="s">
        <v>559</v>
      </c>
      <c r="B430" s="90" t="s">
        <v>40</v>
      </c>
      <c r="C430" s="90" t="n">
        <f aca="false">ROUND(E430*G430+F430,0)</f>
        <v>2480</v>
      </c>
      <c r="D430" s="90" t="s">
        <v>238</v>
      </c>
      <c r="E430" s="90" t="n">
        <v>2500</v>
      </c>
      <c r="F430" s="90" t="n">
        <f aca="false">H430+I430+J430+K430+L430+M430</f>
        <v>680</v>
      </c>
      <c r="G430" s="90" t="n">
        <v>0.72</v>
      </c>
      <c r="J430" s="90" t="n">
        <v>50</v>
      </c>
      <c r="M430" s="90" t="n">
        <v>630</v>
      </c>
    </row>
    <row r="431" customFormat="false" ht="17.6" hidden="false" customHeight="false" outlineLevel="0" collapsed="false">
      <c r="A431" s="91" t="s">
        <v>560</v>
      </c>
      <c r="B431" s="90" t="s">
        <v>40</v>
      </c>
      <c r="C431" s="90" t="n">
        <f aca="false">ROUND(E431*G431+F431,0)</f>
        <v>2130</v>
      </c>
      <c r="D431" s="90" t="s">
        <v>238</v>
      </c>
      <c r="E431" s="90" t="n">
        <v>2500</v>
      </c>
      <c r="F431" s="90" t="n">
        <f aca="false">H431+I431+J431+K431+L431+M431</f>
        <v>330</v>
      </c>
      <c r="G431" s="90" t="n">
        <v>0.72</v>
      </c>
      <c r="H431" s="90" t="n">
        <v>150</v>
      </c>
      <c r="I431" s="90" t="n">
        <v>130</v>
      </c>
      <c r="J431" s="90" t="n">
        <v>50</v>
      </c>
      <c r="K431" s="91"/>
      <c r="L431" s="91"/>
      <c r="M431" s="91"/>
    </row>
    <row r="432" customFormat="false" ht="17.6" hidden="false" customHeight="false" outlineLevel="0" collapsed="false">
      <c r="A432" s="91" t="s">
        <v>561</v>
      </c>
      <c r="B432" s="90" t="s">
        <v>40</v>
      </c>
      <c r="C432" s="90" t="n">
        <f aca="false">ROUND(E432*G432+F432,0)</f>
        <v>1980</v>
      </c>
      <c r="D432" s="90" t="s">
        <v>238</v>
      </c>
      <c r="E432" s="90" t="n">
        <v>2500</v>
      </c>
      <c r="F432" s="90" t="n">
        <f aca="false">H432+I432+J432+K432+L432+M432</f>
        <v>180</v>
      </c>
      <c r="G432" s="90" t="n">
        <v>0.72</v>
      </c>
      <c r="I432" s="90" t="n">
        <v>130</v>
      </c>
      <c r="J432" s="90" t="n">
        <v>50</v>
      </c>
    </row>
    <row r="433" customFormat="false" ht="17.6" hidden="false" customHeight="false" outlineLevel="0" collapsed="false">
      <c r="A433" s="91" t="s">
        <v>562</v>
      </c>
      <c r="B433" s="90" t="s">
        <v>40</v>
      </c>
      <c r="C433" s="90" t="n">
        <f aca="false">ROUND(E433*G433+F433,0)</f>
        <v>2610</v>
      </c>
      <c r="D433" s="90" t="s">
        <v>238</v>
      </c>
      <c r="E433" s="90" t="n">
        <v>2500</v>
      </c>
      <c r="F433" s="90" t="n">
        <f aca="false">H433+I433+J433+K433+L433+M433</f>
        <v>810</v>
      </c>
      <c r="G433" s="90" t="n">
        <v>0.72</v>
      </c>
      <c r="I433" s="90" t="n">
        <v>130</v>
      </c>
      <c r="J433" s="90" t="n">
        <v>50</v>
      </c>
      <c r="M433" s="90" t="n">
        <v>630</v>
      </c>
    </row>
    <row r="434" customFormat="false" ht="17.6" hidden="false" customHeight="false" outlineLevel="0" collapsed="false">
      <c r="A434" s="91" t="s">
        <v>563</v>
      </c>
      <c r="B434" s="90" t="s">
        <v>40</v>
      </c>
      <c r="C434" s="90" t="n">
        <f aca="false">ROUND(E434*G434+F434,0)</f>
        <v>1122</v>
      </c>
      <c r="D434" s="90" t="s">
        <v>238</v>
      </c>
      <c r="E434" s="90" t="n">
        <v>1350</v>
      </c>
      <c r="F434" s="90" t="n">
        <f aca="false">H434+I434+J434+K434+L434+M434</f>
        <v>150</v>
      </c>
      <c r="G434" s="90" t="n">
        <v>0.72</v>
      </c>
      <c r="H434" s="90" t="n">
        <v>150</v>
      </c>
    </row>
    <row r="435" customFormat="false" ht="17.6" hidden="false" customHeight="false" outlineLevel="0" collapsed="false">
      <c r="A435" s="91" t="s">
        <v>564</v>
      </c>
      <c r="B435" s="90" t="s">
        <v>40</v>
      </c>
      <c r="C435" s="90" t="n">
        <f aca="false">ROUND(E435*G435+F435,0)</f>
        <v>972</v>
      </c>
      <c r="D435" s="90" t="s">
        <v>238</v>
      </c>
      <c r="E435" s="90" t="n">
        <v>1350</v>
      </c>
      <c r="F435" s="90" t="n">
        <f aca="false">H435+I435+J435+K435+L435+M435</f>
        <v>0</v>
      </c>
      <c r="G435" s="90" t="n">
        <v>0.72</v>
      </c>
    </row>
    <row r="436" customFormat="false" ht="17.6" hidden="false" customHeight="false" outlineLevel="0" collapsed="false">
      <c r="A436" s="91" t="s">
        <v>565</v>
      </c>
      <c r="B436" s="90" t="s">
        <v>40</v>
      </c>
      <c r="C436" s="90" t="n">
        <f aca="false">ROUND(E436*G436+F436,0)</f>
        <v>1152</v>
      </c>
      <c r="D436" s="90" t="s">
        <v>238</v>
      </c>
      <c r="E436" s="90" t="n">
        <v>1350</v>
      </c>
      <c r="F436" s="90" t="n">
        <f aca="false">H436+I436+J436+K436+L436+M436</f>
        <v>180</v>
      </c>
      <c r="G436" s="90" t="n">
        <v>0.72</v>
      </c>
      <c r="H436" s="90" t="n">
        <v>150</v>
      </c>
      <c r="L436" s="90" t="n">
        <v>30</v>
      </c>
    </row>
    <row r="437" customFormat="false" ht="17.6" hidden="false" customHeight="false" outlineLevel="0" collapsed="false">
      <c r="A437" s="91" t="s">
        <v>566</v>
      </c>
      <c r="B437" s="90" t="s">
        <v>40</v>
      </c>
      <c r="C437" s="90" t="n">
        <f aca="false">ROUND(E437*G437+F437,0)</f>
        <v>1002</v>
      </c>
      <c r="D437" s="90" t="s">
        <v>238</v>
      </c>
      <c r="E437" s="90" t="n">
        <v>1350</v>
      </c>
      <c r="F437" s="90" t="n">
        <f aca="false">H437+I437+J437+K437+L437+M437</f>
        <v>30</v>
      </c>
      <c r="G437" s="90" t="n">
        <v>0.72</v>
      </c>
      <c r="L437" s="90" t="n">
        <v>30</v>
      </c>
    </row>
    <row r="438" customFormat="false" ht="17.6" hidden="false" customHeight="false" outlineLevel="0" collapsed="false">
      <c r="A438" s="91" t="s">
        <v>567</v>
      </c>
      <c r="B438" s="90" t="s">
        <v>40</v>
      </c>
      <c r="C438" s="90" t="n">
        <f aca="false">ROUND(E438*G438+F438,0)</f>
        <v>1632</v>
      </c>
      <c r="D438" s="90" t="s">
        <v>238</v>
      </c>
      <c r="E438" s="90" t="n">
        <v>1350</v>
      </c>
      <c r="F438" s="90" t="n">
        <f aca="false">H438+I438+J438+K438+L438+M438</f>
        <v>660</v>
      </c>
      <c r="G438" s="90" t="n">
        <v>0.72</v>
      </c>
      <c r="L438" s="90" t="n">
        <v>30</v>
      </c>
      <c r="M438" s="90" t="n">
        <v>630</v>
      </c>
    </row>
    <row r="439" customFormat="false" ht="17.6" hidden="false" customHeight="false" outlineLevel="0" collapsed="false">
      <c r="A439" s="91" t="s">
        <v>568</v>
      </c>
      <c r="B439" s="90" t="s">
        <v>40</v>
      </c>
      <c r="C439" s="90" t="n">
        <f aca="false">ROUND(E439*G439+F439,0)</f>
        <v>1172</v>
      </c>
      <c r="D439" s="90" t="s">
        <v>238</v>
      </c>
      <c r="E439" s="90" t="n">
        <v>1350</v>
      </c>
      <c r="F439" s="90" t="n">
        <f aca="false">H439+I439+J439+K439+L439+M439</f>
        <v>200</v>
      </c>
      <c r="G439" s="90" t="n">
        <v>0.72</v>
      </c>
      <c r="H439" s="90" t="n">
        <v>150</v>
      </c>
      <c r="K439" s="90" t="n">
        <v>50</v>
      </c>
    </row>
    <row r="440" customFormat="false" ht="17.6" hidden="false" customHeight="false" outlineLevel="0" collapsed="false">
      <c r="A440" s="91" t="s">
        <v>569</v>
      </c>
      <c r="B440" s="90" t="s">
        <v>40</v>
      </c>
      <c r="C440" s="90" t="n">
        <f aca="false">ROUND(E440*G440+F440,0)</f>
        <v>1022</v>
      </c>
      <c r="D440" s="90" t="s">
        <v>238</v>
      </c>
      <c r="E440" s="90" t="n">
        <v>1350</v>
      </c>
      <c r="F440" s="90" t="n">
        <f aca="false">H440+I440+J440+K440+L440+M440</f>
        <v>50</v>
      </c>
      <c r="G440" s="90" t="n">
        <v>0.72</v>
      </c>
      <c r="K440" s="90" t="n">
        <v>50</v>
      </c>
    </row>
    <row r="441" customFormat="false" ht="17.6" hidden="false" customHeight="false" outlineLevel="0" collapsed="false">
      <c r="A441" s="91" t="s">
        <v>570</v>
      </c>
      <c r="B441" s="90" t="s">
        <v>40</v>
      </c>
      <c r="C441" s="90" t="n">
        <f aca="false">ROUND(E441*G441+F441,0)</f>
        <v>1652</v>
      </c>
      <c r="D441" s="90" t="s">
        <v>238</v>
      </c>
      <c r="E441" s="90" t="n">
        <v>1350</v>
      </c>
      <c r="F441" s="90" t="n">
        <f aca="false">H441+I441+J441+K441+L441+M441</f>
        <v>680</v>
      </c>
      <c r="G441" s="90" t="n">
        <v>0.72</v>
      </c>
      <c r="K441" s="90" t="n">
        <v>50</v>
      </c>
      <c r="M441" s="90" t="n">
        <v>630</v>
      </c>
    </row>
    <row r="442" customFormat="false" ht="17.6" hidden="false" customHeight="false" outlineLevel="0" collapsed="false">
      <c r="A442" s="91" t="s">
        <v>571</v>
      </c>
      <c r="B442" s="90" t="s">
        <v>40</v>
      </c>
      <c r="C442" s="90" t="n">
        <f aca="false">ROUND(E442*G442+F442,0)</f>
        <v>1602</v>
      </c>
      <c r="D442" s="90" t="s">
        <v>238</v>
      </c>
      <c r="E442" s="90" t="n">
        <v>1350</v>
      </c>
      <c r="F442" s="90" t="n">
        <f aca="false">H442+I442+J442+K442+L442+M442</f>
        <v>630</v>
      </c>
      <c r="G442" s="90" t="n">
        <v>0.72</v>
      </c>
      <c r="M442" s="90" t="n">
        <v>630</v>
      </c>
    </row>
    <row r="443" customFormat="false" ht="17.6" hidden="false" customHeight="false" outlineLevel="0" collapsed="false">
      <c r="A443" s="91" t="s">
        <v>572</v>
      </c>
      <c r="B443" s="90" t="s">
        <v>40</v>
      </c>
      <c r="C443" s="90" t="n">
        <f aca="false">ROUND(E443*G443+F443,0)</f>
        <v>1172</v>
      </c>
      <c r="D443" s="90" t="s">
        <v>238</v>
      </c>
      <c r="E443" s="90" t="n">
        <v>1350</v>
      </c>
      <c r="F443" s="90" t="n">
        <f aca="false">H443+I443+J443+K443+L443+M443</f>
        <v>200</v>
      </c>
      <c r="G443" s="90" t="n">
        <v>0.72</v>
      </c>
      <c r="H443" s="90" t="n">
        <v>150</v>
      </c>
      <c r="J443" s="90" t="n">
        <v>50</v>
      </c>
    </row>
    <row r="444" customFormat="false" ht="17.6" hidden="false" customHeight="false" outlineLevel="0" collapsed="false">
      <c r="A444" s="91" t="s">
        <v>573</v>
      </c>
      <c r="B444" s="90" t="s">
        <v>40</v>
      </c>
      <c r="C444" s="90" t="n">
        <f aca="false">ROUND(E444*G444+F444,0)</f>
        <v>1022</v>
      </c>
      <c r="D444" s="90" t="s">
        <v>238</v>
      </c>
      <c r="E444" s="90" t="n">
        <v>1350</v>
      </c>
      <c r="F444" s="90" t="n">
        <f aca="false">H444+I444+J444+K444+L444+M444</f>
        <v>50</v>
      </c>
      <c r="G444" s="90" t="n">
        <v>0.72</v>
      </c>
      <c r="J444" s="90" t="n">
        <v>50</v>
      </c>
    </row>
    <row r="445" customFormat="false" ht="17.6" hidden="false" customHeight="false" outlineLevel="0" collapsed="false">
      <c r="A445" s="91" t="s">
        <v>574</v>
      </c>
      <c r="B445" s="90" t="s">
        <v>40</v>
      </c>
      <c r="C445" s="90" t="n">
        <f aca="false">ROUND(E445*G445+F445,0)</f>
        <v>1652</v>
      </c>
      <c r="D445" s="90" t="s">
        <v>238</v>
      </c>
      <c r="E445" s="90" t="n">
        <v>1350</v>
      </c>
      <c r="F445" s="90" t="n">
        <f aca="false">H445+I445+J445+K445+L445+M445</f>
        <v>680</v>
      </c>
      <c r="G445" s="90" t="n">
        <v>0.72</v>
      </c>
      <c r="J445" s="90" t="n">
        <v>50</v>
      </c>
      <c r="M445" s="90" t="n">
        <v>630</v>
      </c>
    </row>
    <row r="446" customFormat="false" ht="17.6" hidden="false" customHeight="false" outlineLevel="0" collapsed="false">
      <c r="A446" s="91" t="s">
        <v>575</v>
      </c>
      <c r="B446" s="90" t="s">
        <v>40</v>
      </c>
      <c r="C446" s="90" t="n">
        <f aca="false">ROUND(E446*G446+F446,0)</f>
        <v>1302</v>
      </c>
      <c r="D446" s="90" t="s">
        <v>238</v>
      </c>
      <c r="E446" s="90" t="n">
        <v>1350</v>
      </c>
      <c r="F446" s="90" t="n">
        <f aca="false">H446+I446+J446+K446+L446+M446</f>
        <v>330</v>
      </c>
      <c r="G446" s="90" t="n">
        <v>0.72</v>
      </c>
      <c r="H446" s="90" t="n">
        <v>150</v>
      </c>
      <c r="I446" s="90" t="n">
        <v>130</v>
      </c>
      <c r="J446" s="90" t="n">
        <v>50</v>
      </c>
      <c r="K446" s="91"/>
      <c r="L446" s="91"/>
      <c r="M446" s="91"/>
    </row>
    <row r="447" customFormat="false" ht="17.6" hidden="false" customHeight="false" outlineLevel="0" collapsed="false">
      <c r="A447" s="91" t="s">
        <v>576</v>
      </c>
      <c r="B447" s="90" t="s">
        <v>40</v>
      </c>
      <c r="C447" s="90" t="n">
        <f aca="false">ROUND(E447*G447+F447,0)</f>
        <v>1152</v>
      </c>
      <c r="D447" s="90" t="s">
        <v>238</v>
      </c>
      <c r="E447" s="90" t="n">
        <v>1350</v>
      </c>
      <c r="F447" s="90" t="n">
        <f aca="false">H447+I447+J447+K447+L447+M447</f>
        <v>180</v>
      </c>
      <c r="G447" s="90" t="n">
        <v>0.72</v>
      </c>
      <c r="I447" s="90" t="n">
        <v>130</v>
      </c>
      <c r="J447" s="90" t="n">
        <v>50</v>
      </c>
    </row>
    <row r="448" customFormat="false" ht="17.6" hidden="false" customHeight="false" outlineLevel="0" collapsed="false">
      <c r="A448" s="91" t="s">
        <v>577</v>
      </c>
      <c r="B448" s="90" t="s">
        <v>40</v>
      </c>
      <c r="C448" s="90" t="n">
        <f aca="false">ROUND(E448*G448+F448,0)</f>
        <v>1782</v>
      </c>
      <c r="D448" s="90" t="s">
        <v>238</v>
      </c>
      <c r="E448" s="90" t="n">
        <v>1350</v>
      </c>
      <c r="F448" s="90" t="n">
        <f aca="false">H448+I448+J448+K448+L448+M448</f>
        <v>810</v>
      </c>
      <c r="G448" s="90" t="n">
        <v>0.72</v>
      </c>
      <c r="I448" s="90" t="n">
        <v>130</v>
      </c>
      <c r="J448" s="90" t="n">
        <v>50</v>
      </c>
      <c r="M448" s="90" t="n">
        <v>630</v>
      </c>
    </row>
    <row r="449" customFormat="false" ht="17.6" hidden="false" customHeight="false" outlineLevel="0" collapsed="false">
      <c r="A449" s="91" t="s">
        <v>578</v>
      </c>
      <c r="B449" s="90" t="s">
        <v>40</v>
      </c>
      <c r="C449" s="90" t="n">
        <f aca="false">ROUND(E449*G449+F449,0)</f>
        <v>1302</v>
      </c>
      <c r="D449" s="90" t="s">
        <v>238</v>
      </c>
      <c r="E449" s="90" t="n">
        <v>1600</v>
      </c>
      <c r="F449" s="90" t="n">
        <f aca="false">H449+I449+J449+K449+L449+M449</f>
        <v>150</v>
      </c>
      <c r="G449" s="90" t="n">
        <v>0.72</v>
      </c>
      <c r="H449" s="90" t="n">
        <v>150</v>
      </c>
    </row>
    <row r="450" customFormat="false" ht="17.6" hidden="false" customHeight="false" outlineLevel="0" collapsed="false">
      <c r="A450" s="91" t="s">
        <v>579</v>
      </c>
      <c r="B450" s="90" t="s">
        <v>40</v>
      </c>
      <c r="C450" s="90" t="n">
        <f aca="false">ROUND(E450*G450+F450,0)</f>
        <v>1152</v>
      </c>
      <c r="D450" s="90" t="s">
        <v>238</v>
      </c>
      <c r="E450" s="90" t="n">
        <v>1600</v>
      </c>
      <c r="F450" s="90" t="n">
        <f aca="false">H450+I450+J450+K450+L450+M450</f>
        <v>0</v>
      </c>
      <c r="G450" s="90" t="n">
        <v>0.72</v>
      </c>
    </row>
    <row r="451" customFormat="false" ht="17.6" hidden="false" customHeight="false" outlineLevel="0" collapsed="false">
      <c r="A451" s="91" t="s">
        <v>580</v>
      </c>
      <c r="B451" s="90" t="s">
        <v>40</v>
      </c>
      <c r="C451" s="90" t="n">
        <f aca="false">ROUND(E451*G451+F451,0)</f>
        <v>1332</v>
      </c>
      <c r="D451" s="90" t="s">
        <v>238</v>
      </c>
      <c r="E451" s="90" t="n">
        <v>1600</v>
      </c>
      <c r="F451" s="90" t="n">
        <f aca="false">H451+I451+J451+K451+L451+M451</f>
        <v>180</v>
      </c>
      <c r="G451" s="90" t="n">
        <v>0.72</v>
      </c>
      <c r="H451" s="90" t="n">
        <v>150</v>
      </c>
      <c r="L451" s="90" t="n">
        <v>30</v>
      </c>
    </row>
    <row r="452" customFormat="false" ht="17.6" hidden="false" customHeight="false" outlineLevel="0" collapsed="false">
      <c r="A452" s="91" t="s">
        <v>581</v>
      </c>
      <c r="B452" s="90" t="s">
        <v>40</v>
      </c>
      <c r="C452" s="90" t="n">
        <f aca="false">ROUND(E452*G452+F452,0)</f>
        <v>1182</v>
      </c>
      <c r="D452" s="90" t="s">
        <v>238</v>
      </c>
      <c r="E452" s="90" t="n">
        <v>1600</v>
      </c>
      <c r="F452" s="90" t="n">
        <f aca="false">H452+I452+J452+K452+L452+M452</f>
        <v>30</v>
      </c>
      <c r="G452" s="90" t="n">
        <v>0.72</v>
      </c>
      <c r="L452" s="90" t="n">
        <v>30</v>
      </c>
    </row>
    <row r="453" customFormat="false" ht="17.6" hidden="false" customHeight="false" outlineLevel="0" collapsed="false">
      <c r="A453" s="91" t="s">
        <v>582</v>
      </c>
      <c r="B453" s="90" t="s">
        <v>40</v>
      </c>
      <c r="C453" s="90" t="n">
        <f aca="false">ROUND(E453*G453+F453,0)</f>
        <v>1812</v>
      </c>
      <c r="D453" s="90" t="s">
        <v>238</v>
      </c>
      <c r="E453" s="90" t="n">
        <v>1600</v>
      </c>
      <c r="F453" s="90" t="n">
        <f aca="false">H453+I453+J453+K453+L453+M453</f>
        <v>660</v>
      </c>
      <c r="G453" s="90" t="n">
        <v>0.72</v>
      </c>
      <c r="L453" s="90" t="n">
        <v>30</v>
      </c>
      <c r="M453" s="90" t="n">
        <v>630</v>
      </c>
    </row>
    <row r="454" customFormat="false" ht="17.6" hidden="false" customHeight="false" outlineLevel="0" collapsed="false">
      <c r="A454" s="91" t="s">
        <v>583</v>
      </c>
      <c r="B454" s="90" t="s">
        <v>40</v>
      </c>
      <c r="C454" s="90" t="n">
        <f aca="false">ROUND(E454*G454+F454,0)</f>
        <v>1352</v>
      </c>
      <c r="D454" s="90" t="s">
        <v>238</v>
      </c>
      <c r="E454" s="90" t="n">
        <v>1600</v>
      </c>
      <c r="F454" s="90" t="n">
        <f aca="false">H454+I454+J454+K454+L454+M454</f>
        <v>200</v>
      </c>
      <c r="G454" s="90" t="n">
        <v>0.72</v>
      </c>
      <c r="H454" s="90" t="n">
        <v>150</v>
      </c>
      <c r="K454" s="90" t="n">
        <v>50</v>
      </c>
    </row>
    <row r="455" customFormat="false" ht="17.6" hidden="false" customHeight="false" outlineLevel="0" collapsed="false">
      <c r="A455" s="91" t="s">
        <v>584</v>
      </c>
      <c r="B455" s="90" t="s">
        <v>40</v>
      </c>
      <c r="C455" s="90" t="n">
        <f aca="false">ROUND(E455*G455+F455,0)</f>
        <v>1202</v>
      </c>
      <c r="D455" s="90" t="s">
        <v>238</v>
      </c>
      <c r="E455" s="90" t="n">
        <v>1600</v>
      </c>
      <c r="F455" s="90" t="n">
        <f aca="false">H455+I455+J455+K455+L455+M455</f>
        <v>50</v>
      </c>
      <c r="G455" s="90" t="n">
        <v>0.72</v>
      </c>
      <c r="K455" s="90" t="n">
        <v>50</v>
      </c>
    </row>
    <row r="456" customFormat="false" ht="17.6" hidden="false" customHeight="false" outlineLevel="0" collapsed="false">
      <c r="A456" s="91" t="s">
        <v>585</v>
      </c>
      <c r="B456" s="90" t="s">
        <v>40</v>
      </c>
      <c r="C456" s="90" t="n">
        <f aca="false">ROUND(E456*G456+F456,0)</f>
        <v>1832</v>
      </c>
      <c r="D456" s="90" t="s">
        <v>238</v>
      </c>
      <c r="E456" s="90" t="n">
        <v>1600</v>
      </c>
      <c r="F456" s="90" t="n">
        <f aca="false">H456+I456+J456+K456+L456+M456</f>
        <v>680</v>
      </c>
      <c r="G456" s="90" t="n">
        <v>0.72</v>
      </c>
      <c r="K456" s="90" t="n">
        <v>50</v>
      </c>
      <c r="M456" s="90" t="n">
        <v>630</v>
      </c>
    </row>
    <row r="457" customFormat="false" ht="17.6" hidden="false" customHeight="false" outlineLevel="0" collapsed="false">
      <c r="A457" s="91" t="s">
        <v>586</v>
      </c>
      <c r="B457" s="90" t="s">
        <v>40</v>
      </c>
      <c r="C457" s="90" t="n">
        <f aca="false">ROUND(E457*G457+F457,0)</f>
        <v>1782</v>
      </c>
      <c r="D457" s="90" t="s">
        <v>238</v>
      </c>
      <c r="E457" s="90" t="n">
        <v>1600</v>
      </c>
      <c r="F457" s="90" t="n">
        <f aca="false">H457+I457+J457+K457+L457+M457</f>
        <v>630</v>
      </c>
      <c r="G457" s="90" t="n">
        <v>0.72</v>
      </c>
      <c r="M457" s="90" t="n">
        <v>630</v>
      </c>
      <c r="O457" s="14" t="n">
        <f aca="false">105500/14</f>
        <v>7535.71428571429</v>
      </c>
    </row>
    <row r="458" customFormat="false" ht="17.6" hidden="false" customHeight="false" outlineLevel="0" collapsed="false">
      <c r="A458" s="91" t="s">
        <v>587</v>
      </c>
      <c r="B458" s="90" t="s">
        <v>40</v>
      </c>
      <c r="C458" s="90" t="n">
        <f aca="false">ROUND(E458*G458+F458,0)</f>
        <v>1352</v>
      </c>
      <c r="D458" s="90" t="s">
        <v>238</v>
      </c>
      <c r="E458" s="90" t="n">
        <v>1600</v>
      </c>
      <c r="F458" s="90" t="n">
        <f aca="false">H458+I458+J458+K458+L458+M458</f>
        <v>200</v>
      </c>
      <c r="G458" s="90" t="n">
        <v>0.72</v>
      </c>
      <c r="H458" s="90" t="n">
        <v>150</v>
      </c>
      <c r="J458" s="90" t="n">
        <v>50</v>
      </c>
    </row>
    <row r="459" customFormat="false" ht="17.6" hidden="false" customHeight="false" outlineLevel="0" collapsed="false">
      <c r="A459" s="91" t="s">
        <v>588</v>
      </c>
      <c r="B459" s="90" t="s">
        <v>40</v>
      </c>
      <c r="C459" s="90" t="n">
        <f aca="false">ROUND(E459*G459+F459,0)</f>
        <v>1202</v>
      </c>
      <c r="D459" s="90" t="s">
        <v>238</v>
      </c>
      <c r="E459" s="90" t="n">
        <v>1600</v>
      </c>
      <c r="F459" s="90" t="n">
        <f aca="false">H459+I459+J459+K459+L459+M459</f>
        <v>50</v>
      </c>
      <c r="G459" s="90" t="n">
        <v>0.72</v>
      </c>
      <c r="J459" s="90" t="n">
        <v>50</v>
      </c>
    </row>
    <row r="460" customFormat="false" ht="17.6" hidden="false" customHeight="false" outlineLevel="0" collapsed="false">
      <c r="A460" s="91" t="s">
        <v>589</v>
      </c>
      <c r="B460" s="90" t="s">
        <v>40</v>
      </c>
      <c r="C460" s="90" t="n">
        <f aca="false">ROUND(E460*G460+F460,0)</f>
        <v>1832</v>
      </c>
      <c r="D460" s="90" t="s">
        <v>238</v>
      </c>
      <c r="E460" s="90" t="n">
        <v>1600</v>
      </c>
      <c r="F460" s="90" t="n">
        <f aca="false">H460+I460+J460+K460+L460+M460</f>
        <v>680</v>
      </c>
      <c r="G460" s="90" t="n">
        <v>0.72</v>
      </c>
      <c r="J460" s="90" t="n">
        <v>50</v>
      </c>
      <c r="M460" s="90" t="n">
        <v>630</v>
      </c>
    </row>
    <row r="461" customFormat="false" ht="17.6" hidden="false" customHeight="false" outlineLevel="0" collapsed="false">
      <c r="A461" s="91" t="s">
        <v>590</v>
      </c>
      <c r="B461" s="90" t="s">
        <v>40</v>
      </c>
      <c r="C461" s="90" t="n">
        <f aca="false">ROUND(E461*G461+F461,0)</f>
        <v>1482</v>
      </c>
      <c r="D461" s="90" t="s">
        <v>238</v>
      </c>
      <c r="E461" s="90" t="n">
        <v>1600</v>
      </c>
      <c r="F461" s="90" t="n">
        <f aca="false">H461+I461+J461+K461+L461+M461</f>
        <v>330</v>
      </c>
      <c r="G461" s="90" t="n">
        <v>0.72</v>
      </c>
      <c r="H461" s="90" t="n">
        <v>150</v>
      </c>
      <c r="I461" s="90" t="n">
        <v>130</v>
      </c>
      <c r="J461" s="90" t="n">
        <v>50</v>
      </c>
      <c r="K461" s="91"/>
      <c r="L461" s="91"/>
      <c r="M461" s="91"/>
    </row>
    <row r="462" customFormat="false" ht="17.6" hidden="false" customHeight="false" outlineLevel="0" collapsed="false">
      <c r="A462" s="91" t="s">
        <v>591</v>
      </c>
      <c r="B462" s="90" t="s">
        <v>40</v>
      </c>
      <c r="C462" s="90" t="n">
        <f aca="false">ROUND(E462*G462+F462,0)</f>
        <v>1332</v>
      </c>
      <c r="D462" s="90" t="s">
        <v>238</v>
      </c>
      <c r="E462" s="90" t="n">
        <v>1600</v>
      </c>
      <c r="F462" s="90" t="n">
        <f aca="false">H462+I462+J462+K462+L462+M462</f>
        <v>180</v>
      </c>
      <c r="G462" s="90" t="n">
        <v>0.72</v>
      </c>
      <c r="I462" s="90" t="n">
        <v>130</v>
      </c>
      <c r="J462" s="90" t="n">
        <v>50</v>
      </c>
    </row>
    <row r="463" customFormat="false" ht="17.6" hidden="false" customHeight="false" outlineLevel="0" collapsed="false">
      <c r="A463" s="91" t="s">
        <v>592</v>
      </c>
      <c r="B463" s="90" t="s">
        <v>40</v>
      </c>
      <c r="C463" s="90" t="n">
        <f aca="false">ROUND(E463*G463+F463,0)</f>
        <v>1962</v>
      </c>
      <c r="D463" s="90" t="s">
        <v>238</v>
      </c>
      <c r="E463" s="90" t="n">
        <v>1600</v>
      </c>
      <c r="F463" s="90" t="n">
        <f aca="false">H463+I463+J463+K463+L463+M463</f>
        <v>810</v>
      </c>
      <c r="G463" s="90" t="n">
        <v>0.72</v>
      </c>
      <c r="I463" s="90" t="n">
        <v>130</v>
      </c>
      <c r="J463" s="90" t="n">
        <v>50</v>
      </c>
      <c r="M463" s="90" t="n">
        <v>630</v>
      </c>
    </row>
    <row r="464" customFormat="false" ht="17.6" hidden="false" customHeight="false" outlineLevel="0" collapsed="false">
      <c r="A464" s="91" t="s">
        <v>593</v>
      </c>
      <c r="B464" s="90" t="s">
        <v>40</v>
      </c>
      <c r="C464" s="90" t="n">
        <f aca="false">ROUND(E464*G464+F464,0)</f>
        <v>180</v>
      </c>
      <c r="D464" s="90" t="s">
        <v>238</v>
      </c>
      <c r="E464" s="90" t="n">
        <v>250</v>
      </c>
      <c r="F464" s="90" t="n">
        <f aca="false">H464+I464+J464+K464+L464+M464</f>
        <v>0</v>
      </c>
      <c r="G464" s="90" t="n">
        <v>0.72</v>
      </c>
    </row>
    <row r="465" customFormat="false" ht="17.6" hidden="false" customHeight="false" outlineLevel="0" collapsed="false">
      <c r="A465" s="91" t="s">
        <v>594</v>
      </c>
      <c r="B465" s="90" t="s">
        <v>40</v>
      </c>
      <c r="C465" s="90" t="n">
        <f aca="false">ROUND(E465*G465+F465,0)</f>
        <v>180</v>
      </c>
      <c r="D465" s="90" t="s">
        <v>238</v>
      </c>
      <c r="E465" s="90" t="n">
        <v>250</v>
      </c>
      <c r="F465" s="90" t="n">
        <f aca="false">H465+I465+J465+K465+L465+M465</f>
        <v>0</v>
      </c>
      <c r="G465" s="90" t="n">
        <v>0.72</v>
      </c>
    </row>
    <row r="466" customFormat="false" ht="17.6" hidden="false" customHeight="false" outlineLevel="0" collapsed="false">
      <c r="A466" s="91" t="s">
        <v>595</v>
      </c>
      <c r="B466" s="90" t="s">
        <v>40</v>
      </c>
      <c r="C466" s="90" t="n">
        <f aca="false">ROUND(E466*G466+F466,0)</f>
        <v>210</v>
      </c>
      <c r="D466" s="90" t="s">
        <v>238</v>
      </c>
      <c r="E466" s="90" t="n">
        <v>250</v>
      </c>
      <c r="F466" s="90" t="n">
        <f aca="false">H466+I466+J466+K466+L466+M466</f>
        <v>30</v>
      </c>
      <c r="G466" s="90" t="n">
        <v>0.72</v>
      </c>
      <c r="L466" s="90" t="n">
        <v>30</v>
      </c>
    </row>
    <row r="467" customFormat="false" ht="17.6" hidden="false" customHeight="false" outlineLevel="0" collapsed="false">
      <c r="A467" s="91" t="s">
        <v>596</v>
      </c>
      <c r="B467" s="90" t="s">
        <v>40</v>
      </c>
      <c r="C467" s="90" t="n">
        <f aca="false">ROUND(E467*G467+F467,0)</f>
        <v>210</v>
      </c>
      <c r="D467" s="90" t="s">
        <v>238</v>
      </c>
      <c r="E467" s="90" t="n">
        <v>250</v>
      </c>
      <c r="F467" s="90" t="n">
        <f aca="false">H467+I467+J467+K467+L467+M467</f>
        <v>30</v>
      </c>
      <c r="G467" s="90" t="n">
        <v>0.72</v>
      </c>
      <c r="L467" s="90" t="n">
        <v>30</v>
      </c>
    </row>
    <row r="468" customFormat="false" ht="17.6" hidden="false" customHeight="false" outlineLevel="0" collapsed="false">
      <c r="A468" s="91" t="s">
        <v>597</v>
      </c>
      <c r="B468" s="90" t="s">
        <v>40</v>
      </c>
      <c r="C468" s="90" t="n">
        <f aca="false">ROUND(E468*G468+F468,0)</f>
        <v>310</v>
      </c>
      <c r="D468" s="90" t="s">
        <v>238</v>
      </c>
      <c r="E468" s="90" t="n">
        <v>250</v>
      </c>
      <c r="F468" s="90" t="n">
        <f aca="false">H468+I468+J468+K468+L468+M468</f>
        <v>130</v>
      </c>
      <c r="G468" s="90" t="n">
        <v>0.72</v>
      </c>
      <c r="L468" s="90" t="n">
        <v>30</v>
      </c>
      <c r="M468" s="90" t="n">
        <v>100</v>
      </c>
    </row>
    <row r="469" customFormat="false" ht="17.6" hidden="false" customHeight="false" outlineLevel="0" collapsed="false">
      <c r="A469" s="91" t="s">
        <v>598</v>
      </c>
      <c r="B469" s="90" t="s">
        <v>40</v>
      </c>
      <c r="C469" s="90" t="n">
        <f aca="false">ROUND(E469*G469+F469,0)</f>
        <v>210</v>
      </c>
      <c r="D469" s="90" t="s">
        <v>238</v>
      </c>
      <c r="E469" s="90" t="n">
        <v>250</v>
      </c>
      <c r="F469" s="90" t="n">
        <f aca="false">H469+I469+J469+K469+L469+M469</f>
        <v>30</v>
      </c>
      <c r="G469" s="90" t="n">
        <v>0.72</v>
      </c>
      <c r="K469" s="90" t="n">
        <v>30</v>
      </c>
    </row>
    <row r="470" customFormat="false" ht="17.6" hidden="false" customHeight="false" outlineLevel="0" collapsed="false">
      <c r="A470" s="91" t="s">
        <v>599</v>
      </c>
      <c r="B470" s="90" t="s">
        <v>40</v>
      </c>
      <c r="C470" s="90" t="n">
        <f aca="false">ROUND(E470*G470+F470,0)</f>
        <v>210</v>
      </c>
      <c r="D470" s="90" t="s">
        <v>238</v>
      </c>
      <c r="E470" s="90" t="n">
        <v>250</v>
      </c>
      <c r="F470" s="90" t="n">
        <f aca="false">H470+I470+J470+K470+L470+M470</f>
        <v>30</v>
      </c>
      <c r="G470" s="90" t="n">
        <v>0.72</v>
      </c>
      <c r="K470" s="90" t="n">
        <v>30</v>
      </c>
    </row>
    <row r="471" customFormat="false" ht="17.6" hidden="false" customHeight="false" outlineLevel="0" collapsed="false">
      <c r="A471" s="91" t="s">
        <v>600</v>
      </c>
      <c r="B471" s="90" t="s">
        <v>40</v>
      </c>
      <c r="C471" s="90" t="n">
        <f aca="false">ROUND(E471*G471+F471,0)</f>
        <v>310</v>
      </c>
      <c r="D471" s="90" t="s">
        <v>238</v>
      </c>
      <c r="E471" s="90" t="n">
        <v>250</v>
      </c>
      <c r="F471" s="90" t="n">
        <f aca="false">H471+I471+J471+K471+L471+M471</f>
        <v>130</v>
      </c>
      <c r="G471" s="90" t="n">
        <v>0.72</v>
      </c>
      <c r="K471" s="90" t="n">
        <v>30</v>
      </c>
      <c r="M471" s="90" t="n">
        <v>100</v>
      </c>
    </row>
    <row r="472" customFormat="false" ht="17.6" hidden="false" customHeight="false" outlineLevel="0" collapsed="false">
      <c r="A472" s="91" t="s">
        <v>601</v>
      </c>
      <c r="B472" s="90" t="s">
        <v>40</v>
      </c>
      <c r="C472" s="90" t="n">
        <f aca="false">ROUND(E472*G472+F472,0)</f>
        <v>280</v>
      </c>
      <c r="D472" s="90" t="s">
        <v>238</v>
      </c>
      <c r="E472" s="90" t="n">
        <v>250</v>
      </c>
      <c r="F472" s="90" t="n">
        <f aca="false">H472+I472+J472+K472+L472+M472</f>
        <v>100</v>
      </c>
      <c r="G472" s="90" t="n">
        <v>0.72</v>
      </c>
      <c r="M472" s="90" t="n">
        <v>100</v>
      </c>
    </row>
    <row r="473" customFormat="false" ht="17.6" hidden="false" customHeight="false" outlineLevel="0" collapsed="false">
      <c r="A473" s="91" t="s">
        <v>602</v>
      </c>
      <c r="B473" s="90" t="s">
        <v>40</v>
      </c>
      <c r="C473" s="90" t="n">
        <f aca="false">ROUND(E473*G473+F473,0)</f>
        <v>212</v>
      </c>
      <c r="D473" s="90" t="s">
        <v>238</v>
      </c>
      <c r="E473" s="90" t="n">
        <v>250</v>
      </c>
      <c r="F473" s="90" t="n">
        <f aca="false">H473+I473+J473+K473+L473+M473</f>
        <v>32</v>
      </c>
      <c r="G473" s="90" t="n">
        <v>0.72</v>
      </c>
      <c r="J473" s="90" t="n">
        <v>32</v>
      </c>
    </row>
    <row r="474" customFormat="false" ht="17.6" hidden="false" customHeight="false" outlineLevel="0" collapsed="false">
      <c r="A474" s="91" t="s">
        <v>603</v>
      </c>
      <c r="B474" s="90" t="s">
        <v>40</v>
      </c>
      <c r="C474" s="90" t="n">
        <f aca="false">ROUND(E474*G474+F474,0)</f>
        <v>212</v>
      </c>
      <c r="D474" s="90" t="s">
        <v>238</v>
      </c>
      <c r="E474" s="90" t="n">
        <v>250</v>
      </c>
      <c r="F474" s="90" t="n">
        <f aca="false">H474+I474+J474+K474+L474+M474</f>
        <v>32</v>
      </c>
      <c r="G474" s="90" t="n">
        <v>0.72</v>
      </c>
      <c r="J474" s="90" t="n">
        <v>32</v>
      </c>
    </row>
    <row r="475" customFormat="false" ht="17.6" hidden="false" customHeight="false" outlineLevel="0" collapsed="false">
      <c r="A475" s="91" t="s">
        <v>604</v>
      </c>
      <c r="B475" s="90" t="s">
        <v>40</v>
      </c>
      <c r="C475" s="90" t="n">
        <f aca="false">ROUND(E475*G475+F475,0)</f>
        <v>312</v>
      </c>
      <c r="D475" s="90" t="s">
        <v>238</v>
      </c>
      <c r="E475" s="90" t="n">
        <v>250</v>
      </c>
      <c r="F475" s="90" t="n">
        <f aca="false">H475+I475+J475+K475+L475+M475</f>
        <v>132</v>
      </c>
      <c r="G475" s="90" t="n">
        <v>0.72</v>
      </c>
      <c r="J475" s="90" t="n">
        <v>32</v>
      </c>
      <c r="M475" s="90" t="n">
        <v>100</v>
      </c>
    </row>
    <row r="476" customFormat="false" ht="17.6" hidden="false" customHeight="false" outlineLevel="0" collapsed="false">
      <c r="A476" s="91" t="s">
        <v>605</v>
      </c>
      <c r="B476" s="90" t="s">
        <v>40</v>
      </c>
      <c r="C476" s="90" t="n">
        <f aca="false">ROUND(E476*G476+F476,0)</f>
        <v>282</v>
      </c>
      <c r="D476" s="90" t="s">
        <v>238</v>
      </c>
      <c r="E476" s="90" t="n">
        <v>250</v>
      </c>
      <c r="F476" s="90" t="n">
        <f aca="false">H476+I476+J476+K476+L476+M476</f>
        <v>102</v>
      </c>
      <c r="G476" s="90" t="n">
        <v>0.72</v>
      </c>
      <c r="I476" s="90" t="n">
        <v>70</v>
      </c>
      <c r="J476" s="90" t="n">
        <v>32</v>
      </c>
      <c r="K476" s="91"/>
      <c r="L476" s="91"/>
      <c r="M476" s="91"/>
    </row>
    <row r="477" customFormat="false" ht="17.6" hidden="false" customHeight="false" outlineLevel="0" collapsed="false">
      <c r="A477" s="91" t="s">
        <v>606</v>
      </c>
      <c r="B477" s="90" t="s">
        <v>40</v>
      </c>
      <c r="C477" s="90" t="n">
        <f aca="false">ROUND(E477*G477+F477,0)</f>
        <v>282</v>
      </c>
      <c r="D477" s="90" t="s">
        <v>238</v>
      </c>
      <c r="E477" s="90" t="n">
        <v>250</v>
      </c>
      <c r="F477" s="90" t="n">
        <f aca="false">H477+I477+J477+K477+L477+M477</f>
        <v>102</v>
      </c>
      <c r="G477" s="90" t="n">
        <v>0.72</v>
      </c>
      <c r="I477" s="90" t="n">
        <v>70</v>
      </c>
      <c r="J477" s="90" t="n">
        <v>32</v>
      </c>
    </row>
    <row r="478" customFormat="false" ht="17.6" hidden="false" customHeight="false" outlineLevel="0" collapsed="false">
      <c r="A478" s="91" t="s">
        <v>607</v>
      </c>
      <c r="B478" s="90" t="s">
        <v>40</v>
      </c>
      <c r="C478" s="90" t="n">
        <f aca="false">ROUND(E478*G478+F478,0)</f>
        <v>382</v>
      </c>
      <c r="D478" s="90" t="s">
        <v>238</v>
      </c>
      <c r="E478" s="90" t="n">
        <v>250</v>
      </c>
      <c r="F478" s="90" t="n">
        <f aca="false">H478+I478+J478+K478+L478+M478</f>
        <v>202</v>
      </c>
      <c r="G478" s="90" t="n">
        <v>0.72</v>
      </c>
      <c r="I478" s="90" t="n">
        <v>70</v>
      </c>
      <c r="J478" s="90" t="n">
        <v>32</v>
      </c>
      <c r="M478" s="90" t="n">
        <v>100</v>
      </c>
    </row>
    <row r="479" customFormat="false" ht="17.6" hidden="false" customHeight="false" outlineLevel="0" collapsed="false">
      <c r="A479" s="91" t="s">
        <v>608</v>
      </c>
      <c r="B479" s="90" t="s">
        <v>40</v>
      </c>
      <c r="C479" s="90" t="n">
        <f aca="false">ROUND(E479*G479+F479,0)</f>
        <v>252</v>
      </c>
      <c r="D479" s="90" t="s">
        <v>238</v>
      </c>
      <c r="E479" s="90" t="n">
        <v>350</v>
      </c>
      <c r="F479" s="90" t="n">
        <f aca="false">H479+I479+J479+K479+L479+M479</f>
        <v>0</v>
      </c>
      <c r="G479" s="90" t="n">
        <v>0.72</v>
      </c>
    </row>
    <row r="480" customFormat="false" ht="17.6" hidden="false" customHeight="false" outlineLevel="0" collapsed="false">
      <c r="A480" s="91" t="s">
        <v>609</v>
      </c>
      <c r="B480" s="90" t="s">
        <v>40</v>
      </c>
      <c r="C480" s="90" t="n">
        <f aca="false">ROUND(E480*G480+F480,0)</f>
        <v>252</v>
      </c>
      <c r="D480" s="90" t="s">
        <v>238</v>
      </c>
      <c r="E480" s="90" t="n">
        <v>350</v>
      </c>
      <c r="F480" s="90" t="n">
        <f aca="false">H480+I480+J480+K480+L480+M480</f>
        <v>0</v>
      </c>
      <c r="G480" s="90" t="n">
        <v>0.72</v>
      </c>
    </row>
    <row r="481" customFormat="false" ht="17.6" hidden="false" customHeight="false" outlineLevel="0" collapsed="false">
      <c r="A481" s="91" t="s">
        <v>610</v>
      </c>
      <c r="B481" s="90" t="s">
        <v>40</v>
      </c>
      <c r="C481" s="90" t="n">
        <f aca="false">ROUND(E481*G481+F481,0)</f>
        <v>282</v>
      </c>
      <c r="D481" s="90" t="s">
        <v>238</v>
      </c>
      <c r="E481" s="90" t="n">
        <v>350</v>
      </c>
      <c r="F481" s="90" t="n">
        <f aca="false">H481+I481+J481+K481+L481+M481</f>
        <v>30</v>
      </c>
      <c r="G481" s="90" t="n">
        <v>0.72</v>
      </c>
      <c r="L481" s="90" t="n">
        <v>30</v>
      </c>
    </row>
    <row r="482" customFormat="false" ht="17.6" hidden="false" customHeight="false" outlineLevel="0" collapsed="false">
      <c r="A482" s="91" t="s">
        <v>611</v>
      </c>
      <c r="B482" s="90" t="s">
        <v>40</v>
      </c>
      <c r="C482" s="90" t="n">
        <f aca="false">ROUND(E482*G482+F482,0)</f>
        <v>282</v>
      </c>
      <c r="D482" s="90" t="s">
        <v>238</v>
      </c>
      <c r="E482" s="90" t="n">
        <v>350</v>
      </c>
      <c r="F482" s="90" t="n">
        <f aca="false">H482+I482+J482+K482+L482+M482</f>
        <v>30</v>
      </c>
      <c r="G482" s="90" t="n">
        <v>0.72</v>
      </c>
      <c r="L482" s="90" t="n">
        <v>30</v>
      </c>
    </row>
    <row r="483" customFormat="false" ht="17.6" hidden="false" customHeight="false" outlineLevel="0" collapsed="false">
      <c r="A483" s="91" t="s">
        <v>612</v>
      </c>
      <c r="B483" s="90" t="s">
        <v>40</v>
      </c>
      <c r="C483" s="90" t="n">
        <f aca="false">ROUND(E483*G483+F483,0)</f>
        <v>382</v>
      </c>
      <c r="D483" s="90" t="s">
        <v>238</v>
      </c>
      <c r="E483" s="90" t="n">
        <v>350</v>
      </c>
      <c r="F483" s="90" t="n">
        <f aca="false">H483+I483+J483+K483+L483+M483</f>
        <v>130</v>
      </c>
      <c r="G483" s="90" t="n">
        <v>0.72</v>
      </c>
      <c r="L483" s="90" t="n">
        <v>30</v>
      </c>
      <c r="M483" s="90" t="n">
        <v>100</v>
      </c>
    </row>
    <row r="484" customFormat="false" ht="17.6" hidden="false" customHeight="false" outlineLevel="0" collapsed="false">
      <c r="A484" s="91" t="s">
        <v>613</v>
      </c>
      <c r="B484" s="90" t="s">
        <v>40</v>
      </c>
      <c r="C484" s="90" t="n">
        <f aca="false">ROUND(E484*G484+F484,0)</f>
        <v>282</v>
      </c>
      <c r="D484" s="90" t="s">
        <v>238</v>
      </c>
      <c r="E484" s="90" t="n">
        <v>350</v>
      </c>
      <c r="F484" s="90" t="n">
        <f aca="false">H484+I484+J484+K484+L484+M484</f>
        <v>30</v>
      </c>
      <c r="G484" s="90" t="n">
        <v>0.72</v>
      </c>
      <c r="K484" s="90" t="n">
        <v>30</v>
      </c>
    </row>
    <row r="485" customFormat="false" ht="17.6" hidden="false" customHeight="false" outlineLevel="0" collapsed="false">
      <c r="A485" s="91" t="s">
        <v>614</v>
      </c>
      <c r="B485" s="90" t="s">
        <v>40</v>
      </c>
      <c r="C485" s="90" t="n">
        <f aca="false">ROUND(E485*G485+F485,0)</f>
        <v>282</v>
      </c>
      <c r="D485" s="90" t="s">
        <v>238</v>
      </c>
      <c r="E485" s="90" t="n">
        <v>350</v>
      </c>
      <c r="F485" s="90" t="n">
        <f aca="false">H485+I485+J485+K485+L485+M485</f>
        <v>30</v>
      </c>
      <c r="G485" s="90" t="n">
        <v>0.72</v>
      </c>
      <c r="K485" s="90" t="n">
        <v>30</v>
      </c>
    </row>
    <row r="486" customFormat="false" ht="17.6" hidden="false" customHeight="false" outlineLevel="0" collapsed="false">
      <c r="A486" s="91" t="s">
        <v>615</v>
      </c>
      <c r="B486" s="90" t="s">
        <v>40</v>
      </c>
      <c r="C486" s="90" t="n">
        <f aca="false">ROUND(E486*G486+F486,0)</f>
        <v>382</v>
      </c>
      <c r="D486" s="90" t="s">
        <v>238</v>
      </c>
      <c r="E486" s="90" t="n">
        <v>350</v>
      </c>
      <c r="F486" s="90" t="n">
        <f aca="false">H486+I486+J486+K486+L486+M486</f>
        <v>130</v>
      </c>
      <c r="G486" s="90" t="n">
        <v>0.72</v>
      </c>
      <c r="K486" s="90" t="n">
        <v>30</v>
      </c>
      <c r="M486" s="90" t="n">
        <v>100</v>
      </c>
    </row>
    <row r="487" customFormat="false" ht="17.6" hidden="false" customHeight="false" outlineLevel="0" collapsed="false">
      <c r="A487" s="91" t="s">
        <v>616</v>
      </c>
      <c r="B487" s="90" t="s">
        <v>40</v>
      </c>
      <c r="C487" s="90" t="n">
        <f aca="false">ROUND(E487*G487+F487,0)</f>
        <v>352</v>
      </c>
      <c r="D487" s="90" t="s">
        <v>238</v>
      </c>
      <c r="E487" s="90" t="n">
        <v>350</v>
      </c>
      <c r="F487" s="90" t="n">
        <f aca="false">H487+I487+J487+K487+L487+M487</f>
        <v>100</v>
      </c>
      <c r="G487" s="90" t="n">
        <v>0.72</v>
      </c>
      <c r="M487" s="90" t="n">
        <v>100</v>
      </c>
    </row>
    <row r="488" customFormat="false" ht="17.6" hidden="false" customHeight="false" outlineLevel="0" collapsed="false">
      <c r="A488" s="91" t="s">
        <v>617</v>
      </c>
      <c r="B488" s="90" t="s">
        <v>40</v>
      </c>
      <c r="C488" s="90" t="n">
        <f aca="false">ROUND(E488*G488+F488,0)</f>
        <v>284</v>
      </c>
      <c r="D488" s="90" t="s">
        <v>238</v>
      </c>
      <c r="E488" s="90" t="n">
        <v>350</v>
      </c>
      <c r="F488" s="90" t="n">
        <f aca="false">H488+I488+J488+K488+L488+M488</f>
        <v>32</v>
      </c>
      <c r="G488" s="90" t="n">
        <v>0.72</v>
      </c>
      <c r="J488" s="90" t="n">
        <v>32</v>
      </c>
    </row>
    <row r="489" customFormat="false" ht="17.6" hidden="false" customHeight="false" outlineLevel="0" collapsed="false">
      <c r="A489" s="91" t="s">
        <v>618</v>
      </c>
      <c r="B489" s="90" t="s">
        <v>40</v>
      </c>
      <c r="C489" s="90" t="n">
        <f aca="false">ROUND(E489*G489+F489,0)</f>
        <v>284</v>
      </c>
      <c r="D489" s="90" t="s">
        <v>238</v>
      </c>
      <c r="E489" s="90" t="n">
        <v>350</v>
      </c>
      <c r="F489" s="90" t="n">
        <f aca="false">H489+I489+J489+K489+L489+M489</f>
        <v>32</v>
      </c>
      <c r="G489" s="90" t="n">
        <v>0.72</v>
      </c>
      <c r="J489" s="90" t="n">
        <v>32</v>
      </c>
    </row>
    <row r="490" customFormat="false" ht="17.6" hidden="false" customHeight="false" outlineLevel="0" collapsed="false">
      <c r="A490" s="91" t="s">
        <v>619</v>
      </c>
      <c r="B490" s="90" t="s">
        <v>40</v>
      </c>
      <c r="C490" s="90" t="n">
        <f aca="false">ROUND(E490*G490+F490,0)</f>
        <v>384</v>
      </c>
      <c r="D490" s="90" t="s">
        <v>238</v>
      </c>
      <c r="E490" s="90" t="n">
        <v>350</v>
      </c>
      <c r="F490" s="90" t="n">
        <f aca="false">H490+I490+J490+K490+L490+M490</f>
        <v>132</v>
      </c>
      <c r="G490" s="90" t="n">
        <v>0.72</v>
      </c>
      <c r="J490" s="90" t="n">
        <v>32</v>
      </c>
      <c r="M490" s="90" t="n">
        <v>100</v>
      </c>
    </row>
    <row r="491" customFormat="false" ht="17.6" hidden="false" customHeight="false" outlineLevel="0" collapsed="false">
      <c r="A491" s="91" t="s">
        <v>620</v>
      </c>
      <c r="B491" s="90" t="s">
        <v>40</v>
      </c>
      <c r="C491" s="90" t="n">
        <f aca="false">ROUND(E491*G491+F491,0)</f>
        <v>354</v>
      </c>
      <c r="D491" s="90" t="s">
        <v>238</v>
      </c>
      <c r="E491" s="90" t="n">
        <v>350</v>
      </c>
      <c r="F491" s="90" t="n">
        <f aca="false">H491+I491+J491+K491+L491+M491</f>
        <v>102</v>
      </c>
      <c r="G491" s="90" t="n">
        <v>0.72</v>
      </c>
      <c r="I491" s="90" t="n">
        <v>70</v>
      </c>
      <c r="J491" s="90" t="n">
        <v>32</v>
      </c>
      <c r="K491" s="91"/>
      <c r="L491" s="91"/>
      <c r="M491" s="91"/>
    </row>
    <row r="492" customFormat="false" ht="17.6" hidden="false" customHeight="false" outlineLevel="0" collapsed="false">
      <c r="A492" s="91" t="s">
        <v>621</v>
      </c>
      <c r="B492" s="90" t="s">
        <v>40</v>
      </c>
      <c r="C492" s="90" t="n">
        <f aca="false">ROUND(E492*G492+F492,0)</f>
        <v>354</v>
      </c>
      <c r="D492" s="90" t="s">
        <v>238</v>
      </c>
      <c r="E492" s="90" t="n">
        <v>350</v>
      </c>
      <c r="F492" s="90" t="n">
        <f aca="false">H492+I492+J492+K492+L492+M492</f>
        <v>102</v>
      </c>
      <c r="G492" s="90" t="n">
        <v>0.72</v>
      </c>
      <c r="I492" s="90" t="n">
        <v>70</v>
      </c>
      <c r="J492" s="90" t="n">
        <v>32</v>
      </c>
    </row>
    <row r="493" customFormat="false" ht="17.6" hidden="false" customHeight="false" outlineLevel="0" collapsed="false">
      <c r="A493" s="91" t="s">
        <v>622</v>
      </c>
      <c r="B493" s="90" t="s">
        <v>40</v>
      </c>
      <c r="C493" s="90" t="n">
        <f aca="false">ROUND(E493*G493+F493,0)</f>
        <v>454</v>
      </c>
      <c r="D493" s="90" t="s">
        <v>238</v>
      </c>
      <c r="E493" s="90" t="n">
        <v>350</v>
      </c>
      <c r="F493" s="90" t="n">
        <f aca="false">H493+I493+J493+K493+L493+M493</f>
        <v>202</v>
      </c>
      <c r="G493" s="90" t="n">
        <v>0.72</v>
      </c>
      <c r="I493" s="90" t="n">
        <v>70</v>
      </c>
      <c r="J493" s="90" t="n">
        <v>32</v>
      </c>
      <c r="M493" s="90" t="n">
        <v>100</v>
      </c>
    </row>
    <row r="494" customFormat="false" ht="17.6" hidden="false" customHeight="false" outlineLevel="0" collapsed="false">
      <c r="A494" s="91" t="s">
        <v>623</v>
      </c>
      <c r="B494" s="90" t="s">
        <v>40</v>
      </c>
      <c r="C494" s="90" t="n">
        <f aca="false">ROUND(E494*G494+F494,0)</f>
        <v>2410</v>
      </c>
      <c r="D494" s="90" t="s">
        <v>238</v>
      </c>
      <c r="E494" s="90" t="n">
        <v>3000</v>
      </c>
      <c r="F494" s="90" t="n">
        <f aca="false">H494+I494+J494+K494+L494+M494</f>
        <v>250</v>
      </c>
      <c r="G494" s="90" t="n">
        <v>0.72</v>
      </c>
      <c r="H494" s="90" t="n">
        <v>250</v>
      </c>
      <c r="I494" s="91"/>
      <c r="J494" s="91"/>
      <c r="K494" s="91"/>
      <c r="L494" s="91"/>
      <c r="M494" s="91"/>
    </row>
    <row r="495" customFormat="false" ht="17.6" hidden="false" customHeight="false" outlineLevel="0" collapsed="false">
      <c r="A495" s="91" t="s">
        <v>624</v>
      </c>
      <c r="B495" s="90" t="s">
        <v>40</v>
      </c>
      <c r="C495" s="90" t="n">
        <f aca="false">ROUND(E495*G495+F495,0)</f>
        <v>2160</v>
      </c>
      <c r="D495" s="90" t="s">
        <v>238</v>
      </c>
      <c r="E495" s="90" t="n">
        <v>3000</v>
      </c>
      <c r="F495" s="90" t="n">
        <f aca="false">H495+I495+J495+K495+L495+M495</f>
        <v>0</v>
      </c>
      <c r="G495" s="90" t="n">
        <v>0.72</v>
      </c>
    </row>
    <row r="496" customFormat="false" ht="17.6" hidden="false" customHeight="false" outlineLevel="0" collapsed="false">
      <c r="A496" s="91" t="s">
        <v>625</v>
      </c>
      <c r="B496" s="90" t="s">
        <v>40</v>
      </c>
      <c r="C496" s="90" t="n">
        <f aca="false">ROUND(E496*G496+F496,0)</f>
        <v>2490</v>
      </c>
      <c r="D496" s="90" t="s">
        <v>238</v>
      </c>
      <c r="E496" s="90" t="n">
        <v>3000</v>
      </c>
      <c r="F496" s="90" t="n">
        <f aca="false">H496+I496+J496+K496+L496+M496</f>
        <v>330</v>
      </c>
      <c r="G496" s="90" t="n">
        <v>0.72</v>
      </c>
      <c r="H496" s="90" t="n">
        <v>250</v>
      </c>
      <c r="I496" s="91"/>
      <c r="J496" s="91"/>
      <c r="K496" s="90" t="n">
        <v>80</v>
      </c>
      <c r="L496" s="91"/>
      <c r="M496" s="91"/>
    </row>
    <row r="497" customFormat="false" ht="17.6" hidden="false" customHeight="false" outlineLevel="0" collapsed="false">
      <c r="A497" s="91" t="s">
        <v>626</v>
      </c>
      <c r="B497" s="90" t="s">
        <v>40</v>
      </c>
      <c r="C497" s="90" t="n">
        <f aca="false">ROUND(E497*G497+F497,0)</f>
        <v>2240</v>
      </c>
      <c r="D497" s="90" t="s">
        <v>238</v>
      </c>
      <c r="E497" s="90" t="n">
        <v>3000</v>
      </c>
      <c r="F497" s="90" t="n">
        <f aca="false">H497+I497+J497+K497+L497+M497</f>
        <v>80</v>
      </c>
      <c r="G497" s="90" t="n">
        <v>0.72</v>
      </c>
      <c r="K497" s="90" t="n">
        <v>80</v>
      </c>
    </row>
    <row r="498" customFormat="false" ht="17.6" hidden="false" customHeight="false" outlineLevel="0" collapsed="false">
      <c r="A498" s="91" t="s">
        <v>627</v>
      </c>
      <c r="B498" s="90" t="s">
        <v>40</v>
      </c>
      <c r="C498" s="90" t="n">
        <f aca="false">ROUND(E498*G498+F498,0)</f>
        <v>3040</v>
      </c>
      <c r="D498" s="90" t="s">
        <v>238</v>
      </c>
      <c r="E498" s="90" t="n">
        <v>3000</v>
      </c>
      <c r="F498" s="90" t="n">
        <f aca="false">H498+I498+J498+K498+L498+M498</f>
        <v>880</v>
      </c>
      <c r="G498" s="90" t="n">
        <v>0.72</v>
      </c>
      <c r="K498" s="90" t="n">
        <v>80</v>
      </c>
      <c r="M498" s="90" t="n">
        <v>800</v>
      </c>
    </row>
    <row r="499" customFormat="false" ht="17.6" hidden="false" customHeight="false" outlineLevel="0" collapsed="false">
      <c r="A499" s="91" t="s">
        <v>628</v>
      </c>
      <c r="B499" s="90" t="s">
        <v>40</v>
      </c>
      <c r="C499" s="90" t="n">
        <f aca="false">ROUND(E499*G499+F499,0)</f>
        <v>2960</v>
      </c>
      <c r="D499" s="90" t="s">
        <v>238</v>
      </c>
      <c r="E499" s="90" t="n">
        <v>3000</v>
      </c>
      <c r="F499" s="90" t="n">
        <f aca="false">H499+I499+J499+K499+L499+M499</f>
        <v>800</v>
      </c>
      <c r="G499" s="90" t="n">
        <v>0.72</v>
      </c>
      <c r="M499" s="90" t="n">
        <v>800</v>
      </c>
    </row>
    <row r="500" customFormat="false" ht="17.6" hidden="false" customHeight="false" outlineLevel="0" collapsed="false">
      <c r="A500" s="91" t="s">
        <v>629</v>
      </c>
      <c r="B500" s="90" t="s">
        <v>40</v>
      </c>
      <c r="C500" s="90" t="n">
        <f aca="false">ROUND(E500*G500+F500,0)</f>
        <v>2490</v>
      </c>
      <c r="D500" s="90" t="s">
        <v>238</v>
      </c>
      <c r="E500" s="90" t="n">
        <v>3000</v>
      </c>
      <c r="F500" s="90" t="n">
        <f aca="false">H500+I500+J500+K500+L500+M500</f>
        <v>330</v>
      </c>
      <c r="G500" s="90" t="n">
        <v>0.72</v>
      </c>
      <c r="H500" s="90" t="n">
        <v>250</v>
      </c>
      <c r="J500" s="90" t="n">
        <v>80</v>
      </c>
    </row>
    <row r="501" customFormat="false" ht="17.6" hidden="false" customHeight="false" outlineLevel="0" collapsed="false">
      <c r="A501" s="91" t="s">
        <v>630</v>
      </c>
      <c r="B501" s="90" t="s">
        <v>40</v>
      </c>
      <c r="C501" s="90" t="n">
        <f aca="false">ROUND(E501*G501+F501,0)</f>
        <v>2240</v>
      </c>
      <c r="D501" s="90" t="s">
        <v>238</v>
      </c>
      <c r="E501" s="90" t="n">
        <v>3000</v>
      </c>
      <c r="F501" s="90" t="n">
        <f aca="false">H501+I501+J501+K501+L501+M501</f>
        <v>80</v>
      </c>
      <c r="G501" s="90" t="n">
        <v>0.72</v>
      </c>
      <c r="J501" s="90" t="n">
        <v>80</v>
      </c>
    </row>
    <row r="502" customFormat="false" ht="17.6" hidden="false" customHeight="false" outlineLevel="0" collapsed="false">
      <c r="A502" s="91" t="s">
        <v>631</v>
      </c>
      <c r="B502" s="90" t="s">
        <v>40</v>
      </c>
      <c r="C502" s="90" t="n">
        <f aca="false">ROUND(E502*G502+F502,0)</f>
        <v>3040</v>
      </c>
      <c r="D502" s="90" t="s">
        <v>238</v>
      </c>
      <c r="E502" s="90" t="n">
        <v>3000</v>
      </c>
      <c r="F502" s="90" t="n">
        <f aca="false">H502+I502+J502+K502+L502+M502</f>
        <v>880</v>
      </c>
      <c r="G502" s="90" t="n">
        <v>0.72</v>
      </c>
      <c r="J502" s="90" t="n">
        <v>80</v>
      </c>
      <c r="M502" s="90" t="n">
        <v>800</v>
      </c>
    </row>
    <row r="503" customFormat="false" ht="17.6" hidden="false" customHeight="false" outlineLevel="0" collapsed="false">
      <c r="A503" s="91" t="s">
        <v>632</v>
      </c>
      <c r="B503" s="90" t="s">
        <v>40</v>
      </c>
      <c r="C503" s="90" t="n">
        <f aca="false">ROUND(E503*G503+F503,0)</f>
        <v>2650</v>
      </c>
      <c r="D503" s="90" t="s">
        <v>238</v>
      </c>
      <c r="E503" s="90" t="n">
        <v>3000</v>
      </c>
      <c r="F503" s="90" t="n">
        <f aca="false">H503+I503+J503+K503+L503+M503</f>
        <v>490</v>
      </c>
      <c r="G503" s="90" t="n">
        <v>0.72</v>
      </c>
      <c r="H503" s="90" t="n">
        <v>250</v>
      </c>
      <c r="I503" s="90" t="n">
        <v>160</v>
      </c>
      <c r="J503" s="90" t="n">
        <v>80</v>
      </c>
      <c r="K503" s="91"/>
      <c r="L503" s="91"/>
      <c r="M503" s="91"/>
    </row>
    <row r="504" customFormat="false" ht="17.6" hidden="false" customHeight="false" outlineLevel="0" collapsed="false">
      <c r="A504" s="91" t="s">
        <v>633</v>
      </c>
      <c r="B504" s="90" t="s">
        <v>40</v>
      </c>
      <c r="C504" s="90" t="n">
        <f aca="false">ROUND(E504*G504+F504,0)</f>
        <v>2400</v>
      </c>
      <c r="D504" s="90" t="s">
        <v>238</v>
      </c>
      <c r="E504" s="90" t="n">
        <v>3000</v>
      </c>
      <c r="F504" s="90" t="n">
        <f aca="false">H504+I504+J504+K504+L504+M504</f>
        <v>240</v>
      </c>
      <c r="G504" s="90" t="n">
        <v>0.72</v>
      </c>
      <c r="I504" s="90" t="n">
        <v>160</v>
      </c>
      <c r="J504" s="90" t="n">
        <v>80</v>
      </c>
    </row>
    <row r="505" customFormat="false" ht="17.6" hidden="false" customHeight="false" outlineLevel="0" collapsed="false">
      <c r="A505" s="91" t="s">
        <v>634</v>
      </c>
      <c r="B505" s="90" t="s">
        <v>40</v>
      </c>
      <c r="C505" s="90" t="n">
        <f aca="false">ROUND(E505*G505+F505,0)</f>
        <v>3200</v>
      </c>
      <c r="D505" s="90" t="s">
        <v>238</v>
      </c>
      <c r="E505" s="90" t="n">
        <v>3000</v>
      </c>
      <c r="F505" s="90" t="n">
        <f aca="false">H505+I505+J505+K505+L505+M505</f>
        <v>1040</v>
      </c>
      <c r="G505" s="90" t="n">
        <v>0.72</v>
      </c>
      <c r="I505" s="90" t="n">
        <v>160</v>
      </c>
      <c r="J505" s="90" t="n">
        <v>80</v>
      </c>
      <c r="M505" s="90" t="n">
        <v>800</v>
      </c>
    </row>
    <row r="506" customFormat="false" ht="17.6" hidden="false" customHeight="false" outlineLevel="0" collapsed="false">
      <c r="A506" s="91" t="s">
        <v>635</v>
      </c>
      <c r="B506" s="90" t="s">
        <v>40</v>
      </c>
      <c r="C506" s="90" t="n">
        <f aca="false">ROUND(E506*G506+F506,0)</f>
        <v>2050</v>
      </c>
      <c r="D506" s="90" t="s">
        <v>238</v>
      </c>
      <c r="E506" s="90" t="n">
        <v>2500</v>
      </c>
      <c r="F506" s="90" t="n">
        <f aca="false">H506+I506+J506+K506+L506+M506</f>
        <v>250</v>
      </c>
      <c r="G506" s="90" t="n">
        <v>0.72</v>
      </c>
      <c r="H506" s="90" t="n">
        <v>250</v>
      </c>
      <c r="I506" s="91"/>
      <c r="J506" s="91"/>
      <c r="K506" s="91"/>
      <c r="L506" s="91"/>
      <c r="M506" s="91"/>
    </row>
    <row r="507" customFormat="false" ht="17.6" hidden="false" customHeight="false" outlineLevel="0" collapsed="false">
      <c r="A507" s="91" t="s">
        <v>636</v>
      </c>
      <c r="B507" s="90" t="s">
        <v>40</v>
      </c>
      <c r="C507" s="90" t="n">
        <f aca="false">ROUND(E507*G507+F507,0)</f>
        <v>1800</v>
      </c>
      <c r="D507" s="90" t="s">
        <v>238</v>
      </c>
      <c r="E507" s="90" t="n">
        <v>2500</v>
      </c>
      <c r="F507" s="90" t="n">
        <f aca="false">H507+I507+J507+K507+L507+M507</f>
        <v>0</v>
      </c>
      <c r="G507" s="90" t="n">
        <v>0.72</v>
      </c>
    </row>
    <row r="508" customFormat="false" ht="17.6" hidden="false" customHeight="false" outlineLevel="0" collapsed="false">
      <c r="A508" s="91" t="s">
        <v>637</v>
      </c>
      <c r="B508" s="90" t="s">
        <v>40</v>
      </c>
      <c r="C508" s="90" t="n">
        <f aca="false">ROUND(E508*G508+F508,0)</f>
        <v>2130</v>
      </c>
      <c r="D508" s="90" t="s">
        <v>238</v>
      </c>
      <c r="E508" s="90" t="n">
        <v>2500</v>
      </c>
      <c r="F508" s="90" t="n">
        <f aca="false">H508+I508+J508+K508+L508+M508</f>
        <v>330</v>
      </c>
      <c r="G508" s="90" t="n">
        <v>0.72</v>
      </c>
      <c r="H508" s="90" t="n">
        <v>250</v>
      </c>
      <c r="I508" s="91"/>
      <c r="J508" s="91"/>
      <c r="K508" s="90" t="n">
        <v>80</v>
      </c>
      <c r="L508" s="91"/>
      <c r="M508" s="91"/>
    </row>
    <row r="509" customFormat="false" ht="17.6" hidden="false" customHeight="false" outlineLevel="0" collapsed="false">
      <c r="A509" s="91" t="s">
        <v>638</v>
      </c>
      <c r="B509" s="90" t="s">
        <v>40</v>
      </c>
      <c r="C509" s="90" t="n">
        <f aca="false">ROUND(E509*G509+F509,0)</f>
        <v>1880</v>
      </c>
      <c r="D509" s="90" t="s">
        <v>238</v>
      </c>
      <c r="E509" s="90" t="n">
        <v>2500</v>
      </c>
      <c r="F509" s="90" t="n">
        <f aca="false">H509+I509+J509+K509+L509+M509</f>
        <v>80</v>
      </c>
      <c r="G509" s="90" t="n">
        <v>0.72</v>
      </c>
      <c r="K509" s="90" t="n">
        <v>80</v>
      </c>
    </row>
    <row r="510" customFormat="false" ht="17.6" hidden="false" customHeight="false" outlineLevel="0" collapsed="false">
      <c r="A510" s="91" t="s">
        <v>639</v>
      </c>
      <c r="B510" s="90" t="s">
        <v>40</v>
      </c>
      <c r="C510" s="90" t="n">
        <f aca="false">ROUND(E510*G510+F510,0)</f>
        <v>2680</v>
      </c>
      <c r="D510" s="90" t="s">
        <v>238</v>
      </c>
      <c r="E510" s="90" t="n">
        <v>2500</v>
      </c>
      <c r="F510" s="90" t="n">
        <f aca="false">H510+I510+J510+K510+L510+M510</f>
        <v>880</v>
      </c>
      <c r="G510" s="90" t="n">
        <v>0.72</v>
      </c>
      <c r="K510" s="90" t="n">
        <v>80</v>
      </c>
      <c r="M510" s="90" t="n">
        <v>800</v>
      </c>
    </row>
    <row r="511" customFormat="false" ht="17.6" hidden="false" customHeight="false" outlineLevel="0" collapsed="false">
      <c r="A511" s="91" t="s">
        <v>640</v>
      </c>
      <c r="B511" s="90" t="s">
        <v>40</v>
      </c>
      <c r="C511" s="90" t="n">
        <f aca="false">ROUND(E511*G511+F511,0)</f>
        <v>2600</v>
      </c>
      <c r="D511" s="90" t="s">
        <v>238</v>
      </c>
      <c r="E511" s="90" t="n">
        <v>2500</v>
      </c>
      <c r="F511" s="90" t="n">
        <f aca="false">H511+I511+J511+K511+L511+M511</f>
        <v>800</v>
      </c>
      <c r="G511" s="90" t="n">
        <v>0.72</v>
      </c>
      <c r="M511" s="90" t="n">
        <v>800</v>
      </c>
    </row>
    <row r="512" customFormat="false" ht="17.6" hidden="false" customHeight="false" outlineLevel="0" collapsed="false">
      <c r="A512" s="91" t="s">
        <v>641</v>
      </c>
      <c r="B512" s="90" t="s">
        <v>40</v>
      </c>
      <c r="C512" s="90" t="n">
        <f aca="false">ROUND(E512*G512+F512,0)</f>
        <v>2130</v>
      </c>
      <c r="D512" s="90" t="s">
        <v>238</v>
      </c>
      <c r="E512" s="90" t="n">
        <v>2500</v>
      </c>
      <c r="F512" s="90" t="n">
        <f aca="false">H512+I512+J512+K512+L512+M512</f>
        <v>330</v>
      </c>
      <c r="G512" s="90" t="n">
        <v>0.72</v>
      </c>
      <c r="H512" s="90" t="n">
        <v>250</v>
      </c>
      <c r="J512" s="90" t="n">
        <v>80</v>
      </c>
    </row>
    <row r="513" customFormat="false" ht="17.6" hidden="false" customHeight="false" outlineLevel="0" collapsed="false">
      <c r="A513" s="91" t="s">
        <v>642</v>
      </c>
      <c r="B513" s="90" t="s">
        <v>40</v>
      </c>
      <c r="C513" s="90" t="n">
        <f aca="false">ROUND(E513*G513+F513,0)</f>
        <v>1880</v>
      </c>
      <c r="D513" s="90" t="s">
        <v>238</v>
      </c>
      <c r="E513" s="90" t="n">
        <v>2500</v>
      </c>
      <c r="F513" s="90" t="n">
        <f aca="false">H513+I513+J513+K513+L513+M513</f>
        <v>80</v>
      </c>
      <c r="G513" s="90" t="n">
        <v>0.72</v>
      </c>
      <c r="J513" s="90" t="n">
        <v>80</v>
      </c>
    </row>
    <row r="514" customFormat="false" ht="17.6" hidden="false" customHeight="false" outlineLevel="0" collapsed="false">
      <c r="A514" s="91" t="s">
        <v>643</v>
      </c>
      <c r="B514" s="90" t="s">
        <v>40</v>
      </c>
      <c r="C514" s="90" t="n">
        <f aca="false">ROUND(E514*G514+F514,0)</f>
        <v>2680</v>
      </c>
      <c r="D514" s="90" t="s">
        <v>238</v>
      </c>
      <c r="E514" s="90" t="n">
        <v>2500</v>
      </c>
      <c r="F514" s="90" t="n">
        <f aca="false">H514+I514+J514+K514+L514+M514</f>
        <v>880</v>
      </c>
      <c r="G514" s="90" t="n">
        <v>0.72</v>
      </c>
      <c r="J514" s="90" t="n">
        <v>80</v>
      </c>
      <c r="M514" s="90" t="n">
        <v>800</v>
      </c>
    </row>
    <row r="515" customFormat="false" ht="17.6" hidden="false" customHeight="false" outlineLevel="0" collapsed="false">
      <c r="A515" s="91" t="s">
        <v>644</v>
      </c>
      <c r="B515" s="90" t="s">
        <v>40</v>
      </c>
      <c r="C515" s="90" t="n">
        <f aca="false">ROUND(E515*G515+F515,0)</f>
        <v>2290</v>
      </c>
      <c r="D515" s="90" t="s">
        <v>238</v>
      </c>
      <c r="E515" s="90" t="n">
        <v>2500</v>
      </c>
      <c r="F515" s="90" t="n">
        <f aca="false">H515+I515+J515+K515+L515+M515</f>
        <v>490</v>
      </c>
      <c r="G515" s="90" t="n">
        <v>0.72</v>
      </c>
      <c r="H515" s="90" t="n">
        <v>250</v>
      </c>
      <c r="I515" s="90" t="n">
        <v>160</v>
      </c>
      <c r="J515" s="90" t="n">
        <v>80</v>
      </c>
      <c r="K515" s="91"/>
      <c r="L515" s="91"/>
      <c r="M515" s="91"/>
    </row>
    <row r="516" customFormat="false" ht="17.6" hidden="false" customHeight="false" outlineLevel="0" collapsed="false">
      <c r="A516" s="91" t="s">
        <v>645</v>
      </c>
      <c r="B516" s="90" t="s">
        <v>40</v>
      </c>
      <c r="C516" s="90" t="n">
        <f aca="false">ROUND(E516*G516+F516,0)</f>
        <v>2040</v>
      </c>
      <c r="D516" s="90" t="s">
        <v>238</v>
      </c>
      <c r="E516" s="90" t="n">
        <v>2500</v>
      </c>
      <c r="F516" s="90" t="n">
        <f aca="false">H516+I516+J516+K516+L516+M516</f>
        <v>240</v>
      </c>
      <c r="G516" s="90" t="n">
        <v>0.72</v>
      </c>
      <c r="I516" s="90" t="n">
        <v>160</v>
      </c>
      <c r="J516" s="90" t="n">
        <v>80</v>
      </c>
    </row>
    <row r="517" customFormat="false" ht="17.6" hidden="false" customHeight="false" outlineLevel="0" collapsed="false">
      <c r="A517" s="91" t="s">
        <v>646</v>
      </c>
      <c r="B517" s="90" t="s">
        <v>40</v>
      </c>
      <c r="C517" s="90" t="n">
        <f aca="false">ROUND(E517*G517+F517,0)</f>
        <v>2840</v>
      </c>
      <c r="D517" s="90" t="s">
        <v>238</v>
      </c>
      <c r="E517" s="90" t="n">
        <v>2500</v>
      </c>
      <c r="F517" s="90" t="n">
        <f aca="false">H517+I517+J517+K517+L517+M517</f>
        <v>1040</v>
      </c>
      <c r="G517" s="90" t="n">
        <v>0.72</v>
      </c>
      <c r="I517" s="90" t="n">
        <v>160</v>
      </c>
      <c r="J517" s="90" t="n">
        <v>80</v>
      </c>
      <c r="M517" s="90" t="n">
        <v>800</v>
      </c>
    </row>
    <row r="518" customFormat="false" ht="17.6" hidden="false" customHeight="false" outlineLevel="0" collapsed="false">
      <c r="A518" s="91" t="s">
        <v>647</v>
      </c>
      <c r="B518" s="90" t="s">
        <v>40</v>
      </c>
      <c r="C518" s="90" t="n">
        <f aca="false">ROUND(E518*G518+F518,0)</f>
        <v>720</v>
      </c>
      <c r="D518" s="90" t="s">
        <v>238</v>
      </c>
      <c r="E518" s="90" t="n">
        <v>1000</v>
      </c>
      <c r="F518" s="90" t="n">
        <f aca="false">H518+I518+J518+K518+L518+M518</f>
        <v>0</v>
      </c>
      <c r="G518" s="90" t="n">
        <v>0.72</v>
      </c>
    </row>
    <row r="519" customFormat="false" ht="17.6" hidden="false" customHeight="false" outlineLevel="0" collapsed="false">
      <c r="A519" s="91" t="s">
        <v>648</v>
      </c>
      <c r="B519" s="90" t="s">
        <v>40</v>
      </c>
      <c r="C519" s="90" t="n">
        <f aca="false">ROUND(E519*G519+F519,0)</f>
        <v>720</v>
      </c>
      <c r="D519" s="90" t="s">
        <v>238</v>
      </c>
      <c r="E519" s="90" t="n">
        <v>1000</v>
      </c>
      <c r="F519" s="90" t="n">
        <f aca="false">H519+I519+J519+K519+L519+M519</f>
        <v>0</v>
      </c>
      <c r="G519" s="90" t="n">
        <v>0.72</v>
      </c>
    </row>
    <row r="520" customFormat="false" ht="17.6" hidden="false" customHeight="false" outlineLevel="0" collapsed="false">
      <c r="A520" s="91" t="s">
        <v>649</v>
      </c>
      <c r="B520" s="90" t="s">
        <v>40</v>
      </c>
      <c r="C520" s="90" t="n">
        <f aca="false">ROUND(E520*G520+F520,0)</f>
        <v>750</v>
      </c>
      <c r="D520" s="90" t="s">
        <v>238</v>
      </c>
      <c r="E520" s="90" t="n">
        <v>1000</v>
      </c>
      <c r="F520" s="90" t="n">
        <f aca="false">H520+I520+J520+K520+L520+M520</f>
        <v>30</v>
      </c>
      <c r="G520" s="90" t="n">
        <v>0.72</v>
      </c>
      <c r="L520" s="90" t="n">
        <v>30</v>
      </c>
    </row>
    <row r="521" customFormat="false" ht="17.6" hidden="false" customHeight="false" outlineLevel="0" collapsed="false">
      <c r="A521" s="91" t="s">
        <v>650</v>
      </c>
      <c r="B521" s="90" t="s">
        <v>40</v>
      </c>
      <c r="C521" s="90" t="n">
        <f aca="false">ROUND(E521*G521+F521,0)</f>
        <v>752</v>
      </c>
      <c r="D521" s="90" t="s">
        <v>238</v>
      </c>
      <c r="E521" s="90" t="n">
        <v>1000</v>
      </c>
      <c r="F521" s="90" t="n">
        <f aca="false">H521+I521+J521+K521+L521+M521</f>
        <v>32</v>
      </c>
      <c r="G521" s="90" t="n">
        <v>0.72</v>
      </c>
      <c r="J521" s="90" t="n">
        <v>32</v>
      </c>
    </row>
    <row r="522" customFormat="false" ht="17.6" hidden="false" customHeight="false" outlineLevel="0" collapsed="false">
      <c r="A522" s="91" t="s">
        <v>651</v>
      </c>
      <c r="B522" s="90" t="s">
        <v>40</v>
      </c>
      <c r="C522" s="90" t="n">
        <f aca="false">ROUND(E522*G522+F522,0)</f>
        <v>957</v>
      </c>
      <c r="D522" s="90" t="s">
        <v>238</v>
      </c>
      <c r="E522" s="90" t="n">
        <v>1000</v>
      </c>
      <c r="F522" s="90" t="n">
        <f aca="false">H522+I522+J522+K522+L522+M522</f>
        <v>237</v>
      </c>
      <c r="G522" s="90" t="n">
        <v>0.72</v>
      </c>
      <c r="J522" s="90" t="n">
        <v>32</v>
      </c>
      <c r="M522" s="90" t="n">
        <v>205</v>
      </c>
    </row>
    <row r="523" customFormat="false" ht="17.6" hidden="false" customHeight="false" outlineLevel="0" collapsed="false">
      <c r="A523" s="91" t="s">
        <v>652</v>
      </c>
      <c r="B523" s="90" t="s">
        <v>40</v>
      </c>
      <c r="C523" s="90" t="n">
        <f aca="false">ROUND(E523*G523+F523,0)</f>
        <v>750</v>
      </c>
      <c r="D523" s="90" t="s">
        <v>238</v>
      </c>
      <c r="E523" s="90" t="n">
        <v>1000</v>
      </c>
      <c r="F523" s="90" t="n">
        <f aca="false">H523+I523+J523+K523+L523+M523</f>
        <v>30</v>
      </c>
      <c r="G523" s="90" t="n">
        <v>0.72</v>
      </c>
      <c r="K523" s="90" t="n">
        <v>30</v>
      </c>
    </row>
    <row r="524" customFormat="false" ht="17.6" hidden="false" customHeight="false" outlineLevel="0" collapsed="false">
      <c r="A524" s="91" t="s">
        <v>653</v>
      </c>
      <c r="B524" s="90" t="s">
        <v>40</v>
      </c>
      <c r="C524" s="90" t="n">
        <f aca="false">ROUND(E524*G524+F524,0)</f>
        <v>750</v>
      </c>
      <c r="D524" s="90" t="s">
        <v>238</v>
      </c>
      <c r="E524" s="90" t="n">
        <v>1000</v>
      </c>
      <c r="F524" s="90" t="n">
        <f aca="false">H524+I524+J524+K524+L524+M524</f>
        <v>30</v>
      </c>
      <c r="G524" s="90" t="n">
        <v>0.72</v>
      </c>
      <c r="K524" s="90" t="n">
        <v>30</v>
      </c>
    </row>
    <row r="525" customFormat="false" ht="17.6" hidden="false" customHeight="false" outlineLevel="0" collapsed="false">
      <c r="A525" s="91" t="s">
        <v>654</v>
      </c>
      <c r="B525" s="90" t="s">
        <v>40</v>
      </c>
      <c r="C525" s="90" t="n">
        <f aca="false">ROUND(E525*G525+F525,0)</f>
        <v>955</v>
      </c>
      <c r="D525" s="90" t="s">
        <v>238</v>
      </c>
      <c r="E525" s="90" t="n">
        <v>1000</v>
      </c>
      <c r="F525" s="90" t="n">
        <f aca="false">H525+I525+J525+K525+L525+M525</f>
        <v>235</v>
      </c>
      <c r="G525" s="90" t="n">
        <v>0.72</v>
      </c>
      <c r="K525" s="90" t="n">
        <v>30</v>
      </c>
      <c r="M525" s="90" t="n">
        <v>205</v>
      </c>
    </row>
    <row r="526" customFormat="false" ht="17.6" hidden="false" customHeight="false" outlineLevel="0" collapsed="false">
      <c r="A526" s="91" t="s">
        <v>655</v>
      </c>
      <c r="B526" s="90" t="s">
        <v>40</v>
      </c>
      <c r="C526" s="90" t="n">
        <f aca="false">ROUND(E526*G526+F526,0)</f>
        <v>925</v>
      </c>
      <c r="D526" s="90" t="s">
        <v>238</v>
      </c>
      <c r="E526" s="90" t="n">
        <v>1000</v>
      </c>
      <c r="F526" s="90" t="n">
        <f aca="false">H526+I526+J526+K526+L526+M526</f>
        <v>205</v>
      </c>
      <c r="G526" s="90" t="n">
        <v>0.72</v>
      </c>
      <c r="M526" s="90" t="n">
        <v>205</v>
      </c>
    </row>
    <row r="527" customFormat="false" ht="17.6" hidden="false" customHeight="false" outlineLevel="0" collapsed="false">
      <c r="A527" s="91" t="s">
        <v>656</v>
      </c>
      <c r="B527" s="90" t="s">
        <v>40</v>
      </c>
      <c r="C527" s="90" t="n">
        <f aca="false">ROUND(E527*G527+F527,0)</f>
        <v>752</v>
      </c>
      <c r="D527" s="90" t="s">
        <v>238</v>
      </c>
      <c r="E527" s="90" t="n">
        <v>1000</v>
      </c>
      <c r="F527" s="90" t="n">
        <f aca="false">H527+I527+J527+K527+L527+M527</f>
        <v>32</v>
      </c>
      <c r="G527" s="90" t="n">
        <v>0.72</v>
      </c>
      <c r="J527" s="90" t="n">
        <v>32</v>
      </c>
    </row>
    <row r="528" customFormat="false" ht="17.6" hidden="false" customHeight="false" outlineLevel="0" collapsed="false">
      <c r="A528" s="91" t="s">
        <v>657</v>
      </c>
      <c r="B528" s="90" t="s">
        <v>40</v>
      </c>
      <c r="C528" s="90" t="n">
        <f aca="false">ROUND(E528*G528+F528,0)</f>
        <v>752</v>
      </c>
      <c r="D528" s="90" t="s">
        <v>238</v>
      </c>
      <c r="E528" s="90" t="n">
        <v>1000</v>
      </c>
      <c r="F528" s="90" t="n">
        <f aca="false">H528+I528+J528+K528+L528+M528</f>
        <v>32</v>
      </c>
      <c r="G528" s="90" t="n">
        <v>0.72</v>
      </c>
      <c r="J528" s="90" t="n">
        <v>32</v>
      </c>
    </row>
    <row r="529" customFormat="false" ht="17.6" hidden="false" customHeight="false" outlineLevel="0" collapsed="false">
      <c r="A529" s="91" t="s">
        <v>658</v>
      </c>
      <c r="B529" s="90" t="s">
        <v>40</v>
      </c>
      <c r="C529" s="90" t="n">
        <f aca="false">ROUND(E529*G529+F529,0)</f>
        <v>957</v>
      </c>
      <c r="D529" s="90" t="s">
        <v>238</v>
      </c>
      <c r="E529" s="90" t="n">
        <v>1000</v>
      </c>
      <c r="F529" s="90" t="n">
        <f aca="false">H529+I529+J529+K529+L529+M529</f>
        <v>237</v>
      </c>
      <c r="G529" s="90" t="n">
        <v>0.72</v>
      </c>
      <c r="J529" s="90" t="n">
        <v>32</v>
      </c>
      <c r="M529" s="90" t="n">
        <v>205</v>
      </c>
    </row>
    <row r="530" customFormat="false" ht="17.6" hidden="false" customHeight="false" outlineLevel="0" collapsed="false">
      <c r="A530" s="91" t="s">
        <v>659</v>
      </c>
      <c r="B530" s="90" t="s">
        <v>40</v>
      </c>
      <c r="C530" s="90" t="n">
        <f aca="false">ROUND(E530*G530+F530,0)</f>
        <v>822</v>
      </c>
      <c r="D530" s="90" t="s">
        <v>238</v>
      </c>
      <c r="E530" s="90" t="n">
        <v>1000</v>
      </c>
      <c r="F530" s="90" t="n">
        <f aca="false">H530+I530+J530+K530+L530+M530</f>
        <v>102</v>
      </c>
      <c r="G530" s="90" t="n">
        <v>0.72</v>
      </c>
      <c r="I530" s="90" t="n">
        <v>70</v>
      </c>
      <c r="J530" s="90" t="n">
        <v>32</v>
      </c>
    </row>
    <row r="531" customFormat="false" ht="17.6" hidden="false" customHeight="false" outlineLevel="0" collapsed="false">
      <c r="A531" s="91" t="s">
        <v>660</v>
      </c>
      <c r="B531" s="90" t="s">
        <v>40</v>
      </c>
      <c r="C531" s="90" t="n">
        <f aca="false">ROUND(E531*G531+F531,0)</f>
        <v>822</v>
      </c>
      <c r="D531" s="90" t="s">
        <v>238</v>
      </c>
      <c r="E531" s="90" t="n">
        <v>1000</v>
      </c>
      <c r="F531" s="90" t="n">
        <f aca="false">H531+I531+J531+K531+L531+M531</f>
        <v>102</v>
      </c>
      <c r="G531" s="90" t="n">
        <v>0.72</v>
      </c>
      <c r="I531" s="90" t="n">
        <v>70</v>
      </c>
      <c r="J531" s="90" t="n">
        <v>32</v>
      </c>
    </row>
    <row r="532" customFormat="false" ht="17.6" hidden="false" customHeight="false" outlineLevel="0" collapsed="false">
      <c r="A532" s="91" t="s">
        <v>661</v>
      </c>
      <c r="B532" s="90" t="s">
        <v>40</v>
      </c>
      <c r="C532" s="90" t="n">
        <f aca="false">ROUND(E532*G532+F532,0)</f>
        <v>1027</v>
      </c>
      <c r="D532" s="90" t="s">
        <v>238</v>
      </c>
      <c r="E532" s="90" t="n">
        <v>1000</v>
      </c>
      <c r="F532" s="90" t="n">
        <f aca="false">H532+I532+J532+K532+L532+M532</f>
        <v>307</v>
      </c>
      <c r="G532" s="90" t="n">
        <v>0.72</v>
      </c>
      <c r="I532" s="90" t="n">
        <v>70</v>
      </c>
      <c r="J532" s="90" t="n">
        <v>32</v>
      </c>
      <c r="M532" s="90" t="n">
        <v>205</v>
      </c>
    </row>
    <row r="533" customFormat="false" ht="17.6" hidden="false" customHeight="false" outlineLevel="0" collapsed="false">
      <c r="A533" s="91" t="s">
        <v>662</v>
      </c>
      <c r="B533" s="90" t="s">
        <v>40</v>
      </c>
      <c r="C533" s="90" t="n">
        <f aca="false">ROUND(E533*G533+F533,0)</f>
        <v>421</v>
      </c>
      <c r="D533" s="90" t="s">
        <v>238</v>
      </c>
      <c r="E533" s="90" t="n">
        <v>585</v>
      </c>
      <c r="F533" s="90" t="n">
        <f aca="false">H533+I533+J533+K533+L533+M533</f>
        <v>0</v>
      </c>
      <c r="G533" s="90" t="n">
        <v>0.72</v>
      </c>
    </row>
    <row r="534" customFormat="false" ht="17.6" hidden="false" customHeight="false" outlineLevel="0" collapsed="false">
      <c r="A534" s="91" t="s">
        <v>663</v>
      </c>
      <c r="B534" s="90" t="s">
        <v>40</v>
      </c>
      <c r="C534" s="90" t="n">
        <f aca="false">ROUND(E534*G534+F534,0)</f>
        <v>421</v>
      </c>
      <c r="D534" s="90" t="s">
        <v>238</v>
      </c>
      <c r="E534" s="90" t="n">
        <v>585</v>
      </c>
      <c r="F534" s="90" t="n">
        <f aca="false">H534+I534+J534+K534+L534+M534</f>
        <v>0</v>
      </c>
      <c r="G534" s="90" t="n">
        <v>0.72</v>
      </c>
    </row>
    <row r="535" customFormat="false" ht="17.6" hidden="false" customHeight="false" outlineLevel="0" collapsed="false">
      <c r="A535" s="91" t="s">
        <v>664</v>
      </c>
      <c r="B535" s="90" t="s">
        <v>40</v>
      </c>
      <c r="C535" s="90" t="n">
        <f aca="false">ROUND(E535*G535+F535,0)</f>
        <v>451</v>
      </c>
      <c r="D535" s="90" t="s">
        <v>238</v>
      </c>
      <c r="E535" s="90" t="n">
        <v>585</v>
      </c>
      <c r="F535" s="90" t="n">
        <f aca="false">H535+I535+J535+K535+L535+M535</f>
        <v>30</v>
      </c>
      <c r="G535" s="90" t="n">
        <v>0.72</v>
      </c>
      <c r="L535" s="90" t="n">
        <v>30</v>
      </c>
    </row>
    <row r="536" customFormat="false" ht="17.6" hidden="false" customHeight="false" outlineLevel="0" collapsed="false">
      <c r="A536" s="91" t="s">
        <v>665</v>
      </c>
      <c r="B536" s="90" t="s">
        <v>40</v>
      </c>
      <c r="C536" s="90" t="n">
        <f aca="false">ROUND(E536*G536+F536,0)</f>
        <v>453</v>
      </c>
      <c r="D536" s="90" t="s">
        <v>238</v>
      </c>
      <c r="E536" s="90" t="n">
        <v>585</v>
      </c>
      <c r="F536" s="90" t="n">
        <f aca="false">H536+I536+J536+K536+L536+M536</f>
        <v>32</v>
      </c>
      <c r="G536" s="90" t="n">
        <v>0.72</v>
      </c>
      <c r="J536" s="90" t="n">
        <v>32</v>
      </c>
    </row>
    <row r="537" customFormat="false" ht="17.6" hidden="false" customHeight="false" outlineLevel="0" collapsed="false">
      <c r="A537" s="91" t="s">
        <v>666</v>
      </c>
      <c r="B537" s="90" t="s">
        <v>40</v>
      </c>
      <c r="C537" s="90" t="n">
        <f aca="false">ROUND(E537*G537+F537,0)</f>
        <v>658</v>
      </c>
      <c r="D537" s="90" t="s">
        <v>238</v>
      </c>
      <c r="E537" s="90" t="n">
        <v>585</v>
      </c>
      <c r="F537" s="90" t="n">
        <f aca="false">H537+I537+J537+K537+L537+M537</f>
        <v>237</v>
      </c>
      <c r="G537" s="90" t="n">
        <v>0.72</v>
      </c>
      <c r="J537" s="90" t="n">
        <v>32</v>
      </c>
      <c r="M537" s="90" t="n">
        <v>205</v>
      </c>
    </row>
    <row r="538" customFormat="false" ht="17.6" hidden="false" customHeight="false" outlineLevel="0" collapsed="false">
      <c r="A538" s="91" t="s">
        <v>667</v>
      </c>
      <c r="B538" s="90" t="s">
        <v>40</v>
      </c>
      <c r="C538" s="90" t="n">
        <f aca="false">ROUND(E538*G538+F538,0)</f>
        <v>451</v>
      </c>
      <c r="D538" s="90" t="s">
        <v>238</v>
      </c>
      <c r="E538" s="90" t="n">
        <v>585</v>
      </c>
      <c r="F538" s="90" t="n">
        <f aca="false">H538+I538+J538+K538+L538+M538</f>
        <v>30</v>
      </c>
      <c r="G538" s="90" t="n">
        <v>0.72</v>
      </c>
      <c r="K538" s="90" t="n">
        <v>30</v>
      </c>
    </row>
    <row r="539" customFormat="false" ht="17.6" hidden="false" customHeight="false" outlineLevel="0" collapsed="false">
      <c r="A539" s="91" t="s">
        <v>668</v>
      </c>
      <c r="B539" s="90" t="s">
        <v>40</v>
      </c>
      <c r="C539" s="90" t="n">
        <f aca="false">ROUND(E539*G539+F539,0)</f>
        <v>451</v>
      </c>
      <c r="D539" s="90" t="s">
        <v>238</v>
      </c>
      <c r="E539" s="90" t="n">
        <v>585</v>
      </c>
      <c r="F539" s="90" t="n">
        <f aca="false">H539+I539+J539+K539+L539+M539</f>
        <v>30</v>
      </c>
      <c r="G539" s="90" t="n">
        <v>0.72</v>
      </c>
      <c r="K539" s="90" t="n">
        <v>30</v>
      </c>
    </row>
    <row r="540" customFormat="false" ht="17.6" hidden="false" customHeight="false" outlineLevel="0" collapsed="false">
      <c r="A540" s="91" t="s">
        <v>669</v>
      </c>
      <c r="B540" s="90" t="s">
        <v>40</v>
      </c>
      <c r="C540" s="90" t="n">
        <f aca="false">ROUND(E540*G540+F540,0)</f>
        <v>656</v>
      </c>
      <c r="D540" s="90" t="s">
        <v>238</v>
      </c>
      <c r="E540" s="90" t="n">
        <v>585</v>
      </c>
      <c r="F540" s="90" t="n">
        <f aca="false">H540+I540+J540+K540+L540+M540</f>
        <v>235</v>
      </c>
      <c r="G540" s="90" t="n">
        <v>0.72</v>
      </c>
      <c r="K540" s="90" t="n">
        <v>30</v>
      </c>
      <c r="M540" s="90" t="n">
        <v>205</v>
      </c>
    </row>
    <row r="541" customFormat="false" ht="17.6" hidden="false" customHeight="false" outlineLevel="0" collapsed="false">
      <c r="A541" s="91" t="s">
        <v>670</v>
      </c>
      <c r="B541" s="90" t="s">
        <v>40</v>
      </c>
      <c r="C541" s="90" t="n">
        <f aca="false">ROUND(E541*G541+F541,0)</f>
        <v>626</v>
      </c>
      <c r="D541" s="90" t="s">
        <v>238</v>
      </c>
      <c r="E541" s="90" t="n">
        <v>585</v>
      </c>
      <c r="F541" s="90" t="n">
        <f aca="false">H541+I541+J541+K541+L541+M541</f>
        <v>205</v>
      </c>
      <c r="G541" s="90" t="n">
        <v>0.72</v>
      </c>
      <c r="M541" s="90" t="n">
        <v>205</v>
      </c>
    </row>
    <row r="542" customFormat="false" ht="17.6" hidden="false" customHeight="false" outlineLevel="0" collapsed="false">
      <c r="A542" s="91" t="s">
        <v>671</v>
      </c>
      <c r="B542" s="90" t="s">
        <v>40</v>
      </c>
      <c r="C542" s="90" t="n">
        <f aca="false">ROUND(E542*G542+F542,0)</f>
        <v>453</v>
      </c>
      <c r="D542" s="90" t="s">
        <v>238</v>
      </c>
      <c r="E542" s="90" t="n">
        <v>585</v>
      </c>
      <c r="F542" s="90" t="n">
        <f aca="false">H542+I542+J542+K542+L542+M542</f>
        <v>32</v>
      </c>
      <c r="G542" s="90" t="n">
        <v>0.72</v>
      </c>
      <c r="J542" s="90" t="n">
        <v>32</v>
      </c>
    </row>
    <row r="543" customFormat="false" ht="17.6" hidden="false" customHeight="false" outlineLevel="0" collapsed="false">
      <c r="A543" s="91" t="s">
        <v>672</v>
      </c>
      <c r="B543" s="90" t="s">
        <v>40</v>
      </c>
      <c r="C543" s="90" t="n">
        <f aca="false">ROUND(E543*G543+F543,0)</f>
        <v>453</v>
      </c>
      <c r="D543" s="90" t="s">
        <v>238</v>
      </c>
      <c r="E543" s="90" t="n">
        <v>585</v>
      </c>
      <c r="F543" s="90" t="n">
        <f aca="false">H543+I543+J543+K543+L543+M543</f>
        <v>32</v>
      </c>
      <c r="G543" s="90" t="n">
        <v>0.72</v>
      </c>
      <c r="J543" s="90" t="n">
        <v>32</v>
      </c>
    </row>
    <row r="544" customFormat="false" ht="17.6" hidden="false" customHeight="false" outlineLevel="0" collapsed="false">
      <c r="A544" s="91" t="s">
        <v>673</v>
      </c>
      <c r="B544" s="90" t="s">
        <v>40</v>
      </c>
      <c r="C544" s="90" t="n">
        <f aca="false">ROUND(E544*G544+F544,0)</f>
        <v>658</v>
      </c>
      <c r="D544" s="90" t="s">
        <v>238</v>
      </c>
      <c r="E544" s="90" t="n">
        <v>585</v>
      </c>
      <c r="F544" s="90" t="n">
        <f aca="false">H544+I544+J544+K544+L544+M544</f>
        <v>237</v>
      </c>
      <c r="G544" s="90" t="n">
        <v>0.72</v>
      </c>
      <c r="J544" s="90" t="n">
        <v>32</v>
      </c>
      <c r="M544" s="90" t="n">
        <v>205</v>
      </c>
    </row>
    <row r="545" customFormat="false" ht="17.6" hidden="false" customHeight="false" outlineLevel="0" collapsed="false">
      <c r="A545" s="91" t="s">
        <v>674</v>
      </c>
      <c r="B545" s="90" t="s">
        <v>40</v>
      </c>
      <c r="C545" s="90" t="n">
        <f aca="false">ROUND(E545*G545+F545,0)</f>
        <v>523</v>
      </c>
      <c r="D545" s="90" t="s">
        <v>238</v>
      </c>
      <c r="E545" s="90" t="n">
        <v>585</v>
      </c>
      <c r="F545" s="90" t="n">
        <f aca="false">H545+I545+J545+K545+L545+M545</f>
        <v>102</v>
      </c>
      <c r="G545" s="90" t="n">
        <v>0.72</v>
      </c>
      <c r="I545" s="90" t="n">
        <v>70</v>
      </c>
      <c r="J545" s="90" t="n">
        <v>32</v>
      </c>
    </row>
    <row r="546" customFormat="false" ht="17.6" hidden="false" customHeight="false" outlineLevel="0" collapsed="false">
      <c r="A546" s="91" t="s">
        <v>675</v>
      </c>
      <c r="B546" s="90" t="s">
        <v>40</v>
      </c>
      <c r="C546" s="90" t="n">
        <f aca="false">ROUND(E546*G546+F546,0)</f>
        <v>523</v>
      </c>
      <c r="D546" s="90" t="s">
        <v>238</v>
      </c>
      <c r="E546" s="90" t="n">
        <v>585</v>
      </c>
      <c r="F546" s="90" t="n">
        <f aca="false">H546+I546+J546+K546+L546+M546</f>
        <v>102</v>
      </c>
      <c r="G546" s="90" t="n">
        <v>0.72</v>
      </c>
      <c r="I546" s="90" t="n">
        <v>70</v>
      </c>
      <c r="J546" s="90" t="n">
        <v>32</v>
      </c>
    </row>
    <row r="547" customFormat="false" ht="17.6" hidden="false" customHeight="false" outlineLevel="0" collapsed="false">
      <c r="A547" s="91" t="s">
        <v>676</v>
      </c>
      <c r="B547" s="90" t="s">
        <v>40</v>
      </c>
      <c r="C547" s="90" t="n">
        <f aca="false">ROUND(E547*G547+F547,0)</f>
        <v>728</v>
      </c>
      <c r="D547" s="90" t="s">
        <v>238</v>
      </c>
      <c r="E547" s="90" t="n">
        <v>585</v>
      </c>
      <c r="F547" s="90" t="n">
        <f aca="false">H547+I547+J547+K547+L547+M547</f>
        <v>307</v>
      </c>
      <c r="G547" s="90" t="n">
        <v>0.72</v>
      </c>
      <c r="I547" s="90" t="n">
        <v>70</v>
      </c>
      <c r="J547" s="90" t="n">
        <v>32</v>
      </c>
      <c r="M547" s="90" t="n">
        <v>205</v>
      </c>
    </row>
    <row r="548" customFormat="false" ht="17.6" hidden="false" customHeight="false" outlineLevel="0" collapsed="false">
      <c r="A548" s="91" t="s">
        <v>677</v>
      </c>
      <c r="B548" s="90" t="s">
        <v>40</v>
      </c>
      <c r="C548" s="90" t="n">
        <f aca="false">ROUND(E548*G548+F548,0)</f>
        <v>562</v>
      </c>
      <c r="D548" s="90" t="s">
        <v>238</v>
      </c>
      <c r="E548" s="90" t="n">
        <v>780</v>
      </c>
      <c r="F548" s="90" t="n">
        <f aca="false">H548+I548+J548+K548+L548+M548</f>
        <v>0</v>
      </c>
      <c r="G548" s="90" t="n">
        <v>0.72</v>
      </c>
    </row>
    <row r="549" customFormat="false" ht="17.6" hidden="false" customHeight="false" outlineLevel="0" collapsed="false">
      <c r="A549" s="91" t="s">
        <v>678</v>
      </c>
      <c r="B549" s="90" t="s">
        <v>40</v>
      </c>
      <c r="C549" s="90" t="n">
        <f aca="false">ROUND(E549*G549+F549,0)</f>
        <v>562</v>
      </c>
      <c r="D549" s="90" t="s">
        <v>238</v>
      </c>
      <c r="E549" s="90" t="n">
        <v>780</v>
      </c>
      <c r="F549" s="90" t="n">
        <f aca="false">H549+I549+J549+K549+L549+M549</f>
        <v>0</v>
      </c>
      <c r="G549" s="90" t="n">
        <v>0.72</v>
      </c>
    </row>
    <row r="550" customFormat="false" ht="17.6" hidden="false" customHeight="false" outlineLevel="0" collapsed="false">
      <c r="A550" s="91" t="s">
        <v>679</v>
      </c>
      <c r="B550" s="90" t="s">
        <v>40</v>
      </c>
      <c r="C550" s="90" t="n">
        <f aca="false">ROUND(E550*G550+F550,0)</f>
        <v>592</v>
      </c>
      <c r="D550" s="90" t="s">
        <v>238</v>
      </c>
      <c r="E550" s="90" t="n">
        <v>780</v>
      </c>
      <c r="F550" s="90" t="n">
        <f aca="false">H550+I550+J550+K550+L550+M550</f>
        <v>30</v>
      </c>
      <c r="G550" s="90" t="n">
        <v>0.72</v>
      </c>
      <c r="L550" s="90" t="n">
        <v>30</v>
      </c>
    </row>
    <row r="551" customFormat="false" ht="17.6" hidden="false" customHeight="false" outlineLevel="0" collapsed="false">
      <c r="A551" s="91" t="s">
        <v>680</v>
      </c>
      <c r="B551" s="90" t="s">
        <v>40</v>
      </c>
      <c r="C551" s="90" t="n">
        <f aca="false">ROUND(E551*G551+F551,0)</f>
        <v>594</v>
      </c>
      <c r="D551" s="90" t="s">
        <v>238</v>
      </c>
      <c r="E551" s="90" t="n">
        <v>780</v>
      </c>
      <c r="F551" s="90" t="n">
        <f aca="false">H551+I551+J551+K551+L551+M551</f>
        <v>32</v>
      </c>
      <c r="G551" s="90" t="n">
        <v>0.72</v>
      </c>
      <c r="J551" s="90" t="n">
        <v>32</v>
      </c>
    </row>
    <row r="552" customFormat="false" ht="17.6" hidden="false" customHeight="false" outlineLevel="0" collapsed="false">
      <c r="A552" s="91" t="s">
        <v>681</v>
      </c>
      <c r="B552" s="90" t="s">
        <v>40</v>
      </c>
      <c r="C552" s="90" t="n">
        <f aca="false">ROUND(E552*G552+F552,0)</f>
        <v>799</v>
      </c>
      <c r="D552" s="90" t="s">
        <v>238</v>
      </c>
      <c r="E552" s="90" t="n">
        <v>780</v>
      </c>
      <c r="F552" s="90" t="n">
        <f aca="false">H552+I552+J552+K552+L552+M552</f>
        <v>237</v>
      </c>
      <c r="G552" s="90" t="n">
        <v>0.72</v>
      </c>
      <c r="J552" s="90" t="n">
        <v>32</v>
      </c>
      <c r="M552" s="90" t="n">
        <v>205</v>
      </c>
    </row>
    <row r="553" customFormat="false" ht="17.6" hidden="false" customHeight="false" outlineLevel="0" collapsed="false">
      <c r="A553" s="91" t="s">
        <v>682</v>
      </c>
      <c r="B553" s="90" t="s">
        <v>40</v>
      </c>
      <c r="C553" s="90" t="n">
        <f aca="false">ROUND(E553*G553+F553,0)</f>
        <v>592</v>
      </c>
      <c r="D553" s="90" t="s">
        <v>238</v>
      </c>
      <c r="E553" s="90" t="n">
        <v>780</v>
      </c>
      <c r="F553" s="90" t="n">
        <f aca="false">H553+I553+J553+K553+L553+M553</f>
        <v>30</v>
      </c>
      <c r="G553" s="90" t="n">
        <v>0.72</v>
      </c>
      <c r="K553" s="90" t="n">
        <v>30</v>
      </c>
    </row>
    <row r="554" customFormat="false" ht="17.6" hidden="false" customHeight="false" outlineLevel="0" collapsed="false">
      <c r="A554" s="91" t="s">
        <v>683</v>
      </c>
      <c r="B554" s="90" t="s">
        <v>40</v>
      </c>
      <c r="C554" s="90" t="n">
        <f aca="false">ROUND(E554*G554+F554,0)</f>
        <v>592</v>
      </c>
      <c r="D554" s="90" t="s">
        <v>238</v>
      </c>
      <c r="E554" s="90" t="n">
        <v>780</v>
      </c>
      <c r="F554" s="90" t="n">
        <f aca="false">H554+I554+J554+K554+L554+M554</f>
        <v>30</v>
      </c>
      <c r="G554" s="90" t="n">
        <v>0.72</v>
      </c>
      <c r="K554" s="90" t="n">
        <v>30</v>
      </c>
    </row>
    <row r="555" customFormat="false" ht="17.6" hidden="false" customHeight="false" outlineLevel="0" collapsed="false">
      <c r="A555" s="91" t="s">
        <v>684</v>
      </c>
      <c r="B555" s="90" t="s">
        <v>40</v>
      </c>
      <c r="C555" s="90" t="n">
        <f aca="false">ROUND(E555*G555+F555,0)</f>
        <v>797</v>
      </c>
      <c r="D555" s="90" t="s">
        <v>238</v>
      </c>
      <c r="E555" s="90" t="n">
        <v>780</v>
      </c>
      <c r="F555" s="90" t="n">
        <f aca="false">H555+I555+J555+K555+L555+M555</f>
        <v>235</v>
      </c>
      <c r="G555" s="90" t="n">
        <v>0.72</v>
      </c>
      <c r="K555" s="90" t="n">
        <v>30</v>
      </c>
      <c r="M555" s="90" t="n">
        <v>205</v>
      </c>
    </row>
    <row r="556" customFormat="false" ht="17.6" hidden="false" customHeight="false" outlineLevel="0" collapsed="false">
      <c r="A556" s="91" t="s">
        <v>685</v>
      </c>
      <c r="B556" s="90" t="s">
        <v>40</v>
      </c>
      <c r="C556" s="90" t="n">
        <f aca="false">ROUND(E556*G556+F556,0)</f>
        <v>767</v>
      </c>
      <c r="D556" s="90" t="s">
        <v>238</v>
      </c>
      <c r="E556" s="90" t="n">
        <v>780</v>
      </c>
      <c r="F556" s="90" t="n">
        <f aca="false">H556+I556+J556+K556+L556+M556</f>
        <v>205</v>
      </c>
      <c r="G556" s="90" t="n">
        <v>0.72</v>
      </c>
      <c r="M556" s="90" t="n">
        <v>205</v>
      </c>
    </row>
    <row r="557" customFormat="false" ht="17.6" hidden="false" customHeight="false" outlineLevel="0" collapsed="false">
      <c r="A557" s="91" t="s">
        <v>686</v>
      </c>
      <c r="B557" s="90" t="s">
        <v>40</v>
      </c>
      <c r="C557" s="90" t="n">
        <f aca="false">ROUND(E557*G557+F557,0)</f>
        <v>594</v>
      </c>
      <c r="D557" s="90" t="s">
        <v>238</v>
      </c>
      <c r="E557" s="90" t="n">
        <v>780</v>
      </c>
      <c r="F557" s="90" t="n">
        <f aca="false">H557+I557+J557+K557+L557+M557</f>
        <v>32</v>
      </c>
      <c r="G557" s="90" t="n">
        <v>0.72</v>
      </c>
      <c r="J557" s="90" t="n">
        <v>32</v>
      </c>
    </row>
    <row r="558" customFormat="false" ht="17.6" hidden="false" customHeight="false" outlineLevel="0" collapsed="false">
      <c r="A558" s="91" t="s">
        <v>687</v>
      </c>
      <c r="B558" s="90" t="s">
        <v>40</v>
      </c>
      <c r="C558" s="90" t="n">
        <f aca="false">ROUND(E558*G558+F558,0)</f>
        <v>594</v>
      </c>
      <c r="D558" s="90" t="s">
        <v>238</v>
      </c>
      <c r="E558" s="90" t="n">
        <v>780</v>
      </c>
      <c r="F558" s="90" t="n">
        <f aca="false">H558+I558+J558+K558+L558+M558</f>
        <v>32</v>
      </c>
      <c r="G558" s="90" t="n">
        <v>0.72</v>
      </c>
      <c r="J558" s="90" t="n">
        <v>32</v>
      </c>
    </row>
    <row r="559" customFormat="false" ht="17.6" hidden="false" customHeight="false" outlineLevel="0" collapsed="false">
      <c r="A559" s="91" t="s">
        <v>688</v>
      </c>
      <c r="B559" s="90" t="s">
        <v>40</v>
      </c>
      <c r="C559" s="90" t="n">
        <f aca="false">ROUND(E559*G559+F559,0)</f>
        <v>799</v>
      </c>
      <c r="D559" s="90" t="s">
        <v>238</v>
      </c>
      <c r="E559" s="90" t="n">
        <v>780</v>
      </c>
      <c r="F559" s="90" t="n">
        <f aca="false">H559+I559+J559+K559+L559+M559</f>
        <v>237</v>
      </c>
      <c r="G559" s="90" t="n">
        <v>0.72</v>
      </c>
      <c r="J559" s="90" t="n">
        <v>32</v>
      </c>
      <c r="M559" s="90" t="n">
        <v>205</v>
      </c>
    </row>
    <row r="560" customFormat="false" ht="17.6" hidden="false" customHeight="false" outlineLevel="0" collapsed="false">
      <c r="A560" s="91" t="s">
        <v>689</v>
      </c>
      <c r="B560" s="90" t="s">
        <v>40</v>
      </c>
      <c r="C560" s="90" t="n">
        <f aca="false">ROUND(E560*G560+F560,0)</f>
        <v>664</v>
      </c>
      <c r="D560" s="90" t="s">
        <v>238</v>
      </c>
      <c r="E560" s="90" t="n">
        <v>780</v>
      </c>
      <c r="F560" s="90" t="n">
        <f aca="false">H560+I560+J560+K560+L560+M560</f>
        <v>102</v>
      </c>
      <c r="G560" s="90" t="n">
        <v>0.72</v>
      </c>
      <c r="I560" s="90" t="n">
        <v>70</v>
      </c>
      <c r="J560" s="90" t="n">
        <v>32</v>
      </c>
    </row>
    <row r="561" customFormat="false" ht="17.6" hidden="false" customHeight="false" outlineLevel="0" collapsed="false">
      <c r="A561" s="91" t="s">
        <v>690</v>
      </c>
      <c r="B561" s="90" t="s">
        <v>40</v>
      </c>
      <c r="C561" s="90" t="n">
        <f aca="false">ROUND(E561*G561+F561,0)</f>
        <v>664</v>
      </c>
      <c r="D561" s="90" t="s">
        <v>238</v>
      </c>
      <c r="E561" s="90" t="n">
        <v>780</v>
      </c>
      <c r="F561" s="90" t="n">
        <f aca="false">H561+I561+J561+K561+L561+M561</f>
        <v>102</v>
      </c>
      <c r="G561" s="90" t="n">
        <v>0.72</v>
      </c>
      <c r="I561" s="90" t="n">
        <v>70</v>
      </c>
      <c r="J561" s="90" t="n">
        <v>32</v>
      </c>
    </row>
    <row r="562" customFormat="false" ht="17.6" hidden="false" customHeight="false" outlineLevel="0" collapsed="false">
      <c r="A562" s="91" t="s">
        <v>691</v>
      </c>
      <c r="B562" s="90" t="s">
        <v>40</v>
      </c>
      <c r="C562" s="90" t="n">
        <f aca="false">ROUND(E562*G562+F562,0)</f>
        <v>869</v>
      </c>
      <c r="D562" s="90" t="s">
        <v>238</v>
      </c>
      <c r="E562" s="90" t="n">
        <v>780</v>
      </c>
      <c r="F562" s="90" t="n">
        <f aca="false">H562+I562+J562+K562+L562+M562</f>
        <v>307</v>
      </c>
      <c r="G562" s="90" t="n">
        <v>0.72</v>
      </c>
      <c r="I562" s="90" t="n">
        <v>70</v>
      </c>
      <c r="J562" s="90" t="n">
        <v>32</v>
      </c>
      <c r="M562" s="90" t="n">
        <v>205</v>
      </c>
    </row>
    <row r="563" customFormat="false" ht="17.6" hidden="false" customHeight="false" outlineLevel="0" collapsed="false">
      <c r="A563" s="91" t="s">
        <v>692</v>
      </c>
      <c r="B563" s="90" t="s">
        <v>40</v>
      </c>
      <c r="C563" s="90" t="n">
        <f aca="false">ROUND(E563*G563+F563,0)</f>
        <v>971</v>
      </c>
      <c r="D563" s="90" t="s">
        <v>238</v>
      </c>
      <c r="E563" s="90" t="n">
        <v>1300</v>
      </c>
      <c r="F563" s="90" t="n">
        <f aca="false">H563+I563+J563+K563+L563+M563</f>
        <v>35</v>
      </c>
      <c r="G563" s="90" t="n">
        <v>0.72</v>
      </c>
      <c r="H563" s="90" t="n">
        <v>35</v>
      </c>
    </row>
    <row r="564" customFormat="false" ht="17.6" hidden="false" customHeight="false" outlineLevel="0" collapsed="false">
      <c r="A564" s="91" t="s">
        <v>693</v>
      </c>
      <c r="B564" s="90" t="s">
        <v>40</v>
      </c>
      <c r="C564" s="90" t="n">
        <f aca="false">ROUND(E564*G564+F564,0)</f>
        <v>936</v>
      </c>
      <c r="D564" s="90" t="s">
        <v>238</v>
      </c>
      <c r="E564" s="90" t="n">
        <v>1300</v>
      </c>
      <c r="F564" s="90" t="n">
        <f aca="false">H564+I564+J564+K564+L564+M564</f>
        <v>0</v>
      </c>
      <c r="G564" s="90" t="n">
        <v>0.72</v>
      </c>
    </row>
    <row r="565" customFormat="false" ht="17.6" hidden="false" customHeight="false" outlineLevel="0" collapsed="false">
      <c r="A565" s="91" t="s">
        <v>694</v>
      </c>
      <c r="B565" s="90" t="s">
        <v>40</v>
      </c>
      <c r="C565" s="90" t="n">
        <f aca="false">ROUND(E565*G565+F565,0)</f>
        <v>1001</v>
      </c>
      <c r="D565" s="90" t="s">
        <v>238</v>
      </c>
      <c r="E565" s="90" t="n">
        <v>1300</v>
      </c>
      <c r="F565" s="90" t="n">
        <f aca="false">H565+I565+J565+K565+L565+M565</f>
        <v>65</v>
      </c>
      <c r="G565" s="90" t="n">
        <v>0.72</v>
      </c>
      <c r="H565" s="90" t="n">
        <v>35</v>
      </c>
      <c r="L565" s="90" t="n">
        <v>30</v>
      </c>
    </row>
    <row r="566" customFormat="false" ht="17.6" hidden="false" customHeight="false" outlineLevel="0" collapsed="false">
      <c r="A566" s="91" t="s">
        <v>695</v>
      </c>
      <c r="B566" s="90" t="s">
        <v>40</v>
      </c>
      <c r="C566" s="90" t="n">
        <f aca="false">ROUND(E566*G566+F566,0)</f>
        <v>972</v>
      </c>
      <c r="D566" s="90" t="s">
        <v>238</v>
      </c>
      <c r="E566" s="90" t="n">
        <v>1300</v>
      </c>
      <c r="F566" s="90" t="n">
        <f aca="false">H566+I566+J566+K566+L566+M566</f>
        <v>36</v>
      </c>
      <c r="G566" s="90" t="n">
        <v>0.72</v>
      </c>
      <c r="J566" s="90" t="n">
        <v>36</v>
      </c>
    </row>
    <row r="567" customFormat="false" ht="17.6" hidden="false" customHeight="false" outlineLevel="0" collapsed="false">
      <c r="A567" s="91" t="s">
        <v>696</v>
      </c>
      <c r="B567" s="90" t="s">
        <v>40</v>
      </c>
      <c r="C567" s="90" t="n">
        <f aca="false">ROUND(E567*G567+F567,0)</f>
        <v>1212</v>
      </c>
      <c r="D567" s="90" t="s">
        <v>238</v>
      </c>
      <c r="E567" s="90" t="n">
        <v>1300</v>
      </c>
      <c r="F567" s="90" t="n">
        <f aca="false">H567+I567+J567+K567+L567+M567</f>
        <v>276</v>
      </c>
      <c r="G567" s="90" t="n">
        <v>0.72</v>
      </c>
      <c r="J567" s="90" t="n">
        <v>36</v>
      </c>
      <c r="M567" s="90" t="n">
        <v>240</v>
      </c>
    </row>
    <row r="568" customFormat="false" ht="17.6" hidden="false" customHeight="false" outlineLevel="0" collapsed="false">
      <c r="A568" s="91" t="s">
        <v>697</v>
      </c>
      <c r="B568" s="90" t="s">
        <v>40</v>
      </c>
      <c r="C568" s="90" t="n">
        <f aca="false">ROUND(E568*G568+F568,0)</f>
        <v>1003</v>
      </c>
      <c r="D568" s="90" t="s">
        <v>238</v>
      </c>
      <c r="E568" s="90" t="n">
        <v>1300</v>
      </c>
      <c r="F568" s="90" t="n">
        <f aca="false">H568+I568+J568+K568+L568+M568</f>
        <v>67</v>
      </c>
      <c r="G568" s="90" t="n">
        <v>0.72</v>
      </c>
      <c r="H568" s="90" t="n">
        <v>35</v>
      </c>
      <c r="K568" s="90" t="n">
        <v>32</v>
      </c>
    </row>
    <row r="569" customFormat="false" ht="17.6" hidden="false" customHeight="false" outlineLevel="0" collapsed="false">
      <c r="A569" s="91" t="s">
        <v>698</v>
      </c>
      <c r="B569" s="90" t="s">
        <v>40</v>
      </c>
      <c r="C569" s="90" t="n">
        <f aca="false">ROUND(E569*G569+F569,0)</f>
        <v>968</v>
      </c>
      <c r="D569" s="90" t="s">
        <v>238</v>
      </c>
      <c r="E569" s="90" t="n">
        <v>1300</v>
      </c>
      <c r="F569" s="90" t="n">
        <f aca="false">H569+I569+J569+K569+L569+M569</f>
        <v>32</v>
      </c>
      <c r="G569" s="90" t="n">
        <v>0.72</v>
      </c>
      <c r="K569" s="90" t="n">
        <v>32</v>
      </c>
    </row>
    <row r="570" customFormat="false" ht="17.6" hidden="false" customHeight="false" outlineLevel="0" collapsed="false">
      <c r="A570" s="91" t="s">
        <v>699</v>
      </c>
      <c r="B570" s="90" t="s">
        <v>40</v>
      </c>
      <c r="C570" s="90" t="n">
        <f aca="false">ROUND(E570*G570+F570,0)</f>
        <v>1208</v>
      </c>
      <c r="D570" s="90" t="s">
        <v>238</v>
      </c>
      <c r="E570" s="90" t="n">
        <v>1300</v>
      </c>
      <c r="F570" s="90" t="n">
        <f aca="false">H570+I570+J570+K570+L570+M570</f>
        <v>272</v>
      </c>
      <c r="G570" s="90" t="n">
        <v>0.72</v>
      </c>
      <c r="K570" s="90" t="n">
        <v>32</v>
      </c>
      <c r="M570" s="90" t="n">
        <v>240</v>
      </c>
    </row>
    <row r="571" customFormat="false" ht="17.6" hidden="false" customHeight="false" outlineLevel="0" collapsed="false">
      <c r="A571" s="91" t="s">
        <v>700</v>
      </c>
      <c r="B571" s="90" t="s">
        <v>40</v>
      </c>
      <c r="C571" s="90" t="n">
        <f aca="false">ROUND(E571*G571+F571,0)</f>
        <v>1176</v>
      </c>
      <c r="D571" s="90" t="s">
        <v>238</v>
      </c>
      <c r="E571" s="90" t="n">
        <v>1300</v>
      </c>
      <c r="F571" s="90" t="n">
        <f aca="false">H571+I571+J571+K571+L571+M571</f>
        <v>240</v>
      </c>
      <c r="G571" s="90" t="n">
        <v>0.72</v>
      </c>
      <c r="M571" s="90" t="n">
        <v>240</v>
      </c>
    </row>
    <row r="572" customFormat="false" ht="17.6" hidden="false" customHeight="false" outlineLevel="0" collapsed="false">
      <c r="A572" s="91" t="s">
        <v>701</v>
      </c>
      <c r="B572" s="90" t="s">
        <v>40</v>
      </c>
      <c r="C572" s="90" t="n">
        <f aca="false">ROUND(E572*G572+F572,0)</f>
        <v>1007</v>
      </c>
      <c r="D572" s="90" t="s">
        <v>238</v>
      </c>
      <c r="E572" s="90" t="n">
        <v>1300</v>
      </c>
      <c r="F572" s="90" t="n">
        <f aca="false">H572+I572+J572+K572+L572+M572</f>
        <v>71</v>
      </c>
      <c r="G572" s="90" t="n">
        <v>0.72</v>
      </c>
      <c r="H572" s="90" t="n">
        <v>35</v>
      </c>
      <c r="J572" s="90" t="n">
        <v>36</v>
      </c>
    </row>
    <row r="573" customFormat="false" ht="17.6" hidden="false" customHeight="false" outlineLevel="0" collapsed="false">
      <c r="A573" s="91" t="s">
        <v>702</v>
      </c>
      <c r="B573" s="90" t="s">
        <v>40</v>
      </c>
      <c r="C573" s="90" t="n">
        <f aca="false">ROUND(E573*G573+F573,0)</f>
        <v>972</v>
      </c>
      <c r="D573" s="90" t="s">
        <v>238</v>
      </c>
      <c r="E573" s="90" t="n">
        <v>1300</v>
      </c>
      <c r="F573" s="90" t="n">
        <f aca="false">H573+I573+J573+K573+L573+M573</f>
        <v>36</v>
      </c>
      <c r="G573" s="90" t="n">
        <v>0.72</v>
      </c>
      <c r="J573" s="90" t="n">
        <v>36</v>
      </c>
    </row>
    <row r="574" customFormat="false" ht="17.6" hidden="false" customHeight="false" outlineLevel="0" collapsed="false">
      <c r="A574" s="91" t="s">
        <v>703</v>
      </c>
      <c r="B574" s="90" t="s">
        <v>40</v>
      </c>
      <c r="C574" s="90" t="n">
        <f aca="false">ROUND(E574*G574+F574,0)</f>
        <v>1212</v>
      </c>
      <c r="D574" s="90" t="s">
        <v>238</v>
      </c>
      <c r="E574" s="90" t="n">
        <v>1300</v>
      </c>
      <c r="F574" s="90" t="n">
        <f aca="false">H574+I574+J574+K574+L574+M574</f>
        <v>276</v>
      </c>
      <c r="G574" s="90" t="n">
        <v>0.72</v>
      </c>
      <c r="J574" s="90" t="n">
        <v>36</v>
      </c>
      <c r="M574" s="90" t="n">
        <v>240</v>
      </c>
    </row>
    <row r="575" customFormat="false" ht="17.6" hidden="false" customHeight="false" outlineLevel="0" collapsed="false">
      <c r="A575" s="91" t="s">
        <v>704</v>
      </c>
      <c r="B575" s="90" t="s">
        <v>40</v>
      </c>
      <c r="C575" s="90" t="n">
        <f aca="false">ROUND(E575*G575+F575,0)</f>
        <v>1087</v>
      </c>
      <c r="D575" s="90" t="s">
        <v>238</v>
      </c>
      <c r="E575" s="90" t="n">
        <v>1300</v>
      </c>
      <c r="F575" s="90" t="n">
        <f aca="false">H575+I575+J575+K575+L575+M575</f>
        <v>151</v>
      </c>
      <c r="G575" s="90" t="n">
        <v>0.72</v>
      </c>
      <c r="H575" s="90" t="n">
        <v>35</v>
      </c>
      <c r="I575" s="90" t="n">
        <v>80</v>
      </c>
      <c r="J575" s="90" t="n">
        <v>36</v>
      </c>
    </row>
    <row r="576" customFormat="false" ht="17.6" hidden="false" customHeight="false" outlineLevel="0" collapsed="false">
      <c r="A576" s="91" t="s">
        <v>705</v>
      </c>
      <c r="B576" s="90" t="s">
        <v>40</v>
      </c>
      <c r="C576" s="90" t="n">
        <f aca="false">ROUND(E576*G576+F576,0)</f>
        <v>1052</v>
      </c>
      <c r="D576" s="90" t="s">
        <v>238</v>
      </c>
      <c r="E576" s="90" t="n">
        <v>1300</v>
      </c>
      <c r="F576" s="90" t="n">
        <f aca="false">H576+I576+J576+K576+L576+M576</f>
        <v>116</v>
      </c>
      <c r="G576" s="90" t="n">
        <v>0.72</v>
      </c>
      <c r="I576" s="90" t="n">
        <v>80</v>
      </c>
      <c r="J576" s="90" t="n">
        <v>36</v>
      </c>
    </row>
    <row r="577" customFormat="false" ht="17.6" hidden="false" customHeight="false" outlineLevel="0" collapsed="false">
      <c r="A577" s="91" t="s">
        <v>706</v>
      </c>
      <c r="B577" s="90" t="s">
        <v>40</v>
      </c>
      <c r="C577" s="90" t="n">
        <f aca="false">ROUND(E577*G577+F577,0)</f>
        <v>1292</v>
      </c>
      <c r="D577" s="90" t="s">
        <v>238</v>
      </c>
      <c r="E577" s="90" t="n">
        <v>1300</v>
      </c>
      <c r="F577" s="90" t="n">
        <f aca="false">H577+I577+J577+K577+L577+M577</f>
        <v>356</v>
      </c>
      <c r="G577" s="90" t="n">
        <v>0.72</v>
      </c>
      <c r="I577" s="90" t="n">
        <v>80</v>
      </c>
      <c r="J577" s="90" t="n">
        <v>36</v>
      </c>
      <c r="M577" s="90" t="n">
        <v>240</v>
      </c>
    </row>
    <row r="578" customFormat="false" ht="17.6" hidden="false" customHeight="false" outlineLevel="0" collapsed="false">
      <c r="A578" s="91" t="s">
        <v>707</v>
      </c>
      <c r="B578" s="90" t="s">
        <v>40</v>
      </c>
      <c r="C578" s="90" t="n">
        <f aca="false">ROUND(E578*G578+F578,0)</f>
        <v>784</v>
      </c>
      <c r="D578" s="90" t="s">
        <v>238</v>
      </c>
      <c r="E578" s="90" t="n">
        <v>1040</v>
      </c>
      <c r="F578" s="90" t="n">
        <f aca="false">H578+I578+J578+K578+L578+M578</f>
        <v>35</v>
      </c>
      <c r="G578" s="90" t="n">
        <v>0.72</v>
      </c>
      <c r="H578" s="90" t="n">
        <v>35</v>
      </c>
    </row>
    <row r="579" customFormat="false" ht="17.6" hidden="false" customHeight="false" outlineLevel="0" collapsed="false">
      <c r="A579" s="91" t="s">
        <v>708</v>
      </c>
      <c r="B579" s="90" t="s">
        <v>40</v>
      </c>
      <c r="C579" s="90" t="n">
        <f aca="false">ROUND(E579*G579+F579,0)</f>
        <v>749</v>
      </c>
      <c r="D579" s="90" t="s">
        <v>238</v>
      </c>
      <c r="E579" s="90" t="n">
        <v>1040</v>
      </c>
      <c r="F579" s="90" t="n">
        <f aca="false">H579+I579+J579+K579+L579+M579</f>
        <v>0</v>
      </c>
      <c r="G579" s="90" t="n">
        <v>0.72</v>
      </c>
    </row>
    <row r="580" customFormat="false" ht="17.6" hidden="false" customHeight="false" outlineLevel="0" collapsed="false">
      <c r="A580" s="91" t="s">
        <v>709</v>
      </c>
      <c r="B580" s="90" t="s">
        <v>40</v>
      </c>
      <c r="C580" s="90" t="n">
        <f aca="false">ROUND(E580*G580+F580,0)</f>
        <v>814</v>
      </c>
      <c r="D580" s="90" t="s">
        <v>238</v>
      </c>
      <c r="E580" s="90" t="n">
        <v>1040</v>
      </c>
      <c r="F580" s="90" t="n">
        <f aca="false">H580+I580+J580+K580+L580+M580</f>
        <v>65</v>
      </c>
      <c r="G580" s="90" t="n">
        <v>0.72</v>
      </c>
      <c r="H580" s="90" t="n">
        <v>35</v>
      </c>
      <c r="L580" s="90" t="n">
        <v>30</v>
      </c>
    </row>
    <row r="581" customFormat="false" ht="17.6" hidden="false" customHeight="false" outlineLevel="0" collapsed="false">
      <c r="A581" s="91" t="s">
        <v>710</v>
      </c>
      <c r="B581" s="90" t="s">
        <v>40</v>
      </c>
      <c r="C581" s="90" t="n">
        <f aca="false">ROUND(E581*G581+F581,0)</f>
        <v>785</v>
      </c>
      <c r="D581" s="90" t="s">
        <v>238</v>
      </c>
      <c r="E581" s="90" t="n">
        <v>1040</v>
      </c>
      <c r="F581" s="90" t="n">
        <f aca="false">H581+I581+J581+K581+L581+M581</f>
        <v>36</v>
      </c>
      <c r="G581" s="90" t="n">
        <v>0.72</v>
      </c>
      <c r="J581" s="90" t="n">
        <v>36</v>
      </c>
    </row>
    <row r="582" customFormat="false" ht="17.6" hidden="false" customHeight="false" outlineLevel="0" collapsed="false">
      <c r="A582" s="91" t="s">
        <v>711</v>
      </c>
      <c r="B582" s="90" t="s">
        <v>40</v>
      </c>
      <c r="C582" s="90" t="n">
        <f aca="false">ROUND(E582*G582+F582,0)</f>
        <v>1025</v>
      </c>
      <c r="D582" s="90" t="s">
        <v>238</v>
      </c>
      <c r="E582" s="90" t="n">
        <v>1040</v>
      </c>
      <c r="F582" s="90" t="n">
        <f aca="false">H582+I582+J582+K582+L582+M582</f>
        <v>276</v>
      </c>
      <c r="G582" s="90" t="n">
        <v>0.72</v>
      </c>
      <c r="J582" s="90" t="n">
        <v>36</v>
      </c>
      <c r="M582" s="90" t="n">
        <v>240</v>
      </c>
    </row>
    <row r="583" customFormat="false" ht="17.6" hidden="false" customHeight="false" outlineLevel="0" collapsed="false">
      <c r="A583" s="91" t="s">
        <v>712</v>
      </c>
      <c r="B583" s="90" t="s">
        <v>40</v>
      </c>
      <c r="C583" s="90" t="n">
        <f aca="false">ROUND(E583*G583+F583,0)</f>
        <v>816</v>
      </c>
      <c r="D583" s="90" t="s">
        <v>238</v>
      </c>
      <c r="E583" s="90" t="n">
        <v>1040</v>
      </c>
      <c r="F583" s="90" t="n">
        <f aca="false">H583+I583+J583+K583+L583+M583</f>
        <v>67</v>
      </c>
      <c r="G583" s="90" t="n">
        <v>0.72</v>
      </c>
      <c r="H583" s="90" t="n">
        <v>35</v>
      </c>
      <c r="K583" s="90" t="n">
        <v>32</v>
      </c>
    </row>
    <row r="584" customFormat="false" ht="17.6" hidden="false" customHeight="false" outlineLevel="0" collapsed="false">
      <c r="A584" s="91" t="s">
        <v>713</v>
      </c>
      <c r="B584" s="90" t="s">
        <v>40</v>
      </c>
      <c r="C584" s="90" t="n">
        <f aca="false">ROUND(E584*G584+F584,0)</f>
        <v>781</v>
      </c>
      <c r="D584" s="90" t="s">
        <v>238</v>
      </c>
      <c r="E584" s="90" t="n">
        <v>1040</v>
      </c>
      <c r="F584" s="90" t="n">
        <f aca="false">H584+I584+J584+K584+L584+M584</f>
        <v>32</v>
      </c>
      <c r="G584" s="90" t="n">
        <v>0.72</v>
      </c>
      <c r="K584" s="90" t="n">
        <v>32</v>
      </c>
    </row>
    <row r="585" customFormat="false" ht="17.6" hidden="false" customHeight="false" outlineLevel="0" collapsed="false">
      <c r="A585" s="91" t="s">
        <v>714</v>
      </c>
      <c r="B585" s="90" t="s">
        <v>40</v>
      </c>
      <c r="C585" s="90" t="n">
        <f aca="false">ROUND(E585*G585+F585,0)</f>
        <v>1021</v>
      </c>
      <c r="D585" s="90" t="s">
        <v>238</v>
      </c>
      <c r="E585" s="90" t="n">
        <v>1040</v>
      </c>
      <c r="F585" s="90" t="n">
        <f aca="false">H585+I585+J585+K585+L585+M585</f>
        <v>272</v>
      </c>
      <c r="G585" s="90" t="n">
        <v>0.72</v>
      </c>
      <c r="K585" s="90" t="n">
        <v>32</v>
      </c>
      <c r="M585" s="90" t="n">
        <v>240</v>
      </c>
    </row>
    <row r="586" customFormat="false" ht="17.6" hidden="false" customHeight="false" outlineLevel="0" collapsed="false">
      <c r="A586" s="91" t="s">
        <v>715</v>
      </c>
      <c r="B586" s="90" t="s">
        <v>40</v>
      </c>
      <c r="C586" s="90" t="n">
        <f aca="false">ROUND(E586*G586+F586,0)</f>
        <v>989</v>
      </c>
      <c r="D586" s="90" t="s">
        <v>238</v>
      </c>
      <c r="E586" s="90" t="n">
        <v>1040</v>
      </c>
      <c r="F586" s="90" t="n">
        <f aca="false">H586+I586+J586+K586+L586+M586</f>
        <v>240</v>
      </c>
      <c r="G586" s="90" t="n">
        <v>0.72</v>
      </c>
      <c r="M586" s="90" t="n">
        <v>240</v>
      </c>
    </row>
    <row r="587" customFormat="false" ht="17.6" hidden="false" customHeight="false" outlineLevel="0" collapsed="false">
      <c r="A587" s="91" t="s">
        <v>716</v>
      </c>
      <c r="B587" s="90" t="s">
        <v>40</v>
      </c>
      <c r="C587" s="90" t="n">
        <f aca="false">ROUND(E587*G587+F587,0)</f>
        <v>820</v>
      </c>
      <c r="D587" s="90" t="s">
        <v>238</v>
      </c>
      <c r="E587" s="90" t="n">
        <v>1040</v>
      </c>
      <c r="F587" s="90" t="n">
        <f aca="false">H587+I587+J587+K587+L587+M587</f>
        <v>71</v>
      </c>
      <c r="G587" s="90" t="n">
        <v>0.72</v>
      </c>
      <c r="H587" s="90" t="n">
        <v>35</v>
      </c>
      <c r="J587" s="90" t="n">
        <v>36</v>
      </c>
    </row>
    <row r="588" customFormat="false" ht="17.6" hidden="false" customHeight="false" outlineLevel="0" collapsed="false">
      <c r="A588" s="91" t="s">
        <v>717</v>
      </c>
      <c r="B588" s="90" t="s">
        <v>40</v>
      </c>
      <c r="C588" s="90" t="n">
        <f aca="false">ROUND(E588*G588+F588,0)</f>
        <v>785</v>
      </c>
      <c r="D588" s="90" t="s">
        <v>238</v>
      </c>
      <c r="E588" s="90" t="n">
        <v>1040</v>
      </c>
      <c r="F588" s="90" t="n">
        <f aca="false">H588+I588+J588+K588+L588+M588</f>
        <v>36</v>
      </c>
      <c r="G588" s="90" t="n">
        <v>0.72</v>
      </c>
      <c r="J588" s="90" t="n">
        <v>36</v>
      </c>
    </row>
    <row r="589" customFormat="false" ht="17.6" hidden="false" customHeight="false" outlineLevel="0" collapsed="false">
      <c r="A589" s="91" t="s">
        <v>718</v>
      </c>
      <c r="B589" s="90" t="s">
        <v>40</v>
      </c>
      <c r="C589" s="90" t="n">
        <f aca="false">ROUND(E589*G589+F589,0)</f>
        <v>1025</v>
      </c>
      <c r="D589" s="90" t="s">
        <v>238</v>
      </c>
      <c r="E589" s="90" t="n">
        <v>1040</v>
      </c>
      <c r="F589" s="90" t="n">
        <f aca="false">H589+I589+J589+K589+L589+M589</f>
        <v>276</v>
      </c>
      <c r="G589" s="90" t="n">
        <v>0.72</v>
      </c>
      <c r="J589" s="90" t="n">
        <v>36</v>
      </c>
      <c r="M589" s="90" t="n">
        <v>240</v>
      </c>
    </row>
    <row r="590" customFormat="false" ht="17.6" hidden="false" customHeight="false" outlineLevel="0" collapsed="false">
      <c r="A590" s="91" t="s">
        <v>719</v>
      </c>
      <c r="B590" s="90" t="s">
        <v>40</v>
      </c>
      <c r="C590" s="90" t="n">
        <f aca="false">ROUND(E590*G590+F590,0)</f>
        <v>900</v>
      </c>
      <c r="D590" s="90" t="s">
        <v>238</v>
      </c>
      <c r="E590" s="90" t="n">
        <v>1040</v>
      </c>
      <c r="F590" s="90" t="n">
        <f aca="false">H590+I590+J590+K590+L590+M590</f>
        <v>151</v>
      </c>
      <c r="G590" s="90" t="n">
        <v>0.72</v>
      </c>
      <c r="H590" s="90" t="n">
        <v>35</v>
      </c>
      <c r="I590" s="90" t="n">
        <v>80</v>
      </c>
      <c r="J590" s="90" t="n">
        <v>36</v>
      </c>
    </row>
    <row r="591" customFormat="false" ht="17.6" hidden="false" customHeight="false" outlineLevel="0" collapsed="false">
      <c r="A591" s="91" t="s">
        <v>720</v>
      </c>
      <c r="B591" s="90" t="s">
        <v>40</v>
      </c>
      <c r="C591" s="90" t="n">
        <f aca="false">ROUND(E591*G591+F591,0)</f>
        <v>865</v>
      </c>
      <c r="D591" s="90" t="s">
        <v>238</v>
      </c>
      <c r="E591" s="90" t="n">
        <v>1040</v>
      </c>
      <c r="F591" s="90" t="n">
        <f aca="false">H591+I591+J591+K591+L591+M591</f>
        <v>116</v>
      </c>
      <c r="G591" s="90" t="n">
        <v>0.72</v>
      </c>
      <c r="I591" s="90" t="n">
        <v>80</v>
      </c>
      <c r="J591" s="90" t="n">
        <v>36</v>
      </c>
    </row>
    <row r="592" customFormat="false" ht="17.6" hidden="false" customHeight="false" outlineLevel="0" collapsed="false">
      <c r="A592" s="91" t="s">
        <v>721</v>
      </c>
      <c r="B592" s="90" t="s">
        <v>40</v>
      </c>
      <c r="C592" s="90" t="n">
        <f aca="false">ROUND(E592*G592+F592,0)</f>
        <v>1105</v>
      </c>
      <c r="D592" s="90" t="s">
        <v>238</v>
      </c>
      <c r="E592" s="90" t="n">
        <v>1040</v>
      </c>
      <c r="F592" s="90" t="n">
        <f aca="false">H592+I592+J592+K592+L592+M592</f>
        <v>356</v>
      </c>
      <c r="G592" s="90" t="n">
        <v>0.72</v>
      </c>
      <c r="I592" s="90" t="n">
        <v>80</v>
      </c>
      <c r="J592" s="90" t="n">
        <v>36</v>
      </c>
      <c r="M592" s="90" t="n">
        <v>240</v>
      </c>
    </row>
    <row r="593" customFormat="false" ht="17.6" hidden="false" customHeight="false" outlineLevel="0" collapsed="false">
      <c r="A593" s="91" t="s">
        <v>722</v>
      </c>
      <c r="B593" s="90" t="s">
        <v>40</v>
      </c>
      <c r="C593" s="90" t="n">
        <f aca="false">ROUND(E593*G593+F593,0)</f>
        <v>863</v>
      </c>
      <c r="D593" s="90" t="s">
        <v>238</v>
      </c>
      <c r="E593" s="90" t="n">
        <v>1150</v>
      </c>
      <c r="F593" s="90" t="n">
        <f aca="false">H593+I593+J593+K593+L593+M593</f>
        <v>35</v>
      </c>
      <c r="G593" s="90" t="n">
        <v>0.72</v>
      </c>
      <c r="H593" s="90" t="n">
        <v>35</v>
      </c>
    </row>
    <row r="594" customFormat="false" ht="17.6" hidden="false" customHeight="false" outlineLevel="0" collapsed="false">
      <c r="A594" s="91" t="s">
        <v>723</v>
      </c>
      <c r="B594" s="90" t="s">
        <v>40</v>
      </c>
      <c r="C594" s="90" t="n">
        <f aca="false">ROUND(E594*G594+F594,0)</f>
        <v>828</v>
      </c>
      <c r="D594" s="90" t="s">
        <v>238</v>
      </c>
      <c r="E594" s="90" t="n">
        <v>1150</v>
      </c>
      <c r="F594" s="90" t="n">
        <f aca="false">H594+I594+J594+K594+L594+M594</f>
        <v>0</v>
      </c>
      <c r="G594" s="90" t="n">
        <v>0.72</v>
      </c>
    </row>
    <row r="595" customFormat="false" ht="17.6" hidden="false" customHeight="false" outlineLevel="0" collapsed="false">
      <c r="A595" s="91" t="s">
        <v>724</v>
      </c>
      <c r="B595" s="90" t="s">
        <v>40</v>
      </c>
      <c r="C595" s="90" t="n">
        <f aca="false">ROUND(E595*G595+F595,0)</f>
        <v>893</v>
      </c>
      <c r="D595" s="90" t="s">
        <v>238</v>
      </c>
      <c r="E595" s="90" t="n">
        <v>1150</v>
      </c>
      <c r="F595" s="90" t="n">
        <f aca="false">H595+I595+J595+K595+L595+M595</f>
        <v>65</v>
      </c>
      <c r="G595" s="90" t="n">
        <v>0.72</v>
      </c>
      <c r="H595" s="90" t="n">
        <v>35</v>
      </c>
      <c r="L595" s="90" t="n">
        <v>30</v>
      </c>
    </row>
    <row r="596" customFormat="false" ht="17.6" hidden="false" customHeight="false" outlineLevel="0" collapsed="false">
      <c r="A596" s="91" t="s">
        <v>725</v>
      </c>
      <c r="B596" s="90" t="s">
        <v>40</v>
      </c>
      <c r="C596" s="90" t="n">
        <f aca="false">ROUND(E596*G596+F596,0)</f>
        <v>864</v>
      </c>
      <c r="D596" s="90" t="s">
        <v>238</v>
      </c>
      <c r="E596" s="90" t="n">
        <v>1150</v>
      </c>
      <c r="F596" s="90" t="n">
        <f aca="false">H596+I596+J596+K596+L596+M596</f>
        <v>36</v>
      </c>
      <c r="G596" s="90" t="n">
        <v>0.72</v>
      </c>
      <c r="J596" s="90" t="n">
        <v>36</v>
      </c>
    </row>
    <row r="597" customFormat="false" ht="17.6" hidden="false" customHeight="false" outlineLevel="0" collapsed="false">
      <c r="A597" s="91" t="s">
        <v>726</v>
      </c>
      <c r="B597" s="90" t="s">
        <v>40</v>
      </c>
      <c r="C597" s="90" t="n">
        <f aca="false">ROUND(E597*G597+F597,0)</f>
        <v>1104</v>
      </c>
      <c r="D597" s="90" t="s">
        <v>238</v>
      </c>
      <c r="E597" s="90" t="n">
        <v>1150</v>
      </c>
      <c r="F597" s="90" t="n">
        <f aca="false">H597+I597+J597+K597+L597+M597</f>
        <v>276</v>
      </c>
      <c r="G597" s="90" t="n">
        <v>0.72</v>
      </c>
      <c r="J597" s="90" t="n">
        <v>36</v>
      </c>
      <c r="M597" s="90" t="n">
        <v>240</v>
      </c>
    </row>
    <row r="598" customFormat="false" ht="17.6" hidden="false" customHeight="false" outlineLevel="0" collapsed="false">
      <c r="A598" s="91" t="s">
        <v>727</v>
      </c>
      <c r="B598" s="90" t="s">
        <v>40</v>
      </c>
      <c r="C598" s="90" t="n">
        <f aca="false">ROUND(E598*G598+F598,0)</f>
        <v>895</v>
      </c>
      <c r="D598" s="90" t="s">
        <v>238</v>
      </c>
      <c r="E598" s="90" t="n">
        <v>1150</v>
      </c>
      <c r="F598" s="90" t="n">
        <f aca="false">H598+I598+J598+K598+L598+M598</f>
        <v>67</v>
      </c>
      <c r="G598" s="90" t="n">
        <v>0.72</v>
      </c>
      <c r="H598" s="90" t="n">
        <v>35</v>
      </c>
      <c r="K598" s="90" t="n">
        <v>32</v>
      </c>
    </row>
    <row r="599" customFormat="false" ht="17.6" hidden="false" customHeight="false" outlineLevel="0" collapsed="false">
      <c r="A599" s="91" t="s">
        <v>728</v>
      </c>
      <c r="B599" s="90" t="s">
        <v>40</v>
      </c>
      <c r="C599" s="90" t="n">
        <f aca="false">ROUND(E599*G599+F599,0)</f>
        <v>860</v>
      </c>
      <c r="D599" s="90" t="s">
        <v>238</v>
      </c>
      <c r="E599" s="90" t="n">
        <v>1150</v>
      </c>
      <c r="F599" s="90" t="n">
        <f aca="false">H599+I599+J599+K599+L599+M599</f>
        <v>32</v>
      </c>
      <c r="G599" s="90" t="n">
        <v>0.72</v>
      </c>
      <c r="K599" s="90" t="n">
        <v>32</v>
      </c>
    </row>
    <row r="600" customFormat="false" ht="17.6" hidden="false" customHeight="false" outlineLevel="0" collapsed="false">
      <c r="A600" s="91" t="s">
        <v>729</v>
      </c>
      <c r="B600" s="90" t="s">
        <v>40</v>
      </c>
      <c r="C600" s="90" t="n">
        <f aca="false">ROUND(E600*G600+F600,0)</f>
        <v>1100</v>
      </c>
      <c r="D600" s="90" t="s">
        <v>238</v>
      </c>
      <c r="E600" s="90" t="n">
        <v>1150</v>
      </c>
      <c r="F600" s="90" t="n">
        <f aca="false">H600+I600+J600+K600+L600+M600</f>
        <v>272</v>
      </c>
      <c r="G600" s="90" t="n">
        <v>0.72</v>
      </c>
      <c r="K600" s="90" t="n">
        <v>32</v>
      </c>
      <c r="M600" s="90" t="n">
        <v>240</v>
      </c>
    </row>
    <row r="601" customFormat="false" ht="17.6" hidden="false" customHeight="false" outlineLevel="0" collapsed="false">
      <c r="A601" s="91" t="s">
        <v>730</v>
      </c>
      <c r="B601" s="90" t="s">
        <v>40</v>
      </c>
      <c r="C601" s="90" t="n">
        <f aca="false">ROUND(E601*G601+F601,0)</f>
        <v>1068</v>
      </c>
      <c r="D601" s="90" t="s">
        <v>238</v>
      </c>
      <c r="E601" s="90" t="n">
        <v>1150</v>
      </c>
      <c r="F601" s="90" t="n">
        <f aca="false">H601+I601+J601+K601+L601+M601</f>
        <v>240</v>
      </c>
      <c r="G601" s="90" t="n">
        <v>0.72</v>
      </c>
      <c r="M601" s="90" t="n">
        <v>240</v>
      </c>
    </row>
    <row r="602" customFormat="false" ht="17.6" hidden="false" customHeight="false" outlineLevel="0" collapsed="false">
      <c r="A602" s="91" t="s">
        <v>731</v>
      </c>
      <c r="B602" s="90" t="s">
        <v>40</v>
      </c>
      <c r="C602" s="90" t="n">
        <f aca="false">ROUND(E602*G602+F602,0)</f>
        <v>899</v>
      </c>
      <c r="D602" s="90" t="s">
        <v>238</v>
      </c>
      <c r="E602" s="90" t="n">
        <v>1150</v>
      </c>
      <c r="F602" s="90" t="n">
        <f aca="false">H602+I602+J602+K602+L602+M602</f>
        <v>71</v>
      </c>
      <c r="G602" s="90" t="n">
        <v>0.72</v>
      </c>
      <c r="H602" s="90" t="n">
        <v>35</v>
      </c>
      <c r="J602" s="90" t="n">
        <v>36</v>
      </c>
    </row>
    <row r="603" customFormat="false" ht="17.6" hidden="false" customHeight="false" outlineLevel="0" collapsed="false">
      <c r="A603" s="91" t="s">
        <v>732</v>
      </c>
      <c r="B603" s="90" t="s">
        <v>40</v>
      </c>
      <c r="C603" s="90" t="n">
        <f aca="false">ROUND(E603*G603+F603,0)</f>
        <v>864</v>
      </c>
      <c r="D603" s="90" t="s">
        <v>238</v>
      </c>
      <c r="E603" s="90" t="n">
        <v>1150</v>
      </c>
      <c r="F603" s="90" t="n">
        <f aca="false">H603+I603+J603+K603+L603+M603</f>
        <v>36</v>
      </c>
      <c r="G603" s="90" t="n">
        <v>0.72</v>
      </c>
      <c r="J603" s="90" t="n">
        <v>36</v>
      </c>
    </row>
    <row r="604" customFormat="false" ht="17.6" hidden="false" customHeight="false" outlineLevel="0" collapsed="false">
      <c r="A604" s="91" t="s">
        <v>733</v>
      </c>
      <c r="B604" s="90" t="s">
        <v>40</v>
      </c>
      <c r="C604" s="90" t="n">
        <f aca="false">ROUND(E604*G604+F604,0)</f>
        <v>1104</v>
      </c>
      <c r="D604" s="90" t="s">
        <v>238</v>
      </c>
      <c r="E604" s="90" t="n">
        <v>1150</v>
      </c>
      <c r="F604" s="90" t="n">
        <f aca="false">H604+I604+J604+K604+L604+M604</f>
        <v>276</v>
      </c>
      <c r="G604" s="90" t="n">
        <v>0.72</v>
      </c>
      <c r="J604" s="90" t="n">
        <v>36</v>
      </c>
      <c r="M604" s="90" t="n">
        <v>240</v>
      </c>
    </row>
    <row r="605" customFormat="false" ht="17.6" hidden="false" customHeight="false" outlineLevel="0" collapsed="false">
      <c r="A605" s="91" t="s">
        <v>734</v>
      </c>
      <c r="B605" s="90" t="s">
        <v>40</v>
      </c>
      <c r="C605" s="90" t="n">
        <f aca="false">ROUND(E605*G605+F605,0)</f>
        <v>979</v>
      </c>
      <c r="D605" s="90" t="s">
        <v>238</v>
      </c>
      <c r="E605" s="90" t="n">
        <v>1150</v>
      </c>
      <c r="F605" s="90" t="n">
        <f aca="false">H605+I605+J605+K605+L605+M605</f>
        <v>151</v>
      </c>
      <c r="G605" s="90" t="n">
        <v>0.72</v>
      </c>
      <c r="H605" s="90" t="n">
        <v>35</v>
      </c>
      <c r="I605" s="90" t="n">
        <v>80</v>
      </c>
      <c r="J605" s="90" t="n">
        <v>36</v>
      </c>
    </row>
    <row r="606" customFormat="false" ht="17.6" hidden="false" customHeight="false" outlineLevel="0" collapsed="false">
      <c r="A606" s="91" t="s">
        <v>735</v>
      </c>
      <c r="B606" s="90" t="s">
        <v>40</v>
      </c>
      <c r="C606" s="90" t="n">
        <f aca="false">ROUND(E606*G606+F606,0)</f>
        <v>944</v>
      </c>
      <c r="D606" s="90" t="s">
        <v>238</v>
      </c>
      <c r="E606" s="90" t="n">
        <v>1150</v>
      </c>
      <c r="F606" s="90" t="n">
        <f aca="false">H606+I606+J606+K606+L606+M606</f>
        <v>116</v>
      </c>
      <c r="G606" s="90" t="n">
        <v>0.72</v>
      </c>
      <c r="I606" s="90" t="n">
        <v>80</v>
      </c>
      <c r="J606" s="90" t="n">
        <v>36</v>
      </c>
    </row>
    <row r="607" customFormat="false" ht="17.6" hidden="false" customHeight="false" outlineLevel="0" collapsed="false">
      <c r="A607" s="91" t="s">
        <v>736</v>
      </c>
      <c r="B607" s="90" t="s">
        <v>40</v>
      </c>
      <c r="C607" s="90" t="n">
        <f aca="false">ROUND(E607*G607+F607,0)</f>
        <v>1184</v>
      </c>
      <c r="D607" s="90" t="s">
        <v>238</v>
      </c>
      <c r="E607" s="90" t="n">
        <v>1150</v>
      </c>
      <c r="F607" s="90" t="n">
        <f aca="false">H607+I607+J607+K607+L607+M607</f>
        <v>356</v>
      </c>
      <c r="G607" s="90" t="n">
        <v>0.72</v>
      </c>
      <c r="I607" s="90" t="n">
        <v>80</v>
      </c>
      <c r="J607" s="90" t="n">
        <v>36</v>
      </c>
      <c r="M607" s="90" t="n">
        <v>240</v>
      </c>
    </row>
    <row r="608" customFormat="false" ht="17.6" hidden="false" customHeight="false" outlineLevel="0" collapsed="false">
      <c r="A608" s="91" t="s">
        <v>737</v>
      </c>
      <c r="B608" s="90" t="s">
        <v>40</v>
      </c>
      <c r="C608" s="90" t="n">
        <f aca="false">ROUND(E608*G608+F608,0)</f>
        <v>1644</v>
      </c>
      <c r="D608" s="90" t="s">
        <v>238</v>
      </c>
      <c r="E608" s="90" t="n">
        <v>2200</v>
      </c>
      <c r="F608" s="90" t="n">
        <f aca="false">H608+I608+J608+K608+L608+M608</f>
        <v>60</v>
      </c>
      <c r="G608" s="90" t="n">
        <v>0.72</v>
      </c>
      <c r="H608" s="90" t="n">
        <v>60</v>
      </c>
    </row>
    <row r="609" customFormat="false" ht="17.6" hidden="false" customHeight="false" outlineLevel="0" collapsed="false">
      <c r="A609" s="91" t="s">
        <v>738</v>
      </c>
      <c r="B609" s="90" t="s">
        <v>40</v>
      </c>
      <c r="C609" s="90" t="n">
        <f aca="false">ROUND(E609*G609+F609,0)</f>
        <v>1584</v>
      </c>
      <c r="D609" s="90" t="s">
        <v>238</v>
      </c>
      <c r="E609" s="90" t="n">
        <v>2200</v>
      </c>
      <c r="F609" s="90" t="n">
        <f aca="false">H609+I609+J609+K609+L609+M609</f>
        <v>0</v>
      </c>
      <c r="G609" s="90" t="n">
        <v>0.72</v>
      </c>
    </row>
    <row r="610" customFormat="false" ht="17.6" hidden="false" customHeight="false" outlineLevel="0" collapsed="false">
      <c r="A610" s="91" t="s">
        <v>739</v>
      </c>
      <c r="B610" s="90" t="s">
        <v>40</v>
      </c>
      <c r="C610" s="90" t="n">
        <f aca="false">ROUND(E610*G610+F610,0)</f>
        <v>1674</v>
      </c>
      <c r="D610" s="90" t="s">
        <v>238</v>
      </c>
      <c r="E610" s="90" t="n">
        <v>2200</v>
      </c>
      <c r="F610" s="90" t="n">
        <f aca="false">H610+I610+J610+K610+L610+M610</f>
        <v>90</v>
      </c>
      <c r="G610" s="90" t="n">
        <v>0.72</v>
      </c>
      <c r="H610" s="90" t="n">
        <v>60</v>
      </c>
      <c r="L610" s="90" t="n">
        <v>30</v>
      </c>
    </row>
    <row r="611" customFormat="false" ht="17.6" hidden="false" customHeight="false" outlineLevel="0" collapsed="false">
      <c r="A611" s="91" t="s">
        <v>740</v>
      </c>
      <c r="B611" s="90" t="s">
        <v>40</v>
      </c>
      <c r="C611" s="90" t="n">
        <f aca="false">ROUND(E611*G611+F611,0)</f>
        <v>1634</v>
      </c>
      <c r="D611" s="90" t="s">
        <v>238</v>
      </c>
      <c r="E611" s="90" t="n">
        <v>2200</v>
      </c>
      <c r="F611" s="90" t="n">
        <f aca="false">H611+I611+J611+K611+L611+M611</f>
        <v>50</v>
      </c>
      <c r="G611" s="90" t="n">
        <v>0.72</v>
      </c>
      <c r="J611" s="90" t="n">
        <v>50</v>
      </c>
    </row>
    <row r="612" customFormat="false" ht="17.6" hidden="false" customHeight="false" outlineLevel="0" collapsed="false">
      <c r="A612" s="91" t="s">
        <v>741</v>
      </c>
      <c r="B612" s="90" t="s">
        <v>40</v>
      </c>
      <c r="C612" s="90" t="n">
        <f aca="false">ROUND(E612*G612+F612,0)</f>
        <v>2154</v>
      </c>
      <c r="D612" s="90" t="s">
        <v>238</v>
      </c>
      <c r="E612" s="90" t="n">
        <v>2200</v>
      </c>
      <c r="F612" s="90" t="n">
        <f aca="false">H612+I612+J612+K612+L612+M612</f>
        <v>570</v>
      </c>
      <c r="G612" s="90" t="n">
        <v>0.72</v>
      </c>
      <c r="J612" s="90" t="n">
        <v>50</v>
      </c>
      <c r="M612" s="90" t="n">
        <v>520</v>
      </c>
    </row>
    <row r="613" customFormat="false" ht="17.6" hidden="false" customHeight="false" outlineLevel="0" collapsed="false">
      <c r="A613" s="91" t="s">
        <v>742</v>
      </c>
      <c r="B613" s="90" t="s">
        <v>40</v>
      </c>
      <c r="C613" s="90" t="n">
        <f aca="false">ROUND(E613*G613+F613,0)</f>
        <v>1694</v>
      </c>
      <c r="D613" s="90" t="s">
        <v>238</v>
      </c>
      <c r="E613" s="90" t="n">
        <v>2200</v>
      </c>
      <c r="F613" s="90" t="n">
        <f aca="false">H613+I613+J613+K613+L613+M613</f>
        <v>110</v>
      </c>
      <c r="G613" s="90" t="n">
        <v>0.72</v>
      </c>
      <c r="H613" s="90" t="n">
        <v>60</v>
      </c>
      <c r="K613" s="90" t="n">
        <v>50</v>
      </c>
    </row>
    <row r="614" customFormat="false" ht="17.6" hidden="false" customHeight="false" outlineLevel="0" collapsed="false">
      <c r="A614" s="91" t="s">
        <v>743</v>
      </c>
      <c r="B614" s="90" t="s">
        <v>40</v>
      </c>
      <c r="C614" s="90" t="n">
        <f aca="false">ROUND(E614*G614+F614,0)</f>
        <v>1634</v>
      </c>
      <c r="D614" s="90" t="s">
        <v>238</v>
      </c>
      <c r="E614" s="90" t="n">
        <v>2200</v>
      </c>
      <c r="F614" s="90" t="n">
        <f aca="false">H614+I614+J614+K614+L614+M614</f>
        <v>50</v>
      </c>
      <c r="G614" s="90" t="n">
        <v>0.72</v>
      </c>
      <c r="K614" s="90" t="n">
        <v>50</v>
      </c>
    </row>
    <row r="615" customFormat="false" ht="17.6" hidden="false" customHeight="false" outlineLevel="0" collapsed="false">
      <c r="A615" s="91" t="s">
        <v>744</v>
      </c>
      <c r="B615" s="90" t="s">
        <v>40</v>
      </c>
      <c r="C615" s="90" t="n">
        <f aca="false">ROUND(E615*G615+F615,0)</f>
        <v>2154</v>
      </c>
      <c r="D615" s="90" t="s">
        <v>238</v>
      </c>
      <c r="E615" s="90" t="n">
        <v>2200</v>
      </c>
      <c r="F615" s="90" t="n">
        <f aca="false">H615+I615+J615+K615+L615+M615</f>
        <v>570</v>
      </c>
      <c r="G615" s="90" t="n">
        <v>0.72</v>
      </c>
      <c r="K615" s="90" t="n">
        <v>50</v>
      </c>
      <c r="M615" s="90" t="n">
        <v>520</v>
      </c>
    </row>
    <row r="616" customFormat="false" ht="17.6" hidden="false" customHeight="false" outlineLevel="0" collapsed="false">
      <c r="A616" s="91" t="s">
        <v>745</v>
      </c>
      <c r="B616" s="90" t="s">
        <v>40</v>
      </c>
      <c r="C616" s="90" t="n">
        <f aca="false">ROUND(E616*G616+F616,0)</f>
        <v>2104</v>
      </c>
      <c r="D616" s="90" t="s">
        <v>238</v>
      </c>
      <c r="E616" s="90" t="n">
        <v>2200</v>
      </c>
      <c r="F616" s="90" t="n">
        <f aca="false">H616+I616+J616+K616+L616+M616</f>
        <v>520</v>
      </c>
      <c r="G616" s="90" t="n">
        <v>0.72</v>
      </c>
      <c r="M616" s="90" t="n">
        <v>520</v>
      </c>
    </row>
    <row r="617" customFormat="false" ht="17.6" hidden="false" customHeight="false" outlineLevel="0" collapsed="false">
      <c r="A617" s="91" t="s">
        <v>746</v>
      </c>
      <c r="B617" s="90" t="s">
        <v>40</v>
      </c>
      <c r="C617" s="90" t="n">
        <f aca="false">ROUND(E617*G617+F617,0)</f>
        <v>1694</v>
      </c>
      <c r="D617" s="90" t="s">
        <v>238</v>
      </c>
      <c r="E617" s="90" t="n">
        <v>2200</v>
      </c>
      <c r="F617" s="90" t="n">
        <f aca="false">H617+I617+J617+K617+L617+M617</f>
        <v>110</v>
      </c>
      <c r="G617" s="90" t="n">
        <v>0.72</v>
      </c>
      <c r="H617" s="90" t="n">
        <v>60</v>
      </c>
      <c r="J617" s="90" t="n">
        <v>50</v>
      </c>
    </row>
    <row r="618" customFormat="false" ht="17.6" hidden="false" customHeight="false" outlineLevel="0" collapsed="false">
      <c r="A618" s="91" t="s">
        <v>747</v>
      </c>
      <c r="B618" s="90" t="s">
        <v>40</v>
      </c>
      <c r="C618" s="90" t="n">
        <f aca="false">ROUND(E618*G618+F618,0)</f>
        <v>1634</v>
      </c>
      <c r="D618" s="90" t="s">
        <v>238</v>
      </c>
      <c r="E618" s="90" t="n">
        <v>2200</v>
      </c>
      <c r="F618" s="90" t="n">
        <f aca="false">H618+I618+J618+K618+L618+M618</f>
        <v>50</v>
      </c>
      <c r="G618" s="90" t="n">
        <v>0.72</v>
      </c>
      <c r="J618" s="90" t="n">
        <v>50</v>
      </c>
    </row>
    <row r="619" customFormat="false" ht="17.6" hidden="false" customHeight="false" outlineLevel="0" collapsed="false">
      <c r="A619" s="91" t="s">
        <v>748</v>
      </c>
      <c r="B619" s="90" t="s">
        <v>40</v>
      </c>
      <c r="C619" s="90" t="n">
        <f aca="false">ROUND(E619*G619+F619,0)</f>
        <v>2154</v>
      </c>
      <c r="D619" s="90" t="s">
        <v>238</v>
      </c>
      <c r="E619" s="90" t="n">
        <v>2200</v>
      </c>
      <c r="F619" s="90" t="n">
        <f aca="false">H619+I619+J619+K619+L619+M619</f>
        <v>570</v>
      </c>
      <c r="G619" s="90" t="n">
        <v>0.72</v>
      </c>
      <c r="J619" s="90" t="n">
        <v>50</v>
      </c>
      <c r="M619" s="90" t="n">
        <v>520</v>
      </c>
    </row>
    <row r="620" customFormat="false" ht="17.6" hidden="false" customHeight="false" outlineLevel="0" collapsed="false">
      <c r="A620" s="91" t="s">
        <v>749</v>
      </c>
      <c r="B620" s="90" t="s">
        <v>40</v>
      </c>
      <c r="C620" s="90" t="n">
        <f aca="false">ROUND(E620*G620+F620,0)</f>
        <v>1824</v>
      </c>
      <c r="D620" s="90" t="s">
        <v>238</v>
      </c>
      <c r="E620" s="90" t="n">
        <v>2200</v>
      </c>
      <c r="F620" s="90" t="n">
        <f aca="false">H620+I620+J620+K620+L620+M620</f>
        <v>240</v>
      </c>
      <c r="G620" s="90" t="n">
        <v>0.72</v>
      </c>
      <c r="H620" s="90" t="n">
        <v>60</v>
      </c>
      <c r="I620" s="90" t="n">
        <v>130</v>
      </c>
      <c r="J620" s="90" t="n">
        <v>50</v>
      </c>
    </row>
    <row r="621" customFormat="false" ht="17.6" hidden="false" customHeight="false" outlineLevel="0" collapsed="false">
      <c r="A621" s="91" t="s">
        <v>750</v>
      </c>
      <c r="B621" s="90" t="s">
        <v>40</v>
      </c>
      <c r="C621" s="90" t="n">
        <f aca="false">ROUND(E621*G621+F621,0)</f>
        <v>1764</v>
      </c>
      <c r="D621" s="90" t="s">
        <v>238</v>
      </c>
      <c r="E621" s="90" t="n">
        <v>2200</v>
      </c>
      <c r="F621" s="90" t="n">
        <f aca="false">H621+I621+J621+K621+L621+M621</f>
        <v>180</v>
      </c>
      <c r="G621" s="90" t="n">
        <v>0.72</v>
      </c>
      <c r="I621" s="90" t="n">
        <v>130</v>
      </c>
      <c r="J621" s="90" t="n">
        <v>50</v>
      </c>
    </row>
    <row r="622" customFormat="false" ht="17.6" hidden="false" customHeight="false" outlineLevel="0" collapsed="false">
      <c r="A622" s="91" t="s">
        <v>751</v>
      </c>
      <c r="B622" s="90" t="s">
        <v>40</v>
      </c>
      <c r="C622" s="90" t="n">
        <f aca="false">ROUND(E622*G622+F622,0)</f>
        <v>2284</v>
      </c>
      <c r="D622" s="90" t="s">
        <v>238</v>
      </c>
      <c r="E622" s="90" t="n">
        <v>2200</v>
      </c>
      <c r="F622" s="90" t="n">
        <f aca="false">H622+I622+J622+K622+L622+M622</f>
        <v>700</v>
      </c>
      <c r="G622" s="90" t="n">
        <v>0.72</v>
      </c>
      <c r="I622" s="90" t="n">
        <v>130</v>
      </c>
      <c r="J622" s="90" t="n">
        <v>50</v>
      </c>
      <c r="M622" s="90" t="n">
        <v>520</v>
      </c>
    </row>
    <row r="623" customFormat="false" ht="17.6" hidden="false" customHeight="false" outlineLevel="0" collapsed="false">
      <c r="A623" s="91" t="s">
        <v>752</v>
      </c>
      <c r="B623" s="90" t="s">
        <v>40</v>
      </c>
      <c r="C623" s="90" t="n">
        <f aca="false">ROUND(E623*G623+F623,0)</f>
        <v>1140</v>
      </c>
      <c r="D623" s="90" t="s">
        <v>238</v>
      </c>
      <c r="E623" s="90" t="n">
        <v>1500</v>
      </c>
      <c r="F623" s="90" t="n">
        <f aca="false">H623+I623+J623+K623+L623+M623</f>
        <v>60</v>
      </c>
      <c r="G623" s="90" t="n">
        <v>0.72</v>
      </c>
      <c r="H623" s="90" t="n">
        <v>60</v>
      </c>
    </row>
    <row r="624" customFormat="false" ht="17.6" hidden="false" customHeight="false" outlineLevel="0" collapsed="false">
      <c r="A624" s="91" t="s">
        <v>753</v>
      </c>
      <c r="B624" s="90" t="s">
        <v>40</v>
      </c>
      <c r="C624" s="90" t="n">
        <f aca="false">ROUND(E624*G624+F624,0)</f>
        <v>1080</v>
      </c>
      <c r="D624" s="90" t="s">
        <v>238</v>
      </c>
      <c r="E624" s="90" t="n">
        <v>1500</v>
      </c>
      <c r="F624" s="90" t="n">
        <f aca="false">H624+I624+J624+K624+L624+M624</f>
        <v>0</v>
      </c>
      <c r="G624" s="90" t="n">
        <v>0.72</v>
      </c>
    </row>
    <row r="625" customFormat="false" ht="17.6" hidden="false" customHeight="false" outlineLevel="0" collapsed="false">
      <c r="A625" s="91" t="s">
        <v>754</v>
      </c>
      <c r="B625" s="90" t="s">
        <v>40</v>
      </c>
      <c r="C625" s="90" t="n">
        <f aca="false">ROUND(E625*G625+F625,0)</f>
        <v>1170</v>
      </c>
      <c r="D625" s="90" t="s">
        <v>238</v>
      </c>
      <c r="E625" s="90" t="n">
        <v>1500</v>
      </c>
      <c r="F625" s="90" t="n">
        <f aca="false">H625+I625+J625+K625+L625+M625</f>
        <v>90</v>
      </c>
      <c r="G625" s="90" t="n">
        <v>0.72</v>
      </c>
      <c r="H625" s="90" t="n">
        <v>60</v>
      </c>
      <c r="L625" s="90" t="n">
        <v>30</v>
      </c>
    </row>
    <row r="626" customFormat="false" ht="17.6" hidden="false" customHeight="false" outlineLevel="0" collapsed="false">
      <c r="A626" s="91" t="s">
        <v>755</v>
      </c>
      <c r="B626" s="90" t="s">
        <v>40</v>
      </c>
      <c r="C626" s="90" t="n">
        <f aca="false">ROUND(E626*G626+F626,0)</f>
        <v>1130</v>
      </c>
      <c r="D626" s="90" t="s">
        <v>238</v>
      </c>
      <c r="E626" s="90" t="n">
        <v>1500</v>
      </c>
      <c r="F626" s="90" t="n">
        <f aca="false">H626+I626+J626+K626+L626+M626</f>
        <v>50</v>
      </c>
      <c r="G626" s="90" t="n">
        <v>0.72</v>
      </c>
      <c r="J626" s="90" t="n">
        <v>50</v>
      </c>
    </row>
    <row r="627" customFormat="false" ht="17.6" hidden="false" customHeight="false" outlineLevel="0" collapsed="false">
      <c r="A627" s="91" t="s">
        <v>756</v>
      </c>
      <c r="B627" s="90" t="s">
        <v>40</v>
      </c>
      <c r="C627" s="90" t="n">
        <f aca="false">ROUND(E627*G627+F627,0)</f>
        <v>1650</v>
      </c>
      <c r="D627" s="90" t="s">
        <v>238</v>
      </c>
      <c r="E627" s="90" t="n">
        <v>1500</v>
      </c>
      <c r="F627" s="90" t="n">
        <f aca="false">H627+I627+J627+K627+L627+M627</f>
        <v>570</v>
      </c>
      <c r="G627" s="90" t="n">
        <v>0.72</v>
      </c>
      <c r="J627" s="90" t="n">
        <v>50</v>
      </c>
      <c r="M627" s="90" t="n">
        <v>520</v>
      </c>
    </row>
    <row r="628" customFormat="false" ht="17.6" hidden="false" customHeight="false" outlineLevel="0" collapsed="false">
      <c r="A628" s="91" t="s">
        <v>757</v>
      </c>
      <c r="B628" s="90" t="s">
        <v>40</v>
      </c>
      <c r="C628" s="90" t="n">
        <f aca="false">ROUND(E628*G628+F628,0)</f>
        <v>1190</v>
      </c>
      <c r="D628" s="90" t="s">
        <v>238</v>
      </c>
      <c r="E628" s="90" t="n">
        <v>1500</v>
      </c>
      <c r="F628" s="90" t="n">
        <f aca="false">H628+I628+J628+K628+L628+M628</f>
        <v>110</v>
      </c>
      <c r="G628" s="90" t="n">
        <v>0.72</v>
      </c>
      <c r="H628" s="90" t="n">
        <v>60</v>
      </c>
      <c r="K628" s="90" t="n">
        <v>50</v>
      </c>
    </row>
    <row r="629" customFormat="false" ht="17.6" hidden="false" customHeight="false" outlineLevel="0" collapsed="false">
      <c r="A629" s="91" t="s">
        <v>758</v>
      </c>
      <c r="B629" s="90" t="s">
        <v>40</v>
      </c>
      <c r="C629" s="90" t="n">
        <f aca="false">ROUND(E629*G629+F629,0)</f>
        <v>1130</v>
      </c>
      <c r="D629" s="90" t="s">
        <v>238</v>
      </c>
      <c r="E629" s="90" t="n">
        <v>1500</v>
      </c>
      <c r="F629" s="90" t="n">
        <f aca="false">H629+I629+J629+K629+L629+M629</f>
        <v>50</v>
      </c>
      <c r="G629" s="90" t="n">
        <v>0.72</v>
      </c>
      <c r="K629" s="90" t="n">
        <v>50</v>
      </c>
    </row>
    <row r="630" customFormat="false" ht="17.6" hidden="false" customHeight="false" outlineLevel="0" collapsed="false">
      <c r="A630" s="91" t="s">
        <v>759</v>
      </c>
      <c r="B630" s="90" t="s">
        <v>40</v>
      </c>
      <c r="C630" s="90" t="n">
        <f aca="false">ROUND(E630*G630+F630,0)</f>
        <v>1650</v>
      </c>
      <c r="D630" s="90" t="s">
        <v>238</v>
      </c>
      <c r="E630" s="90" t="n">
        <v>1500</v>
      </c>
      <c r="F630" s="90" t="n">
        <f aca="false">H630+I630+J630+K630+L630+M630</f>
        <v>570</v>
      </c>
      <c r="G630" s="90" t="n">
        <v>0.72</v>
      </c>
      <c r="K630" s="90" t="n">
        <v>50</v>
      </c>
      <c r="M630" s="90" t="n">
        <v>520</v>
      </c>
    </row>
    <row r="631" customFormat="false" ht="17.6" hidden="false" customHeight="false" outlineLevel="0" collapsed="false">
      <c r="A631" s="91" t="s">
        <v>760</v>
      </c>
      <c r="B631" s="90" t="s">
        <v>40</v>
      </c>
      <c r="C631" s="90" t="n">
        <f aca="false">ROUND(E631*G631+F631,0)</f>
        <v>1600</v>
      </c>
      <c r="D631" s="90" t="s">
        <v>238</v>
      </c>
      <c r="E631" s="90" t="n">
        <v>1500</v>
      </c>
      <c r="F631" s="90" t="n">
        <f aca="false">H631+I631+J631+K631+L631+M631</f>
        <v>520</v>
      </c>
      <c r="G631" s="90" t="n">
        <v>0.72</v>
      </c>
      <c r="M631" s="90" t="n">
        <v>520</v>
      </c>
    </row>
    <row r="632" customFormat="false" ht="17.6" hidden="false" customHeight="false" outlineLevel="0" collapsed="false">
      <c r="A632" s="91" t="s">
        <v>761</v>
      </c>
      <c r="B632" s="90" t="s">
        <v>40</v>
      </c>
      <c r="C632" s="90" t="n">
        <f aca="false">ROUND(E632*G632+F632,0)</f>
        <v>1190</v>
      </c>
      <c r="D632" s="90" t="s">
        <v>238</v>
      </c>
      <c r="E632" s="90" t="n">
        <v>1500</v>
      </c>
      <c r="F632" s="90" t="n">
        <f aca="false">H632+I632+J632+K632+L632+M632</f>
        <v>110</v>
      </c>
      <c r="G632" s="90" t="n">
        <v>0.72</v>
      </c>
      <c r="H632" s="90" t="n">
        <v>60</v>
      </c>
      <c r="J632" s="90" t="n">
        <v>50</v>
      </c>
    </row>
    <row r="633" customFormat="false" ht="17.6" hidden="false" customHeight="false" outlineLevel="0" collapsed="false">
      <c r="A633" s="91" t="s">
        <v>762</v>
      </c>
      <c r="B633" s="90" t="s">
        <v>40</v>
      </c>
      <c r="C633" s="90" t="n">
        <f aca="false">ROUND(E633*G633+F633,0)</f>
        <v>1130</v>
      </c>
      <c r="D633" s="90" t="s">
        <v>238</v>
      </c>
      <c r="E633" s="90" t="n">
        <v>1500</v>
      </c>
      <c r="F633" s="90" t="n">
        <f aca="false">H633+I633+J633+K633+L633+M633</f>
        <v>50</v>
      </c>
      <c r="G633" s="90" t="n">
        <v>0.72</v>
      </c>
      <c r="J633" s="90" t="n">
        <v>50</v>
      </c>
    </row>
    <row r="634" customFormat="false" ht="17.6" hidden="false" customHeight="false" outlineLevel="0" collapsed="false">
      <c r="A634" s="91" t="s">
        <v>763</v>
      </c>
      <c r="B634" s="90" t="s">
        <v>40</v>
      </c>
      <c r="C634" s="90" t="n">
        <f aca="false">ROUND(E634*G634+F634,0)</f>
        <v>1650</v>
      </c>
      <c r="D634" s="90" t="s">
        <v>238</v>
      </c>
      <c r="E634" s="90" t="n">
        <v>1500</v>
      </c>
      <c r="F634" s="90" t="n">
        <f aca="false">H634+I634+J634+K634+L634+M634</f>
        <v>570</v>
      </c>
      <c r="G634" s="90" t="n">
        <v>0.72</v>
      </c>
      <c r="J634" s="90" t="n">
        <v>50</v>
      </c>
      <c r="M634" s="90" t="n">
        <v>520</v>
      </c>
    </row>
    <row r="635" customFormat="false" ht="17.6" hidden="false" customHeight="false" outlineLevel="0" collapsed="false">
      <c r="A635" s="91" t="s">
        <v>764</v>
      </c>
      <c r="B635" s="90" t="s">
        <v>40</v>
      </c>
      <c r="C635" s="90" t="n">
        <f aca="false">ROUND(E635*G635+F635,0)</f>
        <v>1320</v>
      </c>
      <c r="D635" s="90" t="s">
        <v>238</v>
      </c>
      <c r="E635" s="90" t="n">
        <v>1500</v>
      </c>
      <c r="F635" s="90" t="n">
        <f aca="false">H635+I635+J635+K635+L635+M635</f>
        <v>240</v>
      </c>
      <c r="G635" s="90" t="n">
        <v>0.72</v>
      </c>
      <c r="H635" s="90" t="n">
        <v>60</v>
      </c>
      <c r="I635" s="90" t="n">
        <v>130</v>
      </c>
      <c r="J635" s="90" t="n">
        <v>50</v>
      </c>
    </row>
    <row r="636" customFormat="false" ht="17.6" hidden="false" customHeight="false" outlineLevel="0" collapsed="false">
      <c r="A636" s="91" t="s">
        <v>765</v>
      </c>
      <c r="B636" s="90" t="s">
        <v>40</v>
      </c>
      <c r="C636" s="90" t="n">
        <f aca="false">ROUND(E636*G636+F636,0)</f>
        <v>1260</v>
      </c>
      <c r="D636" s="90" t="s">
        <v>238</v>
      </c>
      <c r="E636" s="90" t="n">
        <v>1500</v>
      </c>
      <c r="F636" s="90" t="n">
        <f aca="false">H636+I636+J636+K636+L636+M636</f>
        <v>180</v>
      </c>
      <c r="G636" s="90" t="n">
        <v>0.72</v>
      </c>
      <c r="I636" s="90" t="n">
        <v>130</v>
      </c>
      <c r="J636" s="90" t="n">
        <v>50</v>
      </c>
    </row>
    <row r="637" customFormat="false" ht="17.6" hidden="false" customHeight="false" outlineLevel="0" collapsed="false">
      <c r="A637" s="91" t="s">
        <v>766</v>
      </c>
      <c r="B637" s="90" t="s">
        <v>40</v>
      </c>
      <c r="C637" s="90" t="n">
        <f aca="false">ROUND(E637*G637+F637,0)</f>
        <v>1780</v>
      </c>
      <c r="D637" s="90" t="s">
        <v>238</v>
      </c>
      <c r="E637" s="90" t="n">
        <v>1500</v>
      </c>
      <c r="F637" s="90" t="n">
        <f aca="false">H637+I637+J637+K637+L637+M637</f>
        <v>700</v>
      </c>
      <c r="G637" s="90" t="n">
        <v>0.72</v>
      </c>
      <c r="I637" s="90" t="n">
        <v>130</v>
      </c>
      <c r="J637" s="90" t="n">
        <v>50</v>
      </c>
      <c r="M637" s="90" t="n">
        <v>520</v>
      </c>
    </row>
    <row r="638" customFormat="false" ht="17.6" hidden="false" customHeight="false" outlineLevel="0" collapsed="false">
      <c r="A638" s="91" t="s">
        <v>767</v>
      </c>
      <c r="B638" s="90" t="s">
        <v>40</v>
      </c>
      <c r="C638" s="90" t="n">
        <f aca="false">ROUND(E638*G638+F638,0)</f>
        <v>1356</v>
      </c>
      <c r="D638" s="90" t="s">
        <v>238</v>
      </c>
      <c r="E638" s="90" t="n">
        <v>1800</v>
      </c>
      <c r="F638" s="90" t="n">
        <f aca="false">H638+I638+J638+K638+L638+M638</f>
        <v>60</v>
      </c>
      <c r="G638" s="90" t="n">
        <v>0.72</v>
      </c>
      <c r="H638" s="90" t="n">
        <v>60</v>
      </c>
    </row>
    <row r="639" customFormat="false" ht="17.6" hidden="false" customHeight="false" outlineLevel="0" collapsed="false">
      <c r="A639" s="91" t="s">
        <v>768</v>
      </c>
      <c r="B639" s="90" t="s">
        <v>40</v>
      </c>
      <c r="C639" s="90" t="n">
        <f aca="false">ROUND(E639*G639+F639,0)</f>
        <v>1296</v>
      </c>
      <c r="D639" s="90" t="s">
        <v>238</v>
      </c>
      <c r="E639" s="90" t="n">
        <v>1800</v>
      </c>
      <c r="F639" s="90" t="n">
        <f aca="false">H639+I639+J639+K639+L639+M639</f>
        <v>0</v>
      </c>
      <c r="G639" s="90" t="n">
        <v>0.72</v>
      </c>
    </row>
    <row r="640" customFormat="false" ht="17.6" hidden="false" customHeight="false" outlineLevel="0" collapsed="false">
      <c r="A640" s="91" t="s">
        <v>769</v>
      </c>
      <c r="B640" s="90" t="s">
        <v>40</v>
      </c>
      <c r="C640" s="90" t="n">
        <f aca="false">ROUND(E640*G640+F640,0)</f>
        <v>1386</v>
      </c>
      <c r="D640" s="90" t="s">
        <v>238</v>
      </c>
      <c r="E640" s="90" t="n">
        <v>1800</v>
      </c>
      <c r="F640" s="90" t="n">
        <f aca="false">H640+I640+J640+K640+L640+M640</f>
        <v>90</v>
      </c>
      <c r="G640" s="90" t="n">
        <v>0.72</v>
      </c>
      <c r="H640" s="90" t="n">
        <v>60</v>
      </c>
      <c r="L640" s="90" t="n">
        <v>30</v>
      </c>
    </row>
    <row r="641" customFormat="false" ht="17.6" hidden="false" customHeight="false" outlineLevel="0" collapsed="false">
      <c r="A641" s="91" t="s">
        <v>770</v>
      </c>
      <c r="B641" s="90" t="s">
        <v>40</v>
      </c>
      <c r="C641" s="90" t="n">
        <f aca="false">ROUND(E641*G641+F641,0)</f>
        <v>1346</v>
      </c>
      <c r="D641" s="90" t="s">
        <v>238</v>
      </c>
      <c r="E641" s="90" t="n">
        <v>1800</v>
      </c>
      <c r="F641" s="90" t="n">
        <f aca="false">H641+I641+J641+K641+L641+M641</f>
        <v>50</v>
      </c>
      <c r="G641" s="90" t="n">
        <v>0.72</v>
      </c>
      <c r="J641" s="90" t="n">
        <v>50</v>
      </c>
    </row>
    <row r="642" customFormat="false" ht="17.6" hidden="false" customHeight="false" outlineLevel="0" collapsed="false">
      <c r="A642" s="91" t="s">
        <v>771</v>
      </c>
      <c r="B642" s="90" t="s">
        <v>40</v>
      </c>
      <c r="C642" s="90" t="n">
        <f aca="false">ROUND(E642*G642+F642,0)</f>
        <v>1866</v>
      </c>
      <c r="D642" s="90" t="s">
        <v>238</v>
      </c>
      <c r="E642" s="90" t="n">
        <v>1800</v>
      </c>
      <c r="F642" s="90" t="n">
        <f aca="false">H642+I642+J642+K642+L642+M642</f>
        <v>570</v>
      </c>
      <c r="G642" s="90" t="n">
        <v>0.72</v>
      </c>
      <c r="J642" s="90" t="n">
        <v>50</v>
      </c>
      <c r="M642" s="90" t="n">
        <v>520</v>
      </c>
    </row>
    <row r="643" customFormat="false" ht="17.6" hidden="false" customHeight="false" outlineLevel="0" collapsed="false">
      <c r="A643" s="91" t="s">
        <v>772</v>
      </c>
      <c r="B643" s="90" t="s">
        <v>40</v>
      </c>
      <c r="C643" s="90" t="n">
        <f aca="false">ROUND(E643*G643+F643,0)</f>
        <v>1406</v>
      </c>
      <c r="D643" s="90" t="s">
        <v>238</v>
      </c>
      <c r="E643" s="90" t="n">
        <v>1800</v>
      </c>
      <c r="F643" s="90" t="n">
        <f aca="false">H643+I643+J643+K643+L643+M643</f>
        <v>110</v>
      </c>
      <c r="G643" s="90" t="n">
        <v>0.72</v>
      </c>
      <c r="H643" s="90" t="n">
        <v>60</v>
      </c>
      <c r="K643" s="90" t="n">
        <v>50</v>
      </c>
    </row>
    <row r="644" customFormat="false" ht="17.6" hidden="false" customHeight="false" outlineLevel="0" collapsed="false">
      <c r="A644" s="91" t="s">
        <v>773</v>
      </c>
      <c r="B644" s="90" t="s">
        <v>40</v>
      </c>
      <c r="C644" s="90" t="n">
        <f aca="false">ROUND(E644*G644+F644,0)</f>
        <v>1346</v>
      </c>
      <c r="D644" s="90" t="s">
        <v>238</v>
      </c>
      <c r="E644" s="90" t="n">
        <v>1800</v>
      </c>
      <c r="F644" s="90" t="n">
        <f aca="false">H644+I644+J644+K644+L644+M644</f>
        <v>50</v>
      </c>
      <c r="G644" s="90" t="n">
        <v>0.72</v>
      </c>
      <c r="K644" s="90" t="n">
        <v>50</v>
      </c>
    </row>
    <row r="645" customFormat="false" ht="17.6" hidden="false" customHeight="false" outlineLevel="0" collapsed="false">
      <c r="A645" s="91" t="s">
        <v>774</v>
      </c>
      <c r="B645" s="90" t="s">
        <v>40</v>
      </c>
      <c r="C645" s="90" t="n">
        <f aca="false">ROUND(E645*G645+F645,0)</f>
        <v>1866</v>
      </c>
      <c r="D645" s="90" t="s">
        <v>238</v>
      </c>
      <c r="E645" s="90" t="n">
        <v>1800</v>
      </c>
      <c r="F645" s="90" t="n">
        <f aca="false">H645+I645+J645+K645+L645+M645</f>
        <v>570</v>
      </c>
      <c r="G645" s="90" t="n">
        <v>0.72</v>
      </c>
      <c r="K645" s="90" t="n">
        <v>50</v>
      </c>
      <c r="M645" s="90" t="n">
        <v>520</v>
      </c>
    </row>
    <row r="646" customFormat="false" ht="17.6" hidden="false" customHeight="false" outlineLevel="0" collapsed="false">
      <c r="A646" s="91" t="s">
        <v>775</v>
      </c>
      <c r="B646" s="90" t="s">
        <v>40</v>
      </c>
      <c r="C646" s="90" t="n">
        <f aca="false">ROUND(E646*G646+F646,0)</f>
        <v>1816</v>
      </c>
      <c r="D646" s="90" t="s">
        <v>238</v>
      </c>
      <c r="E646" s="90" t="n">
        <v>1800</v>
      </c>
      <c r="F646" s="90" t="n">
        <f aca="false">H646+I646+J646+K646+L646+M646</f>
        <v>520</v>
      </c>
      <c r="G646" s="90" t="n">
        <v>0.72</v>
      </c>
      <c r="M646" s="90" t="n">
        <v>520</v>
      </c>
    </row>
    <row r="647" customFormat="false" ht="17.6" hidden="false" customHeight="false" outlineLevel="0" collapsed="false">
      <c r="A647" s="91" t="s">
        <v>776</v>
      </c>
      <c r="B647" s="90" t="s">
        <v>40</v>
      </c>
      <c r="C647" s="90" t="n">
        <f aca="false">ROUND(E647*G647+F647,0)</f>
        <v>1406</v>
      </c>
      <c r="D647" s="90" t="s">
        <v>238</v>
      </c>
      <c r="E647" s="90" t="n">
        <v>1800</v>
      </c>
      <c r="F647" s="90" t="n">
        <f aca="false">H647+I647+J647+K647+L647+M647</f>
        <v>110</v>
      </c>
      <c r="G647" s="90" t="n">
        <v>0.72</v>
      </c>
      <c r="H647" s="90" t="n">
        <v>60</v>
      </c>
      <c r="J647" s="90" t="n">
        <v>50</v>
      </c>
    </row>
    <row r="648" customFormat="false" ht="17.6" hidden="false" customHeight="false" outlineLevel="0" collapsed="false">
      <c r="A648" s="91" t="s">
        <v>777</v>
      </c>
      <c r="B648" s="90" t="s">
        <v>40</v>
      </c>
      <c r="C648" s="90" t="n">
        <f aca="false">ROUND(E648*G648+F648,0)</f>
        <v>1346</v>
      </c>
      <c r="D648" s="90" t="s">
        <v>238</v>
      </c>
      <c r="E648" s="90" t="n">
        <v>1800</v>
      </c>
      <c r="F648" s="90" t="n">
        <f aca="false">H648+I648+J648+K648+L648+M648</f>
        <v>50</v>
      </c>
      <c r="G648" s="90" t="n">
        <v>0.72</v>
      </c>
      <c r="J648" s="90" t="n">
        <v>50</v>
      </c>
    </row>
    <row r="649" customFormat="false" ht="17.6" hidden="false" customHeight="false" outlineLevel="0" collapsed="false">
      <c r="A649" s="91" t="s">
        <v>778</v>
      </c>
      <c r="B649" s="90" t="s">
        <v>40</v>
      </c>
      <c r="C649" s="90" t="n">
        <f aca="false">ROUND(E649*G649+F649,0)</f>
        <v>1866</v>
      </c>
      <c r="D649" s="90" t="s">
        <v>238</v>
      </c>
      <c r="E649" s="90" t="n">
        <v>1800</v>
      </c>
      <c r="F649" s="90" t="n">
        <f aca="false">H649+I649+J649+K649+L649+M649</f>
        <v>570</v>
      </c>
      <c r="G649" s="90" t="n">
        <v>0.72</v>
      </c>
      <c r="J649" s="90" t="n">
        <v>50</v>
      </c>
      <c r="M649" s="90" t="n">
        <v>520</v>
      </c>
    </row>
    <row r="650" customFormat="false" ht="17.6" hidden="false" customHeight="false" outlineLevel="0" collapsed="false">
      <c r="A650" s="91" t="s">
        <v>779</v>
      </c>
      <c r="B650" s="90" t="s">
        <v>40</v>
      </c>
      <c r="C650" s="90" t="n">
        <f aca="false">ROUND(E650*G650+F650,0)</f>
        <v>1536</v>
      </c>
      <c r="D650" s="90" t="s">
        <v>238</v>
      </c>
      <c r="E650" s="90" t="n">
        <v>1800</v>
      </c>
      <c r="F650" s="90" t="n">
        <f aca="false">H650+I650+J650+K650+L650+M650</f>
        <v>240</v>
      </c>
      <c r="G650" s="90" t="n">
        <v>0.72</v>
      </c>
      <c r="H650" s="90" t="n">
        <v>60</v>
      </c>
      <c r="I650" s="90" t="n">
        <v>130</v>
      </c>
      <c r="J650" s="90" t="n">
        <v>50</v>
      </c>
    </row>
    <row r="651" customFormat="false" ht="17.6" hidden="false" customHeight="false" outlineLevel="0" collapsed="false">
      <c r="A651" s="91" t="s">
        <v>780</v>
      </c>
      <c r="B651" s="90" t="s">
        <v>40</v>
      </c>
      <c r="C651" s="90" t="n">
        <f aca="false">ROUND(E651*G651+F651,0)</f>
        <v>1476</v>
      </c>
      <c r="D651" s="90" t="s">
        <v>238</v>
      </c>
      <c r="E651" s="90" t="n">
        <v>1800</v>
      </c>
      <c r="F651" s="90" t="n">
        <f aca="false">H651+I651+J651+K651+L651+M651</f>
        <v>180</v>
      </c>
      <c r="G651" s="90" t="n">
        <v>0.72</v>
      </c>
      <c r="I651" s="90" t="n">
        <v>130</v>
      </c>
      <c r="J651" s="90" t="n">
        <v>50</v>
      </c>
    </row>
    <row r="652" customFormat="false" ht="17.6" hidden="false" customHeight="false" outlineLevel="0" collapsed="false">
      <c r="A652" s="91" t="s">
        <v>781</v>
      </c>
      <c r="B652" s="90" t="s">
        <v>40</v>
      </c>
      <c r="C652" s="90" t="n">
        <f aca="false">ROUND(E652*G652+F652,0)</f>
        <v>1996</v>
      </c>
      <c r="D652" s="90" t="s">
        <v>238</v>
      </c>
      <c r="E652" s="90" t="n">
        <v>1800</v>
      </c>
      <c r="F652" s="90" t="n">
        <f aca="false">H652+I652+J652+K652+L652+M652</f>
        <v>700</v>
      </c>
      <c r="G652" s="90" t="n">
        <v>0.72</v>
      </c>
      <c r="I652" s="90" t="n">
        <v>130</v>
      </c>
      <c r="J652" s="90" t="n">
        <v>50</v>
      </c>
      <c r="M652" s="90" t="n">
        <v>520</v>
      </c>
    </row>
    <row r="653" customFormat="false" ht="17.6" hidden="false" customHeight="false" outlineLevel="0" collapsed="false">
      <c r="A653" s="91" t="s">
        <v>782</v>
      </c>
      <c r="B653" s="90" t="s">
        <v>40</v>
      </c>
      <c r="C653" s="90" t="n">
        <f aca="false">ROUND(E653*G653+F653,0)</f>
        <v>2310</v>
      </c>
      <c r="D653" s="90" t="s">
        <v>238</v>
      </c>
      <c r="E653" s="90" t="n">
        <v>3000</v>
      </c>
      <c r="F653" s="90" t="n">
        <f aca="false">H653+I653+J653+K653+L653+M653</f>
        <v>150</v>
      </c>
      <c r="G653" s="90" t="n">
        <v>0.72</v>
      </c>
      <c r="H653" s="90" t="n">
        <v>150</v>
      </c>
    </row>
    <row r="654" customFormat="false" ht="17.6" hidden="false" customHeight="false" outlineLevel="0" collapsed="false">
      <c r="A654" s="91" t="s">
        <v>783</v>
      </c>
      <c r="B654" s="90" t="s">
        <v>40</v>
      </c>
      <c r="C654" s="90" t="n">
        <f aca="false">ROUND(E654*G654+F654,0)</f>
        <v>2160</v>
      </c>
      <c r="D654" s="90" t="s">
        <v>238</v>
      </c>
      <c r="E654" s="90" t="n">
        <v>3000</v>
      </c>
      <c r="F654" s="90" t="n">
        <f aca="false">H654+I654+J654+K654+L654+M654</f>
        <v>0</v>
      </c>
      <c r="G654" s="90" t="n">
        <v>0.72</v>
      </c>
    </row>
    <row r="655" customFormat="false" ht="17.6" hidden="false" customHeight="false" outlineLevel="0" collapsed="false">
      <c r="A655" s="91" t="s">
        <v>784</v>
      </c>
      <c r="B655" s="90" t="s">
        <v>40</v>
      </c>
      <c r="C655" s="90" t="n">
        <f aca="false">ROUND(E655*G655+F655,0)</f>
        <v>2340</v>
      </c>
      <c r="D655" s="90" t="s">
        <v>238</v>
      </c>
      <c r="E655" s="90" t="n">
        <v>3000</v>
      </c>
      <c r="F655" s="90" t="n">
        <f aca="false">H655+I655+J655+K655+L655+M655</f>
        <v>180</v>
      </c>
      <c r="G655" s="90" t="n">
        <v>0.72</v>
      </c>
      <c r="H655" s="90" t="n">
        <v>150</v>
      </c>
      <c r="L655" s="90" t="n">
        <v>30</v>
      </c>
    </row>
    <row r="656" customFormat="false" ht="17.6" hidden="false" customHeight="false" outlineLevel="0" collapsed="false">
      <c r="A656" s="91" t="s">
        <v>785</v>
      </c>
      <c r="B656" s="90" t="s">
        <v>40</v>
      </c>
      <c r="C656" s="90" t="n">
        <f aca="false">ROUND(E656*G656+F656,0)</f>
        <v>2210</v>
      </c>
      <c r="D656" s="90" t="s">
        <v>238</v>
      </c>
      <c r="E656" s="90" t="n">
        <v>3000</v>
      </c>
      <c r="F656" s="90" t="n">
        <f aca="false">H656+I656+J656+K656+L656+M656</f>
        <v>50</v>
      </c>
      <c r="G656" s="90" t="n">
        <v>0.72</v>
      </c>
      <c r="J656" s="90" t="n">
        <v>50</v>
      </c>
    </row>
    <row r="657" customFormat="false" ht="17.6" hidden="false" customHeight="false" outlineLevel="0" collapsed="false">
      <c r="A657" s="91" t="s">
        <v>786</v>
      </c>
      <c r="B657" s="90" t="s">
        <v>40</v>
      </c>
      <c r="C657" s="90" t="n">
        <f aca="false">ROUND(E657*G657+F657,0)</f>
        <v>3080</v>
      </c>
      <c r="D657" s="90" t="s">
        <v>238</v>
      </c>
      <c r="E657" s="90" t="n">
        <v>3000</v>
      </c>
      <c r="F657" s="90" t="n">
        <f aca="false">H657+I657+J657+K657+L657+M657</f>
        <v>920</v>
      </c>
      <c r="G657" s="90" t="n">
        <v>0.72</v>
      </c>
      <c r="J657" s="90" t="n">
        <v>50</v>
      </c>
      <c r="M657" s="90" t="n">
        <v>870</v>
      </c>
    </row>
    <row r="658" customFormat="false" ht="17.6" hidden="false" customHeight="false" outlineLevel="0" collapsed="false">
      <c r="A658" s="91" t="s">
        <v>787</v>
      </c>
      <c r="B658" s="90" t="s">
        <v>40</v>
      </c>
      <c r="C658" s="90" t="n">
        <f aca="false">ROUND(E658*G658+F658,0)</f>
        <v>2360</v>
      </c>
      <c r="D658" s="90" t="s">
        <v>238</v>
      </c>
      <c r="E658" s="90" t="n">
        <v>3000</v>
      </c>
      <c r="F658" s="90" t="n">
        <f aca="false">H658+I658+J658+K658+L658+M658</f>
        <v>200</v>
      </c>
      <c r="G658" s="90" t="n">
        <v>0.72</v>
      </c>
      <c r="H658" s="90" t="n">
        <v>150</v>
      </c>
      <c r="K658" s="90" t="n">
        <v>50</v>
      </c>
    </row>
    <row r="659" customFormat="false" ht="17.6" hidden="false" customHeight="false" outlineLevel="0" collapsed="false">
      <c r="A659" s="91" t="s">
        <v>788</v>
      </c>
      <c r="B659" s="90" t="s">
        <v>40</v>
      </c>
      <c r="C659" s="90" t="n">
        <f aca="false">ROUND(E659*G659+F659,0)</f>
        <v>2210</v>
      </c>
      <c r="D659" s="90" t="s">
        <v>238</v>
      </c>
      <c r="E659" s="90" t="n">
        <v>3000</v>
      </c>
      <c r="F659" s="90" t="n">
        <f aca="false">H659+I659+J659+K659+L659+M659</f>
        <v>50</v>
      </c>
      <c r="G659" s="90" t="n">
        <v>0.72</v>
      </c>
      <c r="K659" s="90" t="n">
        <v>50</v>
      </c>
    </row>
    <row r="660" customFormat="false" ht="17.6" hidden="false" customHeight="false" outlineLevel="0" collapsed="false">
      <c r="A660" s="91" t="s">
        <v>789</v>
      </c>
      <c r="B660" s="90" t="s">
        <v>40</v>
      </c>
      <c r="C660" s="90" t="n">
        <f aca="false">ROUND(E660*G660+F660,0)</f>
        <v>3080</v>
      </c>
      <c r="D660" s="90" t="s">
        <v>238</v>
      </c>
      <c r="E660" s="90" t="n">
        <v>3000</v>
      </c>
      <c r="F660" s="90" t="n">
        <f aca="false">H660+I660+J660+K660+L660+M660</f>
        <v>920</v>
      </c>
      <c r="G660" s="90" t="n">
        <v>0.72</v>
      </c>
      <c r="K660" s="90" t="n">
        <v>50</v>
      </c>
      <c r="M660" s="90" t="n">
        <v>870</v>
      </c>
    </row>
    <row r="661" customFormat="false" ht="17.6" hidden="false" customHeight="false" outlineLevel="0" collapsed="false">
      <c r="A661" s="91" t="s">
        <v>790</v>
      </c>
      <c r="B661" s="90" t="s">
        <v>40</v>
      </c>
      <c r="C661" s="90" t="n">
        <f aca="false">ROUND(E661*G661+F661,0)</f>
        <v>3030</v>
      </c>
      <c r="D661" s="90" t="s">
        <v>238</v>
      </c>
      <c r="E661" s="90" t="n">
        <v>3000</v>
      </c>
      <c r="F661" s="90" t="n">
        <f aca="false">H661+I661+J661+K661+L661+M661</f>
        <v>870</v>
      </c>
      <c r="G661" s="90" t="n">
        <v>0.72</v>
      </c>
      <c r="M661" s="90" t="n">
        <v>870</v>
      </c>
    </row>
    <row r="662" customFormat="false" ht="17.6" hidden="false" customHeight="false" outlineLevel="0" collapsed="false">
      <c r="A662" s="91" t="s">
        <v>791</v>
      </c>
      <c r="B662" s="90" t="s">
        <v>40</v>
      </c>
      <c r="C662" s="90" t="n">
        <f aca="false">ROUND(E662*G662+F662,0)</f>
        <v>2360</v>
      </c>
      <c r="D662" s="90" t="s">
        <v>238</v>
      </c>
      <c r="E662" s="90" t="n">
        <v>3000</v>
      </c>
      <c r="F662" s="90" t="n">
        <f aca="false">H662+I662+J662+K662+L662+M662</f>
        <v>200</v>
      </c>
      <c r="G662" s="90" t="n">
        <v>0.72</v>
      </c>
      <c r="H662" s="90" t="n">
        <v>150</v>
      </c>
      <c r="J662" s="90" t="n">
        <v>50</v>
      </c>
    </row>
    <row r="663" customFormat="false" ht="17.6" hidden="false" customHeight="false" outlineLevel="0" collapsed="false">
      <c r="A663" s="91" t="s">
        <v>792</v>
      </c>
      <c r="B663" s="90" t="s">
        <v>40</v>
      </c>
      <c r="C663" s="90" t="n">
        <f aca="false">ROUND(E663*G663+F663,0)</f>
        <v>2210</v>
      </c>
      <c r="D663" s="90" t="s">
        <v>238</v>
      </c>
      <c r="E663" s="90" t="n">
        <v>3000</v>
      </c>
      <c r="F663" s="90" t="n">
        <f aca="false">H663+I663+J663+K663+L663+M663</f>
        <v>50</v>
      </c>
      <c r="G663" s="90" t="n">
        <v>0.72</v>
      </c>
      <c r="J663" s="90" t="n">
        <v>50</v>
      </c>
    </row>
    <row r="664" customFormat="false" ht="17.6" hidden="false" customHeight="false" outlineLevel="0" collapsed="false">
      <c r="A664" s="91" t="s">
        <v>793</v>
      </c>
      <c r="B664" s="90" t="s">
        <v>40</v>
      </c>
      <c r="C664" s="90" t="n">
        <f aca="false">ROUND(E664*G664+F664,0)</f>
        <v>3080</v>
      </c>
      <c r="D664" s="90" t="s">
        <v>238</v>
      </c>
      <c r="E664" s="90" t="n">
        <v>3000</v>
      </c>
      <c r="F664" s="90" t="n">
        <f aca="false">H664+I664+J664+K664+L664+M664</f>
        <v>920</v>
      </c>
      <c r="G664" s="90" t="n">
        <v>0.72</v>
      </c>
      <c r="J664" s="90" t="n">
        <v>50</v>
      </c>
      <c r="M664" s="90" t="n">
        <v>870</v>
      </c>
    </row>
    <row r="665" customFormat="false" ht="17.6" hidden="false" customHeight="false" outlineLevel="0" collapsed="false">
      <c r="A665" s="91" t="s">
        <v>794</v>
      </c>
      <c r="B665" s="90" t="s">
        <v>40</v>
      </c>
      <c r="C665" s="90" t="n">
        <f aca="false">ROUND(E665*G665+F665,0)</f>
        <v>2490</v>
      </c>
      <c r="D665" s="90" t="s">
        <v>238</v>
      </c>
      <c r="E665" s="90" t="n">
        <v>3000</v>
      </c>
      <c r="F665" s="90" t="n">
        <f aca="false">H665+I665+J665+K665+L665+M665</f>
        <v>330</v>
      </c>
      <c r="G665" s="90" t="n">
        <v>0.72</v>
      </c>
      <c r="H665" s="90" t="n">
        <v>150</v>
      </c>
      <c r="I665" s="90" t="n">
        <v>130</v>
      </c>
      <c r="J665" s="90" t="n">
        <v>50</v>
      </c>
    </row>
    <row r="666" customFormat="false" ht="17.6" hidden="false" customHeight="false" outlineLevel="0" collapsed="false">
      <c r="A666" s="91" t="s">
        <v>795</v>
      </c>
      <c r="B666" s="90" t="s">
        <v>40</v>
      </c>
      <c r="C666" s="90" t="n">
        <f aca="false">ROUND(E666*G666+F666,0)</f>
        <v>2340</v>
      </c>
      <c r="D666" s="90" t="s">
        <v>238</v>
      </c>
      <c r="E666" s="90" t="n">
        <v>3000</v>
      </c>
      <c r="F666" s="90" t="n">
        <f aca="false">H666+I666+J666+K666+L666+M666</f>
        <v>180</v>
      </c>
      <c r="G666" s="90" t="n">
        <v>0.72</v>
      </c>
      <c r="I666" s="90" t="n">
        <v>130</v>
      </c>
      <c r="J666" s="90" t="n">
        <v>50</v>
      </c>
    </row>
    <row r="667" customFormat="false" ht="17.6" hidden="false" customHeight="false" outlineLevel="0" collapsed="false">
      <c r="A667" s="91" t="s">
        <v>796</v>
      </c>
      <c r="B667" s="90" t="s">
        <v>40</v>
      </c>
      <c r="C667" s="90" t="n">
        <f aca="false">ROUND(E667*G667+F667,0)</f>
        <v>3210</v>
      </c>
      <c r="D667" s="90" t="s">
        <v>238</v>
      </c>
      <c r="E667" s="90" t="n">
        <v>3000</v>
      </c>
      <c r="F667" s="90" t="n">
        <f aca="false">H667+I667+J667+K667+L667+M667</f>
        <v>1050</v>
      </c>
      <c r="G667" s="90" t="n">
        <v>0.72</v>
      </c>
      <c r="I667" s="90" t="n">
        <v>130</v>
      </c>
      <c r="J667" s="90" t="n">
        <v>50</v>
      </c>
      <c r="M667" s="90" t="n">
        <v>870</v>
      </c>
    </row>
    <row r="668" customFormat="false" ht="17.6" hidden="false" customHeight="false" outlineLevel="0" collapsed="false">
      <c r="A668" s="91" t="s">
        <v>797</v>
      </c>
      <c r="B668" s="90" t="s">
        <v>40</v>
      </c>
      <c r="C668" s="90" t="n">
        <f aca="false">ROUND(E668*G668+F668,0)</f>
        <v>1662</v>
      </c>
      <c r="D668" s="90" t="s">
        <v>238</v>
      </c>
      <c r="E668" s="90" t="n">
        <v>2100</v>
      </c>
      <c r="F668" s="90" t="n">
        <f aca="false">H668+I668+J668+K668+L668+M668</f>
        <v>150</v>
      </c>
      <c r="G668" s="90" t="n">
        <v>0.72</v>
      </c>
      <c r="H668" s="90" t="n">
        <v>150</v>
      </c>
    </row>
    <row r="669" customFormat="false" ht="17.6" hidden="false" customHeight="false" outlineLevel="0" collapsed="false">
      <c r="A669" s="91" t="s">
        <v>798</v>
      </c>
      <c r="B669" s="90" t="s">
        <v>40</v>
      </c>
      <c r="C669" s="90" t="n">
        <f aca="false">ROUND(E669*G669+F669,0)</f>
        <v>1512</v>
      </c>
      <c r="D669" s="90" t="s">
        <v>238</v>
      </c>
      <c r="E669" s="90" t="n">
        <v>2100</v>
      </c>
      <c r="F669" s="90" t="n">
        <f aca="false">H669+I669+J669+K669+L669+M669</f>
        <v>0</v>
      </c>
      <c r="G669" s="90" t="n">
        <v>0.72</v>
      </c>
    </row>
    <row r="670" customFormat="false" ht="17.6" hidden="false" customHeight="false" outlineLevel="0" collapsed="false">
      <c r="A670" s="91" t="s">
        <v>799</v>
      </c>
      <c r="B670" s="90" t="s">
        <v>40</v>
      </c>
      <c r="C670" s="90" t="n">
        <f aca="false">ROUND(E670*G670+F670,0)</f>
        <v>1692</v>
      </c>
      <c r="D670" s="90" t="s">
        <v>238</v>
      </c>
      <c r="E670" s="90" t="n">
        <v>2100</v>
      </c>
      <c r="F670" s="90" t="n">
        <f aca="false">H670+I670+J670+K670+L670+M670</f>
        <v>180</v>
      </c>
      <c r="G670" s="90" t="n">
        <v>0.72</v>
      </c>
      <c r="H670" s="90" t="n">
        <v>150</v>
      </c>
      <c r="L670" s="90" t="n">
        <v>30</v>
      </c>
    </row>
    <row r="671" customFormat="false" ht="17.6" hidden="false" customHeight="false" outlineLevel="0" collapsed="false">
      <c r="A671" s="91" t="s">
        <v>800</v>
      </c>
      <c r="B671" s="90" t="s">
        <v>40</v>
      </c>
      <c r="C671" s="90" t="n">
        <f aca="false">ROUND(E671*G671+F671,0)</f>
        <v>1562</v>
      </c>
      <c r="D671" s="90" t="s">
        <v>238</v>
      </c>
      <c r="E671" s="90" t="n">
        <v>2100</v>
      </c>
      <c r="F671" s="90" t="n">
        <f aca="false">H671+I671+J671+K671+L671+M671</f>
        <v>50</v>
      </c>
      <c r="G671" s="90" t="n">
        <v>0.72</v>
      </c>
      <c r="J671" s="90" t="n">
        <v>50</v>
      </c>
    </row>
    <row r="672" customFormat="false" ht="17.6" hidden="false" customHeight="false" outlineLevel="0" collapsed="false">
      <c r="A672" s="91" t="s">
        <v>801</v>
      </c>
      <c r="B672" s="90" t="s">
        <v>40</v>
      </c>
      <c r="C672" s="90" t="n">
        <f aca="false">ROUND(E672*G672+F672,0)</f>
        <v>2432</v>
      </c>
      <c r="D672" s="90" t="s">
        <v>238</v>
      </c>
      <c r="E672" s="90" t="n">
        <v>2100</v>
      </c>
      <c r="F672" s="90" t="n">
        <f aca="false">H672+I672+J672+K672+L672+M672</f>
        <v>920</v>
      </c>
      <c r="G672" s="90" t="n">
        <v>0.72</v>
      </c>
      <c r="J672" s="90" t="n">
        <v>50</v>
      </c>
      <c r="M672" s="90" t="n">
        <v>870</v>
      </c>
    </row>
    <row r="673" customFormat="false" ht="17.6" hidden="false" customHeight="false" outlineLevel="0" collapsed="false">
      <c r="A673" s="91" t="s">
        <v>802</v>
      </c>
      <c r="B673" s="90" t="s">
        <v>40</v>
      </c>
      <c r="C673" s="90" t="n">
        <f aca="false">ROUND(E673*G673+F673,0)</f>
        <v>1712</v>
      </c>
      <c r="D673" s="90" t="s">
        <v>238</v>
      </c>
      <c r="E673" s="90" t="n">
        <v>2100</v>
      </c>
      <c r="F673" s="90" t="n">
        <f aca="false">H673+I673+J673+K673+L673+M673</f>
        <v>200</v>
      </c>
      <c r="G673" s="90" t="n">
        <v>0.72</v>
      </c>
      <c r="H673" s="90" t="n">
        <v>150</v>
      </c>
      <c r="K673" s="90" t="n">
        <v>50</v>
      </c>
    </row>
    <row r="674" customFormat="false" ht="17.6" hidden="false" customHeight="false" outlineLevel="0" collapsed="false">
      <c r="A674" s="91" t="s">
        <v>803</v>
      </c>
      <c r="B674" s="90" t="s">
        <v>40</v>
      </c>
      <c r="C674" s="90" t="n">
        <f aca="false">ROUND(E674*G674+F674,0)</f>
        <v>1562</v>
      </c>
      <c r="D674" s="90" t="s">
        <v>238</v>
      </c>
      <c r="E674" s="90" t="n">
        <v>2100</v>
      </c>
      <c r="F674" s="90" t="n">
        <f aca="false">H674+I674+J674+K674+L674+M674</f>
        <v>50</v>
      </c>
      <c r="G674" s="90" t="n">
        <v>0.72</v>
      </c>
      <c r="K674" s="90" t="n">
        <v>50</v>
      </c>
    </row>
    <row r="675" customFormat="false" ht="17.6" hidden="false" customHeight="false" outlineLevel="0" collapsed="false">
      <c r="A675" s="91" t="s">
        <v>804</v>
      </c>
      <c r="B675" s="90" t="s">
        <v>40</v>
      </c>
      <c r="C675" s="90" t="n">
        <f aca="false">ROUND(E675*G675+F675,0)</f>
        <v>2432</v>
      </c>
      <c r="D675" s="90" t="s">
        <v>238</v>
      </c>
      <c r="E675" s="90" t="n">
        <v>2100</v>
      </c>
      <c r="F675" s="90" t="n">
        <f aca="false">H675+I675+J675+K675+L675+M675</f>
        <v>920</v>
      </c>
      <c r="G675" s="90" t="n">
        <v>0.72</v>
      </c>
      <c r="K675" s="90" t="n">
        <v>50</v>
      </c>
      <c r="M675" s="90" t="n">
        <v>870</v>
      </c>
    </row>
    <row r="676" customFormat="false" ht="17.6" hidden="false" customHeight="false" outlineLevel="0" collapsed="false">
      <c r="A676" s="91" t="s">
        <v>805</v>
      </c>
      <c r="B676" s="90" t="s">
        <v>40</v>
      </c>
      <c r="C676" s="90" t="n">
        <f aca="false">ROUND(E676*G676+F676,0)</f>
        <v>2382</v>
      </c>
      <c r="D676" s="90" t="s">
        <v>238</v>
      </c>
      <c r="E676" s="90" t="n">
        <v>2100</v>
      </c>
      <c r="F676" s="90" t="n">
        <f aca="false">H676+I676+J676+K676+L676+M676</f>
        <v>870</v>
      </c>
      <c r="G676" s="90" t="n">
        <v>0.72</v>
      </c>
      <c r="M676" s="90" t="n">
        <v>870</v>
      </c>
    </row>
    <row r="677" customFormat="false" ht="17.6" hidden="false" customHeight="false" outlineLevel="0" collapsed="false">
      <c r="A677" s="91" t="s">
        <v>806</v>
      </c>
      <c r="B677" s="90" t="s">
        <v>40</v>
      </c>
      <c r="C677" s="90" t="n">
        <f aca="false">ROUND(E677*G677+F677,0)</f>
        <v>1712</v>
      </c>
      <c r="D677" s="90" t="s">
        <v>238</v>
      </c>
      <c r="E677" s="90" t="n">
        <v>2100</v>
      </c>
      <c r="F677" s="90" t="n">
        <f aca="false">H677+I677+J677+K677+L677+M677</f>
        <v>200</v>
      </c>
      <c r="G677" s="90" t="n">
        <v>0.72</v>
      </c>
      <c r="H677" s="90" t="n">
        <v>150</v>
      </c>
      <c r="J677" s="90" t="n">
        <v>50</v>
      </c>
    </row>
    <row r="678" customFormat="false" ht="17.6" hidden="false" customHeight="false" outlineLevel="0" collapsed="false">
      <c r="A678" s="91" t="s">
        <v>807</v>
      </c>
      <c r="B678" s="90" t="s">
        <v>40</v>
      </c>
      <c r="C678" s="90" t="n">
        <f aca="false">ROUND(E678*G678+F678,0)</f>
        <v>1562</v>
      </c>
      <c r="D678" s="90" t="s">
        <v>238</v>
      </c>
      <c r="E678" s="90" t="n">
        <v>2100</v>
      </c>
      <c r="F678" s="90" t="n">
        <f aca="false">H678+I678+J678+K678+L678+M678</f>
        <v>50</v>
      </c>
      <c r="G678" s="90" t="n">
        <v>0.72</v>
      </c>
      <c r="J678" s="90" t="n">
        <v>50</v>
      </c>
    </row>
    <row r="679" customFormat="false" ht="17.6" hidden="false" customHeight="false" outlineLevel="0" collapsed="false">
      <c r="A679" s="91" t="s">
        <v>808</v>
      </c>
      <c r="B679" s="90" t="s">
        <v>40</v>
      </c>
      <c r="C679" s="90" t="n">
        <f aca="false">ROUND(E679*G679+F679,0)</f>
        <v>2432</v>
      </c>
      <c r="D679" s="90" t="s">
        <v>238</v>
      </c>
      <c r="E679" s="90" t="n">
        <v>2100</v>
      </c>
      <c r="F679" s="90" t="n">
        <f aca="false">H679+I679+J679+K679+L679+M679</f>
        <v>920</v>
      </c>
      <c r="G679" s="90" t="n">
        <v>0.72</v>
      </c>
      <c r="J679" s="90" t="n">
        <v>50</v>
      </c>
      <c r="M679" s="90" t="n">
        <v>870</v>
      </c>
    </row>
    <row r="680" customFormat="false" ht="17.6" hidden="false" customHeight="false" outlineLevel="0" collapsed="false">
      <c r="A680" s="91" t="s">
        <v>809</v>
      </c>
      <c r="B680" s="90" t="s">
        <v>40</v>
      </c>
      <c r="C680" s="90" t="n">
        <f aca="false">ROUND(E680*G680+F680,0)</f>
        <v>1842</v>
      </c>
      <c r="D680" s="90" t="s">
        <v>238</v>
      </c>
      <c r="E680" s="90" t="n">
        <v>2100</v>
      </c>
      <c r="F680" s="90" t="n">
        <f aca="false">H680+I680+J680+K680+L680+M680</f>
        <v>330</v>
      </c>
      <c r="G680" s="90" t="n">
        <v>0.72</v>
      </c>
      <c r="H680" s="90" t="n">
        <v>150</v>
      </c>
      <c r="I680" s="90" t="n">
        <v>130</v>
      </c>
      <c r="J680" s="90" t="n">
        <v>50</v>
      </c>
    </row>
    <row r="681" customFormat="false" ht="17.6" hidden="false" customHeight="false" outlineLevel="0" collapsed="false">
      <c r="A681" s="91" t="s">
        <v>810</v>
      </c>
      <c r="B681" s="90" t="s">
        <v>40</v>
      </c>
      <c r="C681" s="90" t="n">
        <f aca="false">ROUND(E681*G681+F681,0)</f>
        <v>1692</v>
      </c>
      <c r="D681" s="90" t="s">
        <v>238</v>
      </c>
      <c r="E681" s="90" t="n">
        <v>2100</v>
      </c>
      <c r="F681" s="90" t="n">
        <f aca="false">H681+I681+J681+K681+L681+M681</f>
        <v>180</v>
      </c>
      <c r="G681" s="90" t="n">
        <v>0.72</v>
      </c>
      <c r="I681" s="90" t="n">
        <v>130</v>
      </c>
      <c r="J681" s="90" t="n">
        <v>50</v>
      </c>
    </row>
    <row r="682" customFormat="false" ht="17.6" hidden="false" customHeight="false" outlineLevel="0" collapsed="false">
      <c r="A682" s="91" t="s">
        <v>811</v>
      </c>
      <c r="B682" s="90" t="s">
        <v>40</v>
      </c>
      <c r="C682" s="90" t="n">
        <f aca="false">ROUND(E682*G682+F682,0)</f>
        <v>2562</v>
      </c>
      <c r="D682" s="90" t="s">
        <v>238</v>
      </c>
      <c r="E682" s="90" t="n">
        <v>2100</v>
      </c>
      <c r="F682" s="90" t="n">
        <f aca="false">H682+I682+J682+K682+L682+M682</f>
        <v>1050</v>
      </c>
      <c r="G682" s="90" t="n">
        <v>0.72</v>
      </c>
      <c r="I682" s="90" t="n">
        <v>130</v>
      </c>
      <c r="J682" s="90" t="n">
        <v>50</v>
      </c>
      <c r="M682" s="90" t="n">
        <v>870</v>
      </c>
    </row>
    <row r="683" customFormat="false" ht="17.6" hidden="false" customHeight="false" outlineLevel="0" collapsed="false">
      <c r="A683" s="91" t="s">
        <v>812</v>
      </c>
      <c r="B683" s="90" t="s">
        <v>40</v>
      </c>
      <c r="C683" s="90" t="n">
        <f aca="false">ROUND(E683*G683+F683,0)</f>
        <v>1878</v>
      </c>
      <c r="D683" s="90" t="s">
        <v>238</v>
      </c>
      <c r="E683" s="90" t="n">
        <v>2400</v>
      </c>
      <c r="F683" s="90" t="n">
        <f aca="false">H683+I683+J683+K683+L683+M683</f>
        <v>150</v>
      </c>
      <c r="G683" s="90" t="n">
        <v>0.72</v>
      </c>
      <c r="H683" s="90" t="n">
        <v>150</v>
      </c>
    </row>
    <row r="684" customFormat="false" ht="17.6" hidden="false" customHeight="false" outlineLevel="0" collapsed="false">
      <c r="A684" s="91" t="s">
        <v>813</v>
      </c>
      <c r="B684" s="90" t="s">
        <v>40</v>
      </c>
      <c r="C684" s="90" t="n">
        <f aca="false">ROUND(E684*G684+F684,0)</f>
        <v>1728</v>
      </c>
      <c r="D684" s="90" t="s">
        <v>238</v>
      </c>
      <c r="E684" s="90" t="n">
        <v>2400</v>
      </c>
      <c r="F684" s="90" t="n">
        <f aca="false">H684+I684+J684+K684+L684+M684</f>
        <v>0</v>
      </c>
      <c r="G684" s="90" t="n">
        <v>0.72</v>
      </c>
    </row>
    <row r="685" customFormat="false" ht="17.6" hidden="false" customHeight="false" outlineLevel="0" collapsed="false">
      <c r="A685" s="91" t="s">
        <v>814</v>
      </c>
      <c r="B685" s="90" t="s">
        <v>40</v>
      </c>
      <c r="C685" s="90" t="n">
        <f aca="false">ROUND(E685*G685+F685,0)</f>
        <v>1908</v>
      </c>
      <c r="D685" s="90" t="s">
        <v>238</v>
      </c>
      <c r="E685" s="90" t="n">
        <v>2400</v>
      </c>
      <c r="F685" s="90" t="n">
        <f aca="false">H685+I685+J685+K685+L685+M685</f>
        <v>180</v>
      </c>
      <c r="G685" s="90" t="n">
        <v>0.72</v>
      </c>
      <c r="H685" s="90" t="n">
        <v>150</v>
      </c>
      <c r="L685" s="90" t="n">
        <v>30</v>
      </c>
    </row>
    <row r="686" customFormat="false" ht="17.6" hidden="false" customHeight="false" outlineLevel="0" collapsed="false">
      <c r="A686" s="91" t="s">
        <v>815</v>
      </c>
      <c r="B686" s="90" t="s">
        <v>40</v>
      </c>
      <c r="C686" s="90" t="n">
        <f aca="false">ROUND(E686*G686+F686,0)</f>
        <v>1778</v>
      </c>
      <c r="D686" s="90" t="s">
        <v>238</v>
      </c>
      <c r="E686" s="90" t="n">
        <v>2400</v>
      </c>
      <c r="F686" s="90" t="n">
        <f aca="false">H686+I686+J686+K686+L686+M686</f>
        <v>50</v>
      </c>
      <c r="G686" s="90" t="n">
        <v>0.72</v>
      </c>
      <c r="J686" s="90" t="n">
        <v>50</v>
      </c>
    </row>
    <row r="687" customFormat="false" ht="17.6" hidden="false" customHeight="false" outlineLevel="0" collapsed="false">
      <c r="A687" s="91" t="s">
        <v>816</v>
      </c>
      <c r="B687" s="90" t="s">
        <v>40</v>
      </c>
      <c r="C687" s="90" t="n">
        <f aca="false">ROUND(E687*G687+F687,0)</f>
        <v>2648</v>
      </c>
      <c r="D687" s="90" t="s">
        <v>238</v>
      </c>
      <c r="E687" s="90" t="n">
        <v>2400</v>
      </c>
      <c r="F687" s="90" t="n">
        <f aca="false">H687+I687+J687+K687+L687+M687</f>
        <v>920</v>
      </c>
      <c r="G687" s="90" t="n">
        <v>0.72</v>
      </c>
      <c r="J687" s="90" t="n">
        <v>50</v>
      </c>
      <c r="M687" s="90" t="n">
        <v>870</v>
      </c>
    </row>
    <row r="688" customFormat="false" ht="17.6" hidden="false" customHeight="false" outlineLevel="0" collapsed="false">
      <c r="A688" s="91" t="s">
        <v>817</v>
      </c>
      <c r="B688" s="90" t="s">
        <v>40</v>
      </c>
      <c r="C688" s="90" t="n">
        <f aca="false">ROUND(E688*G688+F688,0)</f>
        <v>1928</v>
      </c>
      <c r="D688" s="90" t="s">
        <v>238</v>
      </c>
      <c r="E688" s="90" t="n">
        <v>2400</v>
      </c>
      <c r="F688" s="90" t="n">
        <f aca="false">H688+I688+J688+K688+L688+M688</f>
        <v>200</v>
      </c>
      <c r="G688" s="90" t="n">
        <v>0.72</v>
      </c>
      <c r="H688" s="90" t="n">
        <v>150</v>
      </c>
      <c r="K688" s="90" t="n">
        <v>50</v>
      </c>
    </row>
    <row r="689" customFormat="false" ht="17.6" hidden="false" customHeight="false" outlineLevel="0" collapsed="false">
      <c r="A689" s="91" t="s">
        <v>818</v>
      </c>
      <c r="B689" s="90" t="s">
        <v>40</v>
      </c>
      <c r="C689" s="90" t="n">
        <f aca="false">ROUND(E689*G689+F689,0)</f>
        <v>1778</v>
      </c>
      <c r="D689" s="90" t="s">
        <v>238</v>
      </c>
      <c r="E689" s="90" t="n">
        <v>2400</v>
      </c>
      <c r="F689" s="90" t="n">
        <f aca="false">H689+I689+J689+K689+L689+M689</f>
        <v>50</v>
      </c>
      <c r="G689" s="90" t="n">
        <v>0.72</v>
      </c>
      <c r="K689" s="90" t="n">
        <v>50</v>
      </c>
    </row>
    <row r="690" customFormat="false" ht="17.6" hidden="false" customHeight="false" outlineLevel="0" collapsed="false">
      <c r="A690" s="91" t="s">
        <v>819</v>
      </c>
      <c r="B690" s="90" t="s">
        <v>40</v>
      </c>
      <c r="C690" s="90" t="n">
        <f aca="false">ROUND(E690*G690+F690,0)</f>
        <v>2648</v>
      </c>
      <c r="D690" s="90" t="s">
        <v>238</v>
      </c>
      <c r="E690" s="90" t="n">
        <v>2400</v>
      </c>
      <c r="F690" s="90" t="n">
        <f aca="false">H690+I690+J690+K690+L690+M690</f>
        <v>920</v>
      </c>
      <c r="G690" s="90" t="n">
        <v>0.72</v>
      </c>
      <c r="K690" s="90" t="n">
        <v>50</v>
      </c>
      <c r="M690" s="90" t="n">
        <v>870</v>
      </c>
    </row>
    <row r="691" customFormat="false" ht="17.6" hidden="false" customHeight="false" outlineLevel="0" collapsed="false">
      <c r="A691" s="91" t="s">
        <v>820</v>
      </c>
      <c r="B691" s="90" t="s">
        <v>40</v>
      </c>
      <c r="C691" s="90" t="n">
        <f aca="false">ROUND(E691*G691+F691,0)</f>
        <v>2598</v>
      </c>
      <c r="D691" s="90" t="s">
        <v>238</v>
      </c>
      <c r="E691" s="90" t="n">
        <v>2400</v>
      </c>
      <c r="F691" s="90" t="n">
        <f aca="false">H691+I691+J691+K691+L691+M691</f>
        <v>870</v>
      </c>
      <c r="G691" s="90" t="n">
        <v>0.72</v>
      </c>
      <c r="M691" s="90" t="n">
        <v>870</v>
      </c>
    </row>
    <row r="692" customFormat="false" ht="17.6" hidden="false" customHeight="false" outlineLevel="0" collapsed="false">
      <c r="A692" s="91" t="s">
        <v>821</v>
      </c>
      <c r="B692" s="90" t="s">
        <v>40</v>
      </c>
      <c r="C692" s="90" t="n">
        <f aca="false">ROUND(E692*G692+F692,0)</f>
        <v>1928</v>
      </c>
      <c r="D692" s="90" t="s">
        <v>238</v>
      </c>
      <c r="E692" s="90" t="n">
        <v>2400</v>
      </c>
      <c r="F692" s="90" t="n">
        <f aca="false">H692+I692+J692+K692+L692+M692</f>
        <v>200</v>
      </c>
      <c r="G692" s="90" t="n">
        <v>0.72</v>
      </c>
      <c r="H692" s="90" t="n">
        <v>150</v>
      </c>
      <c r="J692" s="90" t="n">
        <v>50</v>
      </c>
    </row>
    <row r="693" customFormat="false" ht="17.6" hidden="false" customHeight="false" outlineLevel="0" collapsed="false">
      <c r="A693" s="91" t="s">
        <v>822</v>
      </c>
      <c r="B693" s="90" t="s">
        <v>40</v>
      </c>
      <c r="C693" s="90" t="n">
        <f aca="false">ROUND(E693*G693+F693,0)</f>
        <v>1778</v>
      </c>
      <c r="D693" s="90" t="s">
        <v>238</v>
      </c>
      <c r="E693" s="90" t="n">
        <v>2400</v>
      </c>
      <c r="F693" s="90" t="n">
        <f aca="false">H693+I693+J693+K693+L693+M693</f>
        <v>50</v>
      </c>
      <c r="G693" s="90" t="n">
        <v>0.72</v>
      </c>
      <c r="J693" s="90" t="n">
        <v>50</v>
      </c>
    </row>
    <row r="694" customFormat="false" ht="17.6" hidden="false" customHeight="false" outlineLevel="0" collapsed="false">
      <c r="A694" s="91" t="s">
        <v>823</v>
      </c>
      <c r="B694" s="90" t="s">
        <v>40</v>
      </c>
      <c r="C694" s="90" t="n">
        <f aca="false">ROUND(E694*G694+F694,0)</f>
        <v>2648</v>
      </c>
      <c r="D694" s="90" t="s">
        <v>238</v>
      </c>
      <c r="E694" s="90" t="n">
        <v>2400</v>
      </c>
      <c r="F694" s="90" t="n">
        <f aca="false">H694+I694+J694+K694+L694+M694</f>
        <v>920</v>
      </c>
      <c r="G694" s="90" t="n">
        <v>0.72</v>
      </c>
      <c r="J694" s="90" t="n">
        <v>50</v>
      </c>
      <c r="M694" s="90" t="n">
        <v>870</v>
      </c>
    </row>
    <row r="695" customFormat="false" ht="17.6" hidden="false" customHeight="false" outlineLevel="0" collapsed="false">
      <c r="A695" s="91" t="s">
        <v>824</v>
      </c>
      <c r="B695" s="90" t="s">
        <v>40</v>
      </c>
      <c r="C695" s="90" t="n">
        <f aca="false">ROUND(E695*G695+F695,0)</f>
        <v>2058</v>
      </c>
      <c r="D695" s="90" t="s">
        <v>238</v>
      </c>
      <c r="E695" s="90" t="n">
        <v>2400</v>
      </c>
      <c r="F695" s="90" t="n">
        <f aca="false">H695+I695+J695+K695+L695+M695</f>
        <v>330</v>
      </c>
      <c r="G695" s="90" t="n">
        <v>0.72</v>
      </c>
      <c r="H695" s="90" t="n">
        <v>150</v>
      </c>
      <c r="I695" s="90" t="n">
        <v>130</v>
      </c>
      <c r="J695" s="90" t="n">
        <v>50</v>
      </c>
    </row>
    <row r="696" customFormat="false" ht="17.6" hidden="false" customHeight="false" outlineLevel="0" collapsed="false">
      <c r="A696" s="91" t="s">
        <v>825</v>
      </c>
      <c r="B696" s="90" t="s">
        <v>40</v>
      </c>
      <c r="C696" s="90" t="n">
        <f aca="false">ROUND(E696*G696+F696,0)</f>
        <v>1908</v>
      </c>
      <c r="D696" s="90" t="s">
        <v>238</v>
      </c>
      <c r="E696" s="90" t="n">
        <v>2400</v>
      </c>
      <c r="F696" s="90" t="n">
        <f aca="false">H696+I696+J696+K696+L696+M696</f>
        <v>180</v>
      </c>
      <c r="G696" s="90" t="n">
        <v>0.72</v>
      </c>
      <c r="I696" s="90" t="n">
        <v>130</v>
      </c>
      <c r="J696" s="90" t="n">
        <v>50</v>
      </c>
    </row>
    <row r="697" customFormat="false" ht="17.6" hidden="false" customHeight="false" outlineLevel="0" collapsed="false">
      <c r="A697" s="91" t="s">
        <v>826</v>
      </c>
      <c r="B697" s="90" t="s">
        <v>40</v>
      </c>
      <c r="C697" s="90" t="n">
        <f aca="false">ROUND(E697*G697+F697,0)</f>
        <v>2778</v>
      </c>
      <c r="D697" s="90" t="s">
        <v>238</v>
      </c>
      <c r="E697" s="90" t="n">
        <v>2400</v>
      </c>
      <c r="F697" s="90" t="n">
        <f aca="false">H697+I697+J697+K697+L697+M697</f>
        <v>1050</v>
      </c>
      <c r="G697" s="90" t="n">
        <v>0.72</v>
      </c>
      <c r="I697" s="90" t="n">
        <v>130</v>
      </c>
      <c r="J697" s="90" t="n">
        <v>50</v>
      </c>
      <c r="M697" s="90" t="n">
        <v>870</v>
      </c>
    </row>
    <row r="698" customFormat="false" ht="17.6" hidden="false" customHeight="false" outlineLevel="0" collapsed="false">
      <c r="A698" s="91" t="s">
        <v>827</v>
      </c>
      <c r="B698" s="90" t="s">
        <v>40</v>
      </c>
      <c r="C698" s="90" t="n">
        <f aca="false">ROUND(E698*G698+F698,0)</f>
        <v>562</v>
      </c>
      <c r="D698" s="90" t="s">
        <v>238</v>
      </c>
      <c r="E698" s="90" t="n">
        <v>780</v>
      </c>
      <c r="F698" s="90" t="n">
        <f aca="false">H698+I698+J698+K698+L698+M698</f>
        <v>0</v>
      </c>
      <c r="G698" s="90" t="n">
        <v>0.72</v>
      </c>
    </row>
    <row r="699" customFormat="false" ht="17.6" hidden="false" customHeight="false" outlineLevel="0" collapsed="false">
      <c r="A699" s="91" t="s">
        <v>828</v>
      </c>
      <c r="B699" s="90" t="s">
        <v>40</v>
      </c>
      <c r="C699" s="90" t="n">
        <f aca="false">ROUND(E699*G699+F699,0)</f>
        <v>562</v>
      </c>
      <c r="D699" s="90" t="s">
        <v>238</v>
      </c>
      <c r="E699" s="90" t="n">
        <v>780</v>
      </c>
      <c r="F699" s="90" t="n">
        <f aca="false">H699+I699+J699+K699+L699+M699</f>
        <v>0</v>
      </c>
      <c r="G699" s="90" t="n">
        <v>0.72</v>
      </c>
    </row>
    <row r="700" customFormat="false" ht="17.6" hidden="false" customHeight="false" outlineLevel="0" collapsed="false">
      <c r="A700" s="91" t="s">
        <v>829</v>
      </c>
      <c r="B700" s="90" t="s">
        <v>40</v>
      </c>
      <c r="C700" s="90" t="n">
        <f aca="false">ROUND(E700*G700+F700,0)</f>
        <v>592</v>
      </c>
      <c r="D700" s="90" t="s">
        <v>238</v>
      </c>
      <c r="E700" s="90" t="n">
        <v>780</v>
      </c>
      <c r="F700" s="90" t="n">
        <f aca="false">H700+I700+J700+K700+L700+M700</f>
        <v>30</v>
      </c>
      <c r="G700" s="90" t="n">
        <v>0.72</v>
      </c>
      <c r="L700" s="90" t="n">
        <v>30</v>
      </c>
    </row>
    <row r="701" customFormat="false" ht="17.6" hidden="false" customHeight="false" outlineLevel="0" collapsed="false">
      <c r="A701" s="91" t="s">
        <v>830</v>
      </c>
      <c r="B701" s="90" t="s">
        <v>40</v>
      </c>
      <c r="C701" s="90" t="n">
        <f aca="false">ROUND(E701*G701+F701,0)</f>
        <v>594</v>
      </c>
      <c r="D701" s="90" t="s">
        <v>238</v>
      </c>
      <c r="E701" s="90" t="n">
        <v>780</v>
      </c>
      <c r="F701" s="90" t="n">
        <f aca="false">H701+I701+J701+K701+L701+M701</f>
        <v>32</v>
      </c>
      <c r="G701" s="90" t="n">
        <v>0.72</v>
      </c>
      <c r="J701" s="90" t="n">
        <v>32</v>
      </c>
    </row>
    <row r="702" customFormat="false" ht="17.6" hidden="false" customHeight="false" outlineLevel="0" collapsed="false">
      <c r="A702" s="91" t="s">
        <v>831</v>
      </c>
      <c r="B702" s="90" t="s">
        <v>40</v>
      </c>
      <c r="C702" s="90" t="n">
        <f aca="false">ROUND(E702*G702+F702,0)</f>
        <v>694</v>
      </c>
      <c r="D702" s="90" t="s">
        <v>238</v>
      </c>
      <c r="E702" s="90" t="n">
        <v>780</v>
      </c>
      <c r="F702" s="90" t="n">
        <f aca="false">H702+I702+J702+K702+L702+M702</f>
        <v>132</v>
      </c>
      <c r="G702" s="90" t="n">
        <v>0.72</v>
      </c>
      <c r="J702" s="90" t="n">
        <v>32</v>
      </c>
      <c r="M702" s="90" t="n">
        <v>100</v>
      </c>
    </row>
    <row r="703" customFormat="false" ht="17.6" hidden="false" customHeight="false" outlineLevel="0" collapsed="false">
      <c r="A703" s="91" t="s">
        <v>832</v>
      </c>
      <c r="B703" s="90" t="s">
        <v>40</v>
      </c>
      <c r="C703" s="90" t="n">
        <f aca="false">ROUND(E703*G703+F703,0)</f>
        <v>592</v>
      </c>
      <c r="D703" s="90" t="s">
        <v>238</v>
      </c>
      <c r="E703" s="90" t="n">
        <v>780</v>
      </c>
      <c r="F703" s="90" t="n">
        <f aca="false">H703+I703+J703+K703+L703+M703</f>
        <v>30</v>
      </c>
      <c r="G703" s="90" t="n">
        <v>0.72</v>
      </c>
      <c r="K703" s="90" t="n">
        <v>30</v>
      </c>
    </row>
    <row r="704" customFormat="false" ht="17.6" hidden="false" customHeight="false" outlineLevel="0" collapsed="false">
      <c r="A704" s="91" t="s">
        <v>833</v>
      </c>
      <c r="B704" s="90" t="s">
        <v>40</v>
      </c>
      <c r="C704" s="90" t="n">
        <f aca="false">ROUND(E704*G704+F704,0)</f>
        <v>592</v>
      </c>
      <c r="D704" s="90" t="s">
        <v>238</v>
      </c>
      <c r="E704" s="90" t="n">
        <v>780</v>
      </c>
      <c r="F704" s="90" t="n">
        <f aca="false">H704+I704+J704+K704+L704+M704</f>
        <v>30</v>
      </c>
      <c r="G704" s="90" t="n">
        <v>0.72</v>
      </c>
      <c r="K704" s="90" t="n">
        <v>30</v>
      </c>
    </row>
    <row r="705" customFormat="false" ht="17.6" hidden="false" customHeight="false" outlineLevel="0" collapsed="false">
      <c r="A705" s="91" t="s">
        <v>834</v>
      </c>
      <c r="B705" s="90" t="s">
        <v>40</v>
      </c>
      <c r="C705" s="90" t="n">
        <f aca="false">ROUND(E705*G705+F705,0)</f>
        <v>692</v>
      </c>
      <c r="D705" s="90" t="s">
        <v>238</v>
      </c>
      <c r="E705" s="90" t="n">
        <v>780</v>
      </c>
      <c r="F705" s="90" t="n">
        <f aca="false">H705+I705+J705+K705+L705+M705</f>
        <v>130</v>
      </c>
      <c r="G705" s="90" t="n">
        <v>0.72</v>
      </c>
      <c r="K705" s="90" t="n">
        <v>30</v>
      </c>
      <c r="M705" s="90" t="n">
        <v>100</v>
      </c>
    </row>
    <row r="706" customFormat="false" ht="17.6" hidden="false" customHeight="false" outlineLevel="0" collapsed="false">
      <c r="A706" s="91" t="s">
        <v>835</v>
      </c>
      <c r="B706" s="90" t="s">
        <v>40</v>
      </c>
      <c r="C706" s="90" t="n">
        <f aca="false">ROUND(E706*G706+F706,0)</f>
        <v>662</v>
      </c>
      <c r="D706" s="90" t="s">
        <v>238</v>
      </c>
      <c r="E706" s="90" t="n">
        <v>780</v>
      </c>
      <c r="F706" s="90" t="n">
        <f aca="false">H706+I706+J706+K706+L706+M706</f>
        <v>100</v>
      </c>
      <c r="G706" s="90" t="n">
        <v>0.72</v>
      </c>
      <c r="M706" s="90" t="n">
        <v>100</v>
      </c>
    </row>
    <row r="707" customFormat="false" ht="17.6" hidden="false" customHeight="false" outlineLevel="0" collapsed="false">
      <c r="A707" s="91" t="s">
        <v>836</v>
      </c>
      <c r="B707" s="90" t="s">
        <v>40</v>
      </c>
      <c r="C707" s="90" t="n">
        <f aca="false">ROUND(E707*G707+F707,0)</f>
        <v>594</v>
      </c>
      <c r="D707" s="90" t="s">
        <v>238</v>
      </c>
      <c r="E707" s="90" t="n">
        <v>780</v>
      </c>
      <c r="F707" s="90" t="n">
        <f aca="false">H707+I707+J707+K707+L707+M707</f>
        <v>32</v>
      </c>
      <c r="G707" s="90" t="n">
        <v>0.72</v>
      </c>
      <c r="J707" s="90" t="n">
        <v>32</v>
      </c>
    </row>
    <row r="708" customFormat="false" ht="17.6" hidden="false" customHeight="false" outlineLevel="0" collapsed="false">
      <c r="A708" s="91" t="s">
        <v>837</v>
      </c>
      <c r="B708" s="90" t="s">
        <v>40</v>
      </c>
      <c r="C708" s="90" t="n">
        <f aca="false">ROUND(E708*G708+F708,0)</f>
        <v>594</v>
      </c>
      <c r="D708" s="90" t="s">
        <v>238</v>
      </c>
      <c r="E708" s="90" t="n">
        <v>780</v>
      </c>
      <c r="F708" s="90" t="n">
        <f aca="false">H708+I708+J708+K708+L708+M708</f>
        <v>32</v>
      </c>
      <c r="G708" s="90" t="n">
        <v>0.72</v>
      </c>
      <c r="J708" s="90" t="n">
        <v>32</v>
      </c>
    </row>
    <row r="709" customFormat="false" ht="17.6" hidden="false" customHeight="false" outlineLevel="0" collapsed="false">
      <c r="A709" s="91" t="s">
        <v>838</v>
      </c>
      <c r="B709" s="90" t="s">
        <v>40</v>
      </c>
      <c r="C709" s="90" t="n">
        <f aca="false">ROUND(E709*G709+F709,0)</f>
        <v>694</v>
      </c>
      <c r="D709" s="90" t="s">
        <v>238</v>
      </c>
      <c r="E709" s="90" t="n">
        <v>780</v>
      </c>
      <c r="F709" s="90" t="n">
        <f aca="false">H709+I709+J709+K709+L709+M709</f>
        <v>132</v>
      </c>
      <c r="G709" s="90" t="n">
        <v>0.72</v>
      </c>
      <c r="J709" s="90" t="n">
        <v>32</v>
      </c>
      <c r="M709" s="90" t="n">
        <v>100</v>
      </c>
    </row>
    <row r="710" customFormat="false" ht="17.6" hidden="false" customHeight="false" outlineLevel="0" collapsed="false">
      <c r="A710" s="91" t="s">
        <v>839</v>
      </c>
      <c r="B710" s="90" t="s">
        <v>40</v>
      </c>
      <c r="C710" s="90" t="n">
        <f aca="false">ROUND(E710*G710+F710,0)</f>
        <v>664</v>
      </c>
      <c r="D710" s="90" t="s">
        <v>238</v>
      </c>
      <c r="E710" s="90" t="n">
        <v>780</v>
      </c>
      <c r="F710" s="90" t="n">
        <f aca="false">H710+I710+J710+K710+L710+M710</f>
        <v>102</v>
      </c>
      <c r="G710" s="90" t="n">
        <v>0.72</v>
      </c>
      <c r="I710" s="90" t="n">
        <v>70</v>
      </c>
      <c r="J710" s="90" t="n">
        <v>32</v>
      </c>
    </row>
    <row r="711" customFormat="false" ht="17.6" hidden="false" customHeight="false" outlineLevel="0" collapsed="false">
      <c r="A711" s="91" t="s">
        <v>840</v>
      </c>
      <c r="B711" s="90" t="s">
        <v>40</v>
      </c>
      <c r="C711" s="90" t="n">
        <f aca="false">ROUND(E711*G711+F711,0)</f>
        <v>664</v>
      </c>
      <c r="D711" s="90" t="s">
        <v>238</v>
      </c>
      <c r="E711" s="90" t="n">
        <v>780</v>
      </c>
      <c r="F711" s="90" t="n">
        <f aca="false">H711+I711+J711+K711+L711+M711</f>
        <v>102</v>
      </c>
      <c r="G711" s="90" t="n">
        <v>0.72</v>
      </c>
      <c r="I711" s="90" t="n">
        <v>70</v>
      </c>
      <c r="J711" s="90" t="n">
        <v>32</v>
      </c>
    </row>
    <row r="712" customFormat="false" ht="17.6" hidden="false" customHeight="false" outlineLevel="0" collapsed="false">
      <c r="A712" s="91" t="s">
        <v>841</v>
      </c>
      <c r="B712" s="90" t="s">
        <v>40</v>
      </c>
      <c r="C712" s="90" t="n">
        <f aca="false">ROUND(E712*G712+F712,0)</f>
        <v>764</v>
      </c>
      <c r="D712" s="90" t="s">
        <v>238</v>
      </c>
      <c r="E712" s="90" t="n">
        <v>780</v>
      </c>
      <c r="F712" s="90" t="n">
        <f aca="false">H712+I712+J712+K712+L712+M712</f>
        <v>202</v>
      </c>
      <c r="G712" s="90" t="n">
        <v>0.72</v>
      </c>
      <c r="I712" s="90" t="n">
        <v>70</v>
      </c>
      <c r="J712" s="90" t="n">
        <v>32</v>
      </c>
      <c r="M712" s="90" t="n">
        <v>100</v>
      </c>
    </row>
    <row r="713" customFormat="false" ht="17.6" hidden="false" customHeight="false" outlineLevel="0" collapsed="false">
      <c r="A713" s="91" t="s">
        <v>842</v>
      </c>
      <c r="B713" s="90" t="s">
        <v>40</v>
      </c>
      <c r="C713" s="90" t="n">
        <f aca="false">ROUND(E713*G713+F713,0)</f>
        <v>302</v>
      </c>
      <c r="D713" s="90" t="s">
        <v>238</v>
      </c>
      <c r="E713" s="90" t="n">
        <v>420</v>
      </c>
      <c r="F713" s="90" t="n">
        <f aca="false">H713+I713+J713+K713+L713+M713</f>
        <v>0</v>
      </c>
      <c r="G713" s="90" t="n">
        <v>0.72</v>
      </c>
    </row>
    <row r="714" customFormat="false" ht="17.6" hidden="false" customHeight="false" outlineLevel="0" collapsed="false">
      <c r="A714" s="91" t="s">
        <v>843</v>
      </c>
      <c r="B714" s="90" t="s">
        <v>40</v>
      </c>
      <c r="C714" s="90" t="n">
        <f aca="false">ROUND(E714*G714+F714,0)</f>
        <v>302</v>
      </c>
      <c r="D714" s="90" t="s">
        <v>238</v>
      </c>
      <c r="E714" s="90" t="n">
        <v>420</v>
      </c>
      <c r="F714" s="90" t="n">
        <f aca="false">H714+I714+J714+K714+L714+M714</f>
        <v>0</v>
      </c>
      <c r="G714" s="90" t="n">
        <v>0.72</v>
      </c>
    </row>
    <row r="715" customFormat="false" ht="17.6" hidden="false" customHeight="false" outlineLevel="0" collapsed="false">
      <c r="A715" s="91" t="s">
        <v>844</v>
      </c>
      <c r="B715" s="90" t="s">
        <v>40</v>
      </c>
      <c r="C715" s="90" t="n">
        <f aca="false">ROUND(E715*G715+F715,0)</f>
        <v>332</v>
      </c>
      <c r="D715" s="90" t="s">
        <v>238</v>
      </c>
      <c r="E715" s="90" t="n">
        <v>420</v>
      </c>
      <c r="F715" s="90" t="n">
        <f aca="false">H715+I715+J715+K715+L715+M715</f>
        <v>30</v>
      </c>
      <c r="G715" s="90" t="n">
        <v>0.72</v>
      </c>
      <c r="L715" s="90" t="n">
        <v>30</v>
      </c>
    </row>
    <row r="716" customFormat="false" ht="17.6" hidden="false" customHeight="false" outlineLevel="0" collapsed="false">
      <c r="A716" s="91" t="s">
        <v>845</v>
      </c>
      <c r="B716" s="90" t="s">
        <v>40</v>
      </c>
      <c r="C716" s="90" t="n">
        <f aca="false">ROUND(E716*G716+F716,0)</f>
        <v>334</v>
      </c>
      <c r="D716" s="90" t="s">
        <v>238</v>
      </c>
      <c r="E716" s="90" t="n">
        <v>420</v>
      </c>
      <c r="F716" s="90" t="n">
        <f aca="false">H716+I716+J716+K716+L716+M716</f>
        <v>32</v>
      </c>
      <c r="G716" s="90" t="n">
        <v>0.72</v>
      </c>
      <c r="J716" s="90" t="n">
        <v>32</v>
      </c>
    </row>
    <row r="717" customFormat="false" ht="17.6" hidden="false" customHeight="false" outlineLevel="0" collapsed="false">
      <c r="A717" s="91" t="s">
        <v>846</v>
      </c>
      <c r="B717" s="90" t="s">
        <v>40</v>
      </c>
      <c r="C717" s="90" t="n">
        <f aca="false">ROUND(E717*G717+F717,0)</f>
        <v>434</v>
      </c>
      <c r="D717" s="90" t="s">
        <v>238</v>
      </c>
      <c r="E717" s="90" t="n">
        <v>420</v>
      </c>
      <c r="F717" s="90" t="n">
        <f aca="false">H717+I717+J717+K717+L717+M717</f>
        <v>132</v>
      </c>
      <c r="G717" s="90" t="n">
        <v>0.72</v>
      </c>
      <c r="J717" s="90" t="n">
        <v>32</v>
      </c>
      <c r="M717" s="90" t="n">
        <v>100</v>
      </c>
    </row>
    <row r="718" customFormat="false" ht="17.6" hidden="false" customHeight="false" outlineLevel="0" collapsed="false">
      <c r="A718" s="91" t="s">
        <v>847</v>
      </c>
      <c r="B718" s="90" t="s">
        <v>40</v>
      </c>
      <c r="C718" s="90" t="n">
        <f aca="false">ROUND(E718*G718+F718,0)</f>
        <v>332</v>
      </c>
      <c r="D718" s="90" t="s">
        <v>238</v>
      </c>
      <c r="E718" s="90" t="n">
        <v>420</v>
      </c>
      <c r="F718" s="90" t="n">
        <f aca="false">H718+I718+J718+K718+L718+M718</f>
        <v>30</v>
      </c>
      <c r="G718" s="90" t="n">
        <v>0.72</v>
      </c>
      <c r="K718" s="90" t="n">
        <v>30</v>
      </c>
    </row>
    <row r="719" customFormat="false" ht="17.6" hidden="false" customHeight="false" outlineLevel="0" collapsed="false">
      <c r="A719" s="91" t="s">
        <v>848</v>
      </c>
      <c r="B719" s="90" t="s">
        <v>40</v>
      </c>
      <c r="C719" s="90" t="n">
        <f aca="false">ROUND(E719*G719+F719,0)</f>
        <v>332</v>
      </c>
      <c r="D719" s="90" t="s">
        <v>238</v>
      </c>
      <c r="E719" s="90" t="n">
        <v>420</v>
      </c>
      <c r="F719" s="90" t="n">
        <f aca="false">H719+I719+J719+K719+L719+M719</f>
        <v>30</v>
      </c>
      <c r="G719" s="90" t="n">
        <v>0.72</v>
      </c>
      <c r="K719" s="90" t="n">
        <v>30</v>
      </c>
    </row>
    <row r="720" customFormat="false" ht="17.6" hidden="false" customHeight="false" outlineLevel="0" collapsed="false">
      <c r="A720" s="91" t="s">
        <v>849</v>
      </c>
      <c r="B720" s="90" t="s">
        <v>40</v>
      </c>
      <c r="C720" s="90" t="n">
        <f aca="false">ROUND(E720*G720+F720,0)</f>
        <v>432</v>
      </c>
      <c r="D720" s="90" t="s">
        <v>238</v>
      </c>
      <c r="E720" s="90" t="n">
        <v>420</v>
      </c>
      <c r="F720" s="90" t="n">
        <f aca="false">H720+I720+J720+K720+L720+M720</f>
        <v>130</v>
      </c>
      <c r="G720" s="90" t="n">
        <v>0.72</v>
      </c>
      <c r="K720" s="90" t="n">
        <v>30</v>
      </c>
      <c r="M720" s="90" t="n">
        <v>100</v>
      </c>
    </row>
    <row r="721" customFormat="false" ht="17.6" hidden="false" customHeight="false" outlineLevel="0" collapsed="false">
      <c r="A721" s="91" t="s">
        <v>850</v>
      </c>
      <c r="B721" s="90" t="s">
        <v>40</v>
      </c>
      <c r="C721" s="90" t="n">
        <f aca="false">ROUND(E721*G721+F721,0)</f>
        <v>402</v>
      </c>
      <c r="D721" s="90" t="s">
        <v>238</v>
      </c>
      <c r="E721" s="90" t="n">
        <v>420</v>
      </c>
      <c r="F721" s="90" t="n">
        <f aca="false">H721+I721+J721+K721+L721+M721</f>
        <v>100</v>
      </c>
      <c r="G721" s="90" t="n">
        <v>0.72</v>
      </c>
      <c r="M721" s="90" t="n">
        <v>100</v>
      </c>
    </row>
    <row r="722" customFormat="false" ht="17.6" hidden="false" customHeight="false" outlineLevel="0" collapsed="false">
      <c r="A722" s="91" t="s">
        <v>851</v>
      </c>
      <c r="B722" s="90" t="s">
        <v>40</v>
      </c>
      <c r="C722" s="90" t="n">
        <f aca="false">ROUND(E722*G722+F722,0)</f>
        <v>334</v>
      </c>
      <c r="D722" s="90" t="s">
        <v>238</v>
      </c>
      <c r="E722" s="90" t="n">
        <v>420</v>
      </c>
      <c r="F722" s="90" t="n">
        <f aca="false">H722+I722+J722+K722+L722+M722</f>
        <v>32</v>
      </c>
      <c r="G722" s="90" t="n">
        <v>0.72</v>
      </c>
      <c r="J722" s="90" t="n">
        <v>32</v>
      </c>
    </row>
    <row r="723" customFormat="false" ht="17.6" hidden="false" customHeight="false" outlineLevel="0" collapsed="false">
      <c r="A723" s="91" t="s">
        <v>852</v>
      </c>
      <c r="B723" s="90" t="s">
        <v>40</v>
      </c>
      <c r="C723" s="90" t="n">
        <f aca="false">ROUND(E723*G723+F723,0)</f>
        <v>334</v>
      </c>
      <c r="D723" s="90" t="s">
        <v>238</v>
      </c>
      <c r="E723" s="90" t="n">
        <v>420</v>
      </c>
      <c r="F723" s="90" t="n">
        <f aca="false">H723+I723+J723+K723+L723+M723</f>
        <v>32</v>
      </c>
      <c r="G723" s="90" t="n">
        <v>0.72</v>
      </c>
      <c r="J723" s="90" t="n">
        <v>32</v>
      </c>
    </row>
    <row r="724" customFormat="false" ht="17.6" hidden="false" customHeight="false" outlineLevel="0" collapsed="false">
      <c r="A724" s="91" t="s">
        <v>853</v>
      </c>
      <c r="B724" s="90" t="s">
        <v>40</v>
      </c>
      <c r="C724" s="90" t="n">
        <f aca="false">ROUND(E724*G724+F724,0)</f>
        <v>434</v>
      </c>
      <c r="D724" s="90" t="s">
        <v>238</v>
      </c>
      <c r="E724" s="90" t="n">
        <v>420</v>
      </c>
      <c r="F724" s="90" t="n">
        <f aca="false">H724+I724+J724+K724+L724+M724</f>
        <v>132</v>
      </c>
      <c r="G724" s="90" t="n">
        <v>0.72</v>
      </c>
      <c r="J724" s="90" t="n">
        <v>32</v>
      </c>
      <c r="M724" s="90" t="n">
        <v>100</v>
      </c>
    </row>
    <row r="725" customFormat="false" ht="17.6" hidden="false" customHeight="false" outlineLevel="0" collapsed="false">
      <c r="A725" s="91" t="s">
        <v>854</v>
      </c>
      <c r="B725" s="90" t="s">
        <v>40</v>
      </c>
      <c r="C725" s="90" t="n">
        <f aca="false">ROUND(E725*G725+F725,0)</f>
        <v>404</v>
      </c>
      <c r="D725" s="90" t="s">
        <v>238</v>
      </c>
      <c r="E725" s="90" t="n">
        <v>420</v>
      </c>
      <c r="F725" s="90" t="n">
        <f aca="false">H725+I725+J725+K725+L725+M725</f>
        <v>102</v>
      </c>
      <c r="G725" s="90" t="n">
        <v>0.72</v>
      </c>
      <c r="I725" s="90" t="n">
        <v>70</v>
      </c>
      <c r="J725" s="90" t="n">
        <v>32</v>
      </c>
    </row>
    <row r="726" customFormat="false" ht="17.6" hidden="false" customHeight="false" outlineLevel="0" collapsed="false">
      <c r="A726" s="91" t="s">
        <v>855</v>
      </c>
      <c r="B726" s="90" t="s">
        <v>40</v>
      </c>
      <c r="C726" s="90" t="n">
        <f aca="false">ROUND(E726*G726+F726,0)</f>
        <v>404</v>
      </c>
      <c r="D726" s="90" t="s">
        <v>238</v>
      </c>
      <c r="E726" s="90" t="n">
        <v>420</v>
      </c>
      <c r="F726" s="90" t="n">
        <f aca="false">H726+I726+J726+K726+L726+M726</f>
        <v>102</v>
      </c>
      <c r="G726" s="90" t="n">
        <v>0.72</v>
      </c>
      <c r="I726" s="90" t="n">
        <v>70</v>
      </c>
      <c r="J726" s="90" t="n">
        <v>32</v>
      </c>
    </row>
    <row r="727" customFormat="false" ht="17.6" hidden="false" customHeight="false" outlineLevel="0" collapsed="false">
      <c r="A727" s="91" t="s">
        <v>856</v>
      </c>
      <c r="B727" s="90" t="s">
        <v>40</v>
      </c>
      <c r="C727" s="90" t="n">
        <f aca="false">ROUND(E727*G727+F727,0)</f>
        <v>504</v>
      </c>
      <c r="D727" s="90" t="s">
        <v>238</v>
      </c>
      <c r="E727" s="90" t="n">
        <v>420</v>
      </c>
      <c r="F727" s="90" t="n">
        <f aca="false">H727+I727+J727+K727+L727+M727</f>
        <v>202</v>
      </c>
      <c r="G727" s="90" t="n">
        <v>0.72</v>
      </c>
      <c r="I727" s="90" t="n">
        <v>70</v>
      </c>
      <c r="J727" s="90" t="n">
        <v>32</v>
      </c>
      <c r="M727" s="90" t="n">
        <v>100</v>
      </c>
    </row>
    <row r="728" customFormat="false" ht="17.6" hidden="false" customHeight="false" outlineLevel="0" collapsed="false">
      <c r="A728" s="91" t="s">
        <v>857</v>
      </c>
      <c r="B728" s="90" t="s">
        <v>40</v>
      </c>
      <c r="C728" s="90" t="n">
        <f aca="false">ROUND(E728*G728+F728,0)</f>
        <v>432</v>
      </c>
      <c r="D728" s="90" t="s">
        <v>238</v>
      </c>
      <c r="E728" s="90" t="n">
        <v>600</v>
      </c>
      <c r="F728" s="90" t="n">
        <f aca="false">H728+I728+J728+K728+L728+M728</f>
        <v>0</v>
      </c>
      <c r="G728" s="90" t="n">
        <v>0.72</v>
      </c>
    </row>
    <row r="729" customFormat="false" ht="17.6" hidden="false" customHeight="false" outlineLevel="0" collapsed="false">
      <c r="A729" s="91" t="s">
        <v>858</v>
      </c>
      <c r="B729" s="90" t="s">
        <v>40</v>
      </c>
      <c r="C729" s="90" t="n">
        <f aca="false">ROUND(E729*G729+F729,0)</f>
        <v>432</v>
      </c>
      <c r="D729" s="90" t="s">
        <v>238</v>
      </c>
      <c r="E729" s="90" t="n">
        <v>600</v>
      </c>
      <c r="F729" s="90" t="n">
        <f aca="false">H729+I729+J729+K729+L729+M729</f>
        <v>0</v>
      </c>
      <c r="G729" s="90" t="n">
        <v>0.72</v>
      </c>
    </row>
    <row r="730" customFormat="false" ht="17.6" hidden="false" customHeight="false" outlineLevel="0" collapsed="false">
      <c r="A730" s="91" t="s">
        <v>859</v>
      </c>
      <c r="B730" s="90" t="s">
        <v>40</v>
      </c>
      <c r="C730" s="90" t="n">
        <f aca="false">ROUND(E730*G730+F730,0)</f>
        <v>462</v>
      </c>
      <c r="D730" s="90" t="s">
        <v>238</v>
      </c>
      <c r="E730" s="90" t="n">
        <v>600</v>
      </c>
      <c r="F730" s="90" t="n">
        <f aca="false">H730+I730+J730+K730+L730+M730</f>
        <v>30</v>
      </c>
      <c r="G730" s="90" t="n">
        <v>0.72</v>
      </c>
      <c r="L730" s="90" t="n">
        <v>30</v>
      </c>
    </row>
    <row r="731" customFormat="false" ht="17.6" hidden="false" customHeight="false" outlineLevel="0" collapsed="false">
      <c r="A731" s="91" t="s">
        <v>860</v>
      </c>
      <c r="B731" s="90" t="s">
        <v>40</v>
      </c>
      <c r="C731" s="90" t="n">
        <f aca="false">ROUND(E731*G731+F731,0)</f>
        <v>464</v>
      </c>
      <c r="D731" s="90" t="s">
        <v>238</v>
      </c>
      <c r="E731" s="90" t="n">
        <v>600</v>
      </c>
      <c r="F731" s="90" t="n">
        <f aca="false">H731+I731+J731+K731+L731+M731</f>
        <v>32</v>
      </c>
      <c r="G731" s="90" t="n">
        <v>0.72</v>
      </c>
      <c r="J731" s="90" t="n">
        <v>32</v>
      </c>
    </row>
    <row r="732" customFormat="false" ht="17.6" hidden="false" customHeight="false" outlineLevel="0" collapsed="false">
      <c r="A732" s="91" t="s">
        <v>861</v>
      </c>
      <c r="B732" s="90" t="s">
        <v>40</v>
      </c>
      <c r="C732" s="90" t="n">
        <f aca="false">ROUND(E732*G732+F732,0)</f>
        <v>564</v>
      </c>
      <c r="D732" s="90" t="s">
        <v>238</v>
      </c>
      <c r="E732" s="90" t="n">
        <v>600</v>
      </c>
      <c r="F732" s="90" t="n">
        <f aca="false">H732+I732+J732+K732+L732+M732</f>
        <v>132</v>
      </c>
      <c r="G732" s="90" t="n">
        <v>0.72</v>
      </c>
      <c r="J732" s="90" t="n">
        <v>32</v>
      </c>
      <c r="M732" s="90" t="n">
        <v>100</v>
      </c>
    </row>
    <row r="733" customFormat="false" ht="17.6" hidden="false" customHeight="false" outlineLevel="0" collapsed="false">
      <c r="A733" s="91" t="s">
        <v>862</v>
      </c>
      <c r="B733" s="90" t="s">
        <v>40</v>
      </c>
      <c r="C733" s="90" t="n">
        <f aca="false">ROUND(E733*G733+F733,0)</f>
        <v>462</v>
      </c>
      <c r="D733" s="90" t="s">
        <v>238</v>
      </c>
      <c r="E733" s="90" t="n">
        <v>600</v>
      </c>
      <c r="F733" s="90" t="n">
        <f aca="false">H733+I733+J733+K733+L733+M733</f>
        <v>30</v>
      </c>
      <c r="G733" s="90" t="n">
        <v>0.72</v>
      </c>
      <c r="K733" s="90" t="n">
        <v>30</v>
      </c>
    </row>
    <row r="734" customFormat="false" ht="17.6" hidden="false" customHeight="false" outlineLevel="0" collapsed="false">
      <c r="A734" s="91" t="s">
        <v>863</v>
      </c>
      <c r="B734" s="90" t="s">
        <v>40</v>
      </c>
      <c r="C734" s="90" t="n">
        <f aca="false">ROUND(E734*G734+F734,0)</f>
        <v>462</v>
      </c>
      <c r="D734" s="90" t="s">
        <v>238</v>
      </c>
      <c r="E734" s="90" t="n">
        <v>600</v>
      </c>
      <c r="F734" s="90" t="n">
        <f aca="false">H734+I734+J734+K734+L734+M734</f>
        <v>30</v>
      </c>
      <c r="G734" s="90" t="n">
        <v>0.72</v>
      </c>
      <c r="K734" s="90" t="n">
        <v>30</v>
      </c>
    </row>
    <row r="735" customFormat="false" ht="17.6" hidden="false" customHeight="false" outlineLevel="0" collapsed="false">
      <c r="A735" s="91" t="s">
        <v>864</v>
      </c>
      <c r="B735" s="90" t="s">
        <v>40</v>
      </c>
      <c r="C735" s="90" t="n">
        <f aca="false">ROUND(E735*G735+F735,0)</f>
        <v>562</v>
      </c>
      <c r="D735" s="90" t="s">
        <v>238</v>
      </c>
      <c r="E735" s="90" t="n">
        <v>600</v>
      </c>
      <c r="F735" s="90" t="n">
        <f aca="false">H735+I735+J735+K735+L735+M735</f>
        <v>130</v>
      </c>
      <c r="G735" s="90" t="n">
        <v>0.72</v>
      </c>
      <c r="K735" s="90" t="n">
        <v>30</v>
      </c>
      <c r="M735" s="90" t="n">
        <v>100</v>
      </c>
    </row>
    <row r="736" customFormat="false" ht="17.6" hidden="false" customHeight="false" outlineLevel="0" collapsed="false">
      <c r="A736" s="91" t="s">
        <v>865</v>
      </c>
      <c r="B736" s="90" t="s">
        <v>40</v>
      </c>
      <c r="C736" s="90" t="n">
        <f aca="false">ROUND(E736*G736+F736,0)</f>
        <v>532</v>
      </c>
      <c r="D736" s="90" t="s">
        <v>238</v>
      </c>
      <c r="E736" s="90" t="n">
        <v>600</v>
      </c>
      <c r="F736" s="90" t="n">
        <f aca="false">H736+I736+J736+K736+L736+M736</f>
        <v>100</v>
      </c>
      <c r="G736" s="90" t="n">
        <v>0.72</v>
      </c>
      <c r="M736" s="90" t="n">
        <v>100</v>
      </c>
    </row>
    <row r="737" customFormat="false" ht="17.6" hidden="false" customHeight="false" outlineLevel="0" collapsed="false">
      <c r="A737" s="91" t="s">
        <v>866</v>
      </c>
      <c r="B737" s="90" t="s">
        <v>40</v>
      </c>
      <c r="C737" s="90" t="n">
        <f aca="false">ROUND(E737*G737+F737,0)</f>
        <v>464</v>
      </c>
      <c r="D737" s="90" t="s">
        <v>238</v>
      </c>
      <c r="E737" s="90" t="n">
        <v>600</v>
      </c>
      <c r="F737" s="90" t="n">
        <f aca="false">H737+I737+J737+K737+L737+M737</f>
        <v>32</v>
      </c>
      <c r="G737" s="90" t="n">
        <v>0.72</v>
      </c>
      <c r="J737" s="90" t="n">
        <v>32</v>
      </c>
    </row>
    <row r="738" customFormat="false" ht="17.6" hidden="false" customHeight="false" outlineLevel="0" collapsed="false">
      <c r="A738" s="91" t="s">
        <v>867</v>
      </c>
      <c r="B738" s="90" t="s">
        <v>40</v>
      </c>
      <c r="C738" s="90" t="n">
        <f aca="false">ROUND(E738*G738+F738,0)</f>
        <v>464</v>
      </c>
      <c r="D738" s="90" t="s">
        <v>238</v>
      </c>
      <c r="E738" s="90" t="n">
        <v>600</v>
      </c>
      <c r="F738" s="90" t="n">
        <f aca="false">H738+I738+J738+K738+L738+M738</f>
        <v>32</v>
      </c>
      <c r="G738" s="90" t="n">
        <v>0.72</v>
      </c>
      <c r="J738" s="90" t="n">
        <v>32</v>
      </c>
    </row>
    <row r="739" customFormat="false" ht="17.6" hidden="false" customHeight="false" outlineLevel="0" collapsed="false">
      <c r="A739" s="91" t="s">
        <v>868</v>
      </c>
      <c r="B739" s="90" t="s">
        <v>40</v>
      </c>
      <c r="C739" s="90" t="n">
        <f aca="false">ROUND(E739*G739+F739,0)</f>
        <v>564</v>
      </c>
      <c r="D739" s="90" t="s">
        <v>238</v>
      </c>
      <c r="E739" s="90" t="n">
        <v>600</v>
      </c>
      <c r="F739" s="90" t="n">
        <f aca="false">H739+I739+J739+K739+L739+M739</f>
        <v>132</v>
      </c>
      <c r="G739" s="90" t="n">
        <v>0.72</v>
      </c>
      <c r="J739" s="90" t="n">
        <v>32</v>
      </c>
      <c r="M739" s="90" t="n">
        <v>100</v>
      </c>
    </row>
    <row r="740" customFormat="false" ht="17.6" hidden="false" customHeight="false" outlineLevel="0" collapsed="false">
      <c r="A740" s="91" t="s">
        <v>869</v>
      </c>
      <c r="B740" s="90" t="s">
        <v>40</v>
      </c>
      <c r="C740" s="90" t="n">
        <f aca="false">ROUND(E740*G740+F740,0)</f>
        <v>534</v>
      </c>
      <c r="D740" s="90" t="s">
        <v>238</v>
      </c>
      <c r="E740" s="90" t="n">
        <v>600</v>
      </c>
      <c r="F740" s="90" t="n">
        <f aca="false">H740+I740+J740+K740+L740+M740</f>
        <v>102</v>
      </c>
      <c r="G740" s="90" t="n">
        <v>0.72</v>
      </c>
      <c r="I740" s="90" t="n">
        <v>70</v>
      </c>
      <c r="J740" s="90" t="n">
        <v>32</v>
      </c>
    </row>
    <row r="741" customFormat="false" ht="17.6" hidden="false" customHeight="false" outlineLevel="0" collapsed="false">
      <c r="A741" s="91" t="s">
        <v>870</v>
      </c>
      <c r="B741" s="90" t="s">
        <v>40</v>
      </c>
      <c r="C741" s="90" t="n">
        <f aca="false">ROUND(E741*G741+F741,0)</f>
        <v>534</v>
      </c>
      <c r="D741" s="90" t="s">
        <v>238</v>
      </c>
      <c r="E741" s="90" t="n">
        <v>600</v>
      </c>
      <c r="F741" s="90" t="n">
        <f aca="false">H741+I741+J741+K741+L741+M741</f>
        <v>102</v>
      </c>
      <c r="G741" s="90" t="n">
        <v>0.72</v>
      </c>
      <c r="I741" s="90" t="n">
        <v>70</v>
      </c>
      <c r="J741" s="90" t="n">
        <v>32</v>
      </c>
    </row>
    <row r="742" customFormat="false" ht="17.6" hidden="false" customHeight="false" outlineLevel="0" collapsed="false">
      <c r="A742" s="91" t="s">
        <v>871</v>
      </c>
      <c r="B742" s="90" t="s">
        <v>40</v>
      </c>
      <c r="C742" s="90" t="n">
        <f aca="false">ROUND(E742*G742+F742,0)</f>
        <v>634</v>
      </c>
      <c r="D742" s="90" t="s">
        <v>238</v>
      </c>
      <c r="E742" s="90" t="n">
        <v>600</v>
      </c>
      <c r="F742" s="90" t="n">
        <f aca="false">H742+I742+J742+K742+L742+M742</f>
        <v>202</v>
      </c>
      <c r="G742" s="90" t="n">
        <v>0.72</v>
      </c>
      <c r="I742" s="90" t="n">
        <v>70</v>
      </c>
      <c r="J742" s="90" t="n">
        <v>32</v>
      </c>
      <c r="M742" s="90" t="n">
        <v>100</v>
      </c>
    </row>
    <row r="743" customFormat="false" ht="17.6" hidden="false" customHeight="false" outlineLevel="0" collapsed="false">
      <c r="A743" s="91" t="s">
        <v>872</v>
      </c>
      <c r="B743" s="90" t="s">
        <v>873</v>
      </c>
      <c r="C743" s="90" t="n">
        <v>4872</v>
      </c>
      <c r="D743" s="90" t="s">
        <v>874</v>
      </c>
      <c r="E743" s="91"/>
      <c r="F743" s="91"/>
      <c r="G743" s="91"/>
      <c r="H743" s="91"/>
      <c r="I743" s="91"/>
      <c r="J743" s="91"/>
      <c r="K743" s="91"/>
      <c r="L743" s="91"/>
      <c r="M743" s="91"/>
    </row>
    <row r="744" customFormat="false" ht="17.6" hidden="false" customHeight="false" outlineLevel="0" collapsed="false">
      <c r="A744" s="91" t="s">
        <v>875</v>
      </c>
      <c r="B744" s="90" t="s">
        <v>873</v>
      </c>
      <c r="C744" s="90" t="n">
        <v>3752</v>
      </c>
      <c r="D744" s="90" t="s">
        <v>874</v>
      </c>
      <c r="E744" s="91"/>
      <c r="F744" s="91"/>
      <c r="G744" s="91"/>
      <c r="H744" s="91"/>
      <c r="I744" s="91"/>
      <c r="J744" s="91"/>
      <c r="K744" s="91"/>
      <c r="L744" s="91"/>
      <c r="M744" s="91"/>
    </row>
    <row r="745" customFormat="false" ht="17.6" hidden="false" customHeight="false" outlineLevel="0" collapsed="false">
      <c r="A745" s="91" t="s">
        <v>876</v>
      </c>
      <c r="B745" s="90" t="s">
        <v>873</v>
      </c>
      <c r="C745" s="90" t="n">
        <f aca="false">1310*0.7</f>
        <v>917</v>
      </c>
      <c r="D745" s="90" t="s">
        <v>874</v>
      </c>
      <c r="E745" s="91"/>
      <c r="F745" s="91"/>
      <c r="G745" s="91"/>
      <c r="H745" s="91"/>
      <c r="I745" s="91"/>
      <c r="J745" s="91"/>
      <c r="K745" s="91"/>
      <c r="L745" s="91"/>
      <c r="M745" s="91"/>
    </row>
    <row r="746" customFormat="false" ht="17.6" hidden="false" customHeight="false" outlineLevel="0" collapsed="false">
      <c r="A746" s="91" t="s">
        <v>877</v>
      </c>
      <c r="B746" s="90" t="s">
        <v>873</v>
      </c>
      <c r="C746" s="90" t="n">
        <f aca="false">3280*0.7</f>
        <v>2296</v>
      </c>
      <c r="D746" s="90" t="s">
        <v>874</v>
      </c>
      <c r="E746" s="91"/>
      <c r="F746" s="91"/>
      <c r="G746" s="91"/>
      <c r="H746" s="91"/>
      <c r="I746" s="91"/>
      <c r="J746" s="91"/>
      <c r="K746" s="91"/>
      <c r="L746" s="91"/>
      <c r="M746" s="91"/>
    </row>
    <row r="747" customFormat="false" ht="17.6" hidden="false" customHeight="false" outlineLevel="0" collapsed="false">
      <c r="A747" s="91" t="s">
        <v>878</v>
      </c>
      <c r="B747" s="90" t="s">
        <v>873</v>
      </c>
      <c r="C747" s="90" t="n">
        <f aca="false">4640*0.7</f>
        <v>3248</v>
      </c>
      <c r="D747" s="90" t="s">
        <v>874</v>
      </c>
      <c r="E747" s="91"/>
      <c r="F747" s="91"/>
      <c r="G747" s="91"/>
      <c r="H747" s="91"/>
      <c r="I747" s="91"/>
      <c r="J747" s="91"/>
      <c r="K747" s="91"/>
      <c r="L747" s="91"/>
      <c r="M747" s="91"/>
    </row>
    <row r="748" customFormat="false" ht="25.5" hidden="false" customHeight="true" outlineLevel="0" collapsed="false">
      <c r="A748" s="91" t="s">
        <v>879</v>
      </c>
      <c r="B748" s="90" t="s">
        <v>150</v>
      </c>
      <c r="C748" s="90" t="n">
        <v>7500</v>
      </c>
      <c r="D748" s="90" t="s">
        <v>199</v>
      </c>
    </row>
    <row r="749" customFormat="false" ht="17.6" hidden="false" customHeight="false" outlineLevel="0" collapsed="false">
      <c r="A749" s="91" t="s">
        <v>880</v>
      </c>
      <c r="B749" s="90" t="s">
        <v>40</v>
      </c>
      <c r="C749" s="34" t="n">
        <f aca="false">636*0.547</f>
        <v>347.892</v>
      </c>
      <c r="D749" s="90" t="s">
        <v>159</v>
      </c>
    </row>
    <row r="750" customFormat="false" ht="17.6" hidden="false" customHeight="false" outlineLevel="0" collapsed="false">
      <c r="A750" s="91" t="s">
        <v>881</v>
      </c>
      <c r="B750" s="90" t="s">
        <v>40</v>
      </c>
      <c r="C750" s="34" t="n">
        <f aca="false">1249*0.547</f>
        <v>683.203</v>
      </c>
      <c r="D750" s="90" t="s">
        <v>159</v>
      </c>
    </row>
    <row r="751" customFormat="false" ht="17.6" hidden="false" customHeight="false" outlineLevel="0" collapsed="false">
      <c r="A751" s="91" t="s">
        <v>882</v>
      </c>
      <c r="B751" s="90" t="s">
        <v>40</v>
      </c>
      <c r="C751" s="34" t="n">
        <f aca="false">836*0.547</f>
        <v>457.292</v>
      </c>
      <c r="D751" s="90" t="s">
        <v>159</v>
      </c>
    </row>
    <row r="752" customFormat="false" ht="17.6" hidden="false" customHeight="false" outlineLevel="0" collapsed="false">
      <c r="A752" s="91" t="s">
        <v>883</v>
      </c>
      <c r="B752" s="90" t="s">
        <v>40</v>
      </c>
      <c r="C752" s="34" t="n">
        <f aca="false">1504*0.547</f>
        <v>822.688</v>
      </c>
      <c r="D752" s="90" t="s">
        <v>159</v>
      </c>
    </row>
    <row r="753" customFormat="false" ht="17.6" hidden="false" customHeight="false" outlineLevel="0" collapsed="false">
      <c r="A753" s="91" t="s">
        <v>884</v>
      </c>
      <c r="B753" s="90" t="s">
        <v>40</v>
      </c>
      <c r="C753" s="34" t="n">
        <f aca="false">2117*0.547</f>
        <v>1157.999</v>
      </c>
      <c r="D753" s="90" t="s">
        <v>159</v>
      </c>
    </row>
    <row r="754" customFormat="false" ht="17.6" hidden="false" customHeight="false" outlineLevel="0" collapsed="false">
      <c r="A754" s="91" t="s">
        <v>885</v>
      </c>
      <c r="B754" s="90" t="s">
        <v>40</v>
      </c>
      <c r="C754" s="34" t="n">
        <f aca="false">2994*0.547</f>
        <v>1637.718</v>
      </c>
      <c r="D754" s="90" t="s">
        <v>159</v>
      </c>
    </row>
    <row r="755" customFormat="false" ht="17.6" hidden="false" customHeight="false" outlineLevel="0" collapsed="false">
      <c r="A755" s="91" t="s">
        <v>886</v>
      </c>
      <c r="B755" s="90" t="s">
        <v>40</v>
      </c>
      <c r="C755" s="34" t="n">
        <f aca="false">3607*0.547</f>
        <v>1973.029</v>
      </c>
      <c r="D755" s="90" t="s">
        <v>159</v>
      </c>
    </row>
    <row r="756" customFormat="false" ht="17.6" hidden="false" customHeight="false" outlineLevel="0" collapsed="false">
      <c r="A756" s="91" t="s">
        <v>887</v>
      </c>
      <c r="B756" s="90" t="s">
        <v>40</v>
      </c>
      <c r="C756" s="34" t="n">
        <f aca="false">4418*0.547</f>
        <v>2416.646</v>
      </c>
      <c r="D756" s="90" t="s">
        <v>159</v>
      </c>
    </row>
    <row r="757" customFormat="false" ht="17.6" hidden="false" customHeight="false" outlineLevel="0" collapsed="false">
      <c r="A757" s="91" t="s">
        <v>888</v>
      </c>
      <c r="B757" s="90" t="s">
        <v>40</v>
      </c>
      <c r="C757" s="34" t="n">
        <f aca="false">5031*0.547</f>
        <v>2751.957</v>
      </c>
      <c r="D757" s="90" t="s">
        <v>159</v>
      </c>
    </row>
    <row r="758" customFormat="false" ht="17.6" hidden="false" customHeight="false" outlineLevel="0" collapsed="false">
      <c r="A758" s="91" t="s">
        <v>889</v>
      </c>
      <c r="B758" s="90" t="s">
        <v>890</v>
      </c>
      <c r="C758" s="90" t="n">
        <v>60</v>
      </c>
      <c r="D758" s="90" t="s">
        <v>117</v>
      </c>
      <c r="E758" s="91"/>
      <c r="F758" s="91"/>
      <c r="G758" s="91"/>
      <c r="H758" s="91"/>
      <c r="I758" s="91"/>
      <c r="J758" s="91"/>
      <c r="K758" s="91"/>
      <c r="L758" s="91"/>
      <c r="M758" s="91"/>
    </row>
    <row r="759" customFormat="false" ht="17.6" hidden="false" customHeight="false" outlineLevel="0" collapsed="false">
      <c r="A759" s="91" t="s">
        <v>891</v>
      </c>
      <c r="B759" s="90" t="s">
        <v>892</v>
      </c>
      <c r="C759" s="90" t="n">
        <v>6500</v>
      </c>
      <c r="D759" s="90" t="s">
        <v>893</v>
      </c>
      <c r="E759" s="91"/>
      <c r="F759" s="91"/>
      <c r="G759" s="91"/>
      <c r="H759" s="91"/>
      <c r="I759" s="91"/>
      <c r="J759" s="91"/>
      <c r="K759" s="91"/>
      <c r="L759" s="91"/>
      <c r="M759" s="91"/>
    </row>
    <row r="760" customFormat="false" ht="17.6" hidden="false" customHeight="false" outlineLevel="0" collapsed="false">
      <c r="A760" s="91" t="s">
        <v>894</v>
      </c>
      <c r="B760" s="90" t="s">
        <v>892</v>
      </c>
      <c r="C760" s="90" t="n">
        <v>6500</v>
      </c>
      <c r="D760" s="90" t="s">
        <v>893</v>
      </c>
      <c r="E760" s="91"/>
      <c r="F760" s="91"/>
      <c r="G760" s="91"/>
      <c r="H760" s="91"/>
      <c r="I760" s="91"/>
      <c r="J760" s="91"/>
      <c r="K760" s="91"/>
      <c r="L760" s="91"/>
      <c r="M760" s="91"/>
    </row>
    <row r="761" customFormat="false" ht="17.6" hidden="false" customHeight="false" outlineLevel="0" collapsed="false">
      <c r="A761" s="91" t="s">
        <v>895</v>
      </c>
      <c r="B761" s="90" t="s">
        <v>896</v>
      </c>
      <c r="C761" s="90" t="n">
        <v>40</v>
      </c>
      <c r="D761" s="90" t="s">
        <v>897</v>
      </c>
      <c r="E761" s="91"/>
      <c r="F761" s="91"/>
      <c r="G761" s="91"/>
      <c r="H761" s="91"/>
      <c r="I761" s="91"/>
      <c r="J761" s="91"/>
      <c r="K761" s="91"/>
      <c r="L761" s="91"/>
      <c r="M761" s="91"/>
    </row>
    <row r="762" customFormat="false" ht="17.6" hidden="false" customHeight="false" outlineLevel="0" collapsed="false">
      <c r="A762" s="91" t="s">
        <v>898</v>
      </c>
      <c r="B762" s="90" t="s">
        <v>230</v>
      </c>
      <c r="C762" s="90" t="n">
        <v>6500</v>
      </c>
      <c r="D762" s="90" t="s">
        <v>899</v>
      </c>
      <c r="E762" s="91"/>
      <c r="F762" s="91"/>
      <c r="G762" s="91"/>
      <c r="H762" s="91"/>
      <c r="I762" s="91"/>
      <c r="J762" s="91"/>
      <c r="K762" s="91"/>
      <c r="L762" s="91"/>
      <c r="M762" s="91"/>
    </row>
    <row r="763" customFormat="false" ht="17.6" hidden="false" customHeight="false" outlineLevel="0" collapsed="false">
      <c r="A763" s="91" t="s">
        <v>900</v>
      </c>
      <c r="B763" s="90" t="s">
        <v>230</v>
      </c>
      <c r="C763" s="90" t="n">
        <v>5500</v>
      </c>
      <c r="D763" s="90" t="s">
        <v>901</v>
      </c>
      <c r="E763" s="91"/>
      <c r="F763" s="91"/>
      <c r="G763" s="91"/>
      <c r="H763" s="91"/>
      <c r="I763" s="91"/>
      <c r="J763" s="91"/>
      <c r="K763" s="91"/>
      <c r="L763" s="91"/>
      <c r="M763" s="91"/>
    </row>
    <row r="764" customFormat="false" ht="17.6" hidden="false" customHeight="false" outlineLevel="0" collapsed="false">
      <c r="A764" s="91" t="s">
        <v>902</v>
      </c>
      <c r="B764" s="90" t="s">
        <v>230</v>
      </c>
      <c r="C764" s="90" t="n">
        <v>8000</v>
      </c>
      <c r="D764" s="90" t="s">
        <v>901</v>
      </c>
      <c r="E764" s="91"/>
      <c r="F764" s="91"/>
      <c r="G764" s="91"/>
      <c r="H764" s="91"/>
      <c r="I764" s="91"/>
      <c r="J764" s="91"/>
      <c r="K764" s="91"/>
      <c r="L764" s="91"/>
      <c r="M764" s="91"/>
    </row>
    <row r="765" customFormat="false" ht="17.6" hidden="false" customHeight="false" outlineLevel="0" collapsed="false">
      <c r="A765" s="91" t="s">
        <v>903</v>
      </c>
      <c r="B765" s="90" t="s">
        <v>904</v>
      </c>
      <c r="C765" s="90" t="n">
        <f aca="false">1740*0.8</f>
        <v>1392</v>
      </c>
      <c r="D765" s="90" t="s">
        <v>905</v>
      </c>
    </row>
    <row r="766" customFormat="false" ht="17.6" hidden="false" customHeight="false" outlineLevel="0" collapsed="false">
      <c r="A766" s="91" t="s">
        <v>906</v>
      </c>
      <c r="B766" s="90" t="s">
        <v>150</v>
      </c>
      <c r="C766" s="90" t="n">
        <f aca="false">2057*0.8</f>
        <v>1645.6</v>
      </c>
      <c r="D766" s="90" t="s">
        <v>905</v>
      </c>
      <c r="E766" s="91"/>
      <c r="F766" s="91"/>
      <c r="G766" s="91"/>
      <c r="H766" s="91"/>
      <c r="I766" s="91"/>
      <c r="J766" s="91"/>
      <c r="K766" s="91"/>
      <c r="L766" s="91"/>
      <c r="M766" s="91"/>
    </row>
    <row r="767" customFormat="false" ht="17.6" hidden="false" customHeight="false" outlineLevel="0" collapsed="false">
      <c r="A767" s="91" t="s">
        <v>907</v>
      </c>
      <c r="B767" s="90" t="s">
        <v>150</v>
      </c>
      <c r="C767" s="90" t="n">
        <f aca="false">2822*0.8</f>
        <v>2257.6</v>
      </c>
      <c r="D767" s="90" t="s">
        <v>905</v>
      </c>
      <c r="E767" s="91"/>
      <c r="F767" s="91"/>
      <c r="G767" s="91"/>
      <c r="H767" s="91"/>
      <c r="I767" s="91"/>
      <c r="J767" s="91"/>
      <c r="K767" s="91"/>
      <c r="L767" s="91"/>
      <c r="M767" s="91"/>
    </row>
    <row r="768" customFormat="false" ht="17.6" hidden="false" customHeight="false" outlineLevel="0" collapsed="false">
      <c r="A768" s="91" t="s">
        <v>908</v>
      </c>
      <c r="B768" s="90" t="s">
        <v>150</v>
      </c>
      <c r="C768" s="90" t="n">
        <f aca="false">3743*0.8</f>
        <v>2994.4</v>
      </c>
      <c r="D768" s="90" t="s">
        <v>905</v>
      </c>
      <c r="E768" s="91"/>
      <c r="F768" s="91"/>
      <c r="G768" s="91"/>
      <c r="H768" s="91"/>
      <c r="I768" s="91"/>
      <c r="J768" s="91"/>
      <c r="K768" s="91"/>
      <c r="L768" s="91"/>
      <c r="M768" s="91"/>
    </row>
    <row r="769" customFormat="false" ht="17.6" hidden="false" customHeight="false" outlineLevel="0" collapsed="false">
      <c r="A769" s="91" t="s">
        <v>909</v>
      </c>
      <c r="B769" s="90" t="s">
        <v>150</v>
      </c>
      <c r="C769" s="90" t="n">
        <f aca="false">5071*0.8</f>
        <v>4056.8</v>
      </c>
      <c r="D769" s="90" t="s">
        <v>905</v>
      </c>
      <c r="E769" s="91"/>
      <c r="F769" s="91"/>
      <c r="G769" s="91"/>
      <c r="H769" s="91"/>
      <c r="I769" s="91"/>
      <c r="J769" s="91"/>
      <c r="K769" s="91"/>
      <c r="L769" s="91"/>
      <c r="M769" s="91"/>
    </row>
    <row r="770" customFormat="false" ht="17.6" hidden="false" customHeight="false" outlineLevel="0" collapsed="false">
      <c r="A770" s="91" t="s">
        <v>910</v>
      </c>
      <c r="B770" s="90" t="s">
        <v>150</v>
      </c>
      <c r="C770" s="90" t="n">
        <f aca="false">5575*0.8</f>
        <v>4460</v>
      </c>
      <c r="D770" s="90" t="s">
        <v>905</v>
      </c>
      <c r="E770" s="91"/>
      <c r="F770" s="91"/>
      <c r="G770" s="91"/>
      <c r="H770" s="91"/>
      <c r="I770" s="91"/>
      <c r="J770" s="91"/>
      <c r="K770" s="91"/>
      <c r="L770" s="91"/>
      <c r="M770" s="91"/>
    </row>
    <row r="771" customFormat="false" ht="17.6" hidden="false" customHeight="false" outlineLevel="0" collapsed="false">
      <c r="A771" s="91" t="s">
        <v>911</v>
      </c>
      <c r="B771" s="90" t="s">
        <v>912</v>
      </c>
      <c r="C771" s="90" t="n">
        <v>100</v>
      </c>
      <c r="D771" s="90" t="s">
        <v>913</v>
      </c>
      <c r="E771" s="91"/>
      <c r="F771" s="91"/>
      <c r="G771" s="91"/>
      <c r="H771" s="91"/>
      <c r="I771" s="91"/>
      <c r="J771" s="91"/>
      <c r="K771" s="91"/>
      <c r="L771" s="91"/>
      <c r="M771" s="91"/>
    </row>
    <row r="772" customFormat="false" ht="17.6" hidden="false" customHeight="false" outlineLevel="0" collapsed="false">
      <c r="A772" s="91" t="s">
        <v>914</v>
      </c>
      <c r="B772" s="90" t="s">
        <v>915</v>
      </c>
      <c r="C772" s="90" t="n">
        <v>220</v>
      </c>
      <c r="D772" s="90" t="s">
        <v>916</v>
      </c>
      <c r="E772" s="91"/>
      <c r="F772" s="91"/>
      <c r="G772" s="91"/>
      <c r="H772" s="91"/>
      <c r="I772" s="91"/>
      <c r="J772" s="91"/>
      <c r="K772" s="91"/>
      <c r="L772" s="91"/>
      <c r="M772" s="91"/>
    </row>
    <row r="773" customFormat="false" ht="17.6" hidden="false" customHeight="false" outlineLevel="0" collapsed="false">
      <c r="A773" s="91" t="s">
        <v>917</v>
      </c>
      <c r="B773" s="90" t="s">
        <v>918</v>
      </c>
      <c r="C773" s="90" t="n">
        <v>1580</v>
      </c>
      <c r="D773" s="90" t="s">
        <v>919</v>
      </c>
      <c r="E773" s="91"/>
      <c r="F773" s="91"/>
      <c r="G773" s="91"/>
      <c r="H773" s="91"/>
      <c r="I773" s="91"/>
      <c r="J773" s="91"/>
      <c r="K773" s="91"/>
      <c r="L773" s="91"/>
      <c r="M773" s="91"/>
    </row>
    <row r="774" customFormat="false" ht="17.6" hidden="false" customHeight="false" outlineLevel="0" collapsed="false">
      <c r="A774" s="91" t="s">
        <v>920</v>
      </c>
      <c r="B774" s="90" t="s">
        <v>915</v>
      </c>
      <c r="C774" s="90" t="n">
        <v>235</v>
      </c>
      <c r="D774" s="90" t="s">
        <v>916</v>
      </c>
      <c r="E774" s="91"/>
      <c r="F774" s="91"/>
      <c r="G774" s="91"/>
      <c r="H774" s="91"/>
      <c r="I774" s="91"/>
      <c r="J774" s="91"/>
      <c r="K774" s="91"/>
      <c r="L774" s="91"/>
      <c r="M774" s="91"/>
    </row>
    <row r="775" customFormat="false" ht="17.6" hidden="false" customHeight="false" outlineLevel="0" collapsed="false">
      <c r="A775" s="91" t="s">
        <v>921</v>
      </c>
      <c r="B775" s="90" t="s">
        <v>915</v>
      </c>
      <c r="C775" s="90" t="n">
        <v>1800</v>
      </c>
      <c r="D775" s="90" t="s">
        <v>922</v>
      </c>
      <c r="E775" s="91"/>
      <c r="F775" s="91"/>
      <c r="G775" s="91"/>
      <c r="H775" s="91"/>
      <c r="I775" s="91"/>
      <c r="J775" s="91"/>
      <c r="K775" s="91"/>
      <c r="L775" s="91"/>
      <c r="M775" s="91"/>
    </row>
    <row r="776" customFormat="false" ht="17.6" hidden="false" customHeight="false" outlineLevel="0" collapsed="false">
      <c r="A776" s="91" t="s">
        <v>923</v>
      </c>
      <c r="B776" s="90" t="s">
        <v>915</v>
      </c>
      <c r="C776" s="90" t="n">
        <v>1800</v>
      </c>
      <c r="D776" s="90" t="s">
        <v>922</v>
      </c>
      <c r="E776" s="91"/>
      <c r="F776" s="91"/>
      <c r="G776" s="91"/>
      <c r="H776" s="91"/>
      <c r="I776" s="91"/>
      <c r="J776" s="91"/>
      <c r="K776" s="91"/>
      <c r="L776" s="91"/>
      <c r="M776" s="91"/>
    </row>
    <row r="777" customFormat="false" ht="17.6" hidden="false" customHeight="false" outlineLevel="0" collapsed="false">
      <c r="A777" s="91" t="s">
        <v>924</v>
      </c>
      <c r="B777" s="90" t="s">
        <v>915</v>
      </c>
      <c r="C777" s="90" t="n">
        <v>700</v>
      </c>
      <c r="D777" s="90" t="s">
        <v>922</v>
      </c>
      <c r="E777" s="90" t="s">
        <v>925</v>
      </c>
      <c r="F777" s="91"/>
      <c r="G777" s="91"/>
      <c r="H777" s="91"/>
      <c r="I777" s="91"/>
      <c r="J777" s="91"/>
      <c r="K777" s="91"/>
      <c r="L777" s="91"/>
      <c r="M777" s="91"/>
    </row>
    <row r="778" customFormat="false" ht="17.6" hidden="false" customHeight="false" outlineLevel="0" collapsed="false">
      <c r="A778" s="91" t="s">
        <v>926</v>
      </c>
      <c r="B778" s="90" t="s">
        <v>915</v>
      </c>
      <c r="C778" s="90" t="n">
        <v>1800</v>
      </c>
      <c r="D778" s="90" t="s">
        <v>922</v>
      </c>
      <c r="E778" s="91"/>
      <c r="F778" s="91"/>
      <c r="G778" s="91"/>
      <c r="H778" s="91"/>
      <c r="I778" s="91"/>
      <c r="J778" s="91"/>
      <c r="K778" s="91"/>
      <c r="L778" s="91"/>
      <c r="M778" s="91"/>
    </row>
    <row r="779" customFormat="false" ht="17.6" hidden="false" customHeight="false" outlineLevel="0" collapsed="false">
      <c r="A779" s="91" t="s">
        <v>927</v>
      </c>
      <c r="B779" s="90" t="s">
        <v>915</v>
      </c>
      <c r="C779" s="90" t="n">
        <v>1650</v>
      </c>
      <c r="D779" s="90" t="s">
        <v>922</v>
      </c>
      <c r="E779" s="91"/>
      <c r="F779" s="91"/>
      <c r="G779" s="91"/>
      <c r="H779" s="91"/>
      <c r="I779" s="91"/>
      <c r="J779" s="91"/>
      <c r="K779" s="91"/>
      <c r="L779" s="91"/>
      <c r="M779" s="91"/>
    </row>
    <row r="780" customFormat="false" ht="17.6" hidden="false" customHeight="false" outlineLevel="0" collapsed="false">
      <c r="A780" s="91" t="s">
        <v>928</v>
      </c>
      <c r="B780" s="90" t="s">
        <v>49</v>
      </c>
      <c r="C780" s="90" t="n">
        <f aca="false">7254*0.6</f>
        <v>4352.4</v>
      </c>
      <c r="D780" s="90" t="s">
        <v>929</v>
      </c>
      <c r="E780" s="91"/>
      <c r="F780" s="91"/>
      <c r="G780" s="91"/>
      <c r="H780" s="91"/>
      <c r="I780" s="91"/>
      <c r="J780" s="91"/>
      <c r="K780" s="91"/>
      <c r="L780" s="91"/>
      <c r="M780" s="91"/>
    </row>
    <row r="781" customFormat="false" ht="17.6" hidden="false" customHeight="false" outlineLevel="0" collapsed="false">
      <c r="A781" s="91" t="s">
        <v>930</v>
      </c>
      <c r="B781" s="90" t="s">
        <v>931</v>
      </c>
      <c r="C781" s="95" t="n">
        <f aca="false">3156*0.6+300</f>
        <v>2193.6</v>
      </c>
      <c r="D781" s="90" t="s">
        <v>929</v>
      </c>
      <c r="E781" s="91"/>
      <c r="F781" s="91"/>
      <c r="G781" s="91"/>
      <c r="H781" s="91"/>
      <c r="I781" s="91"/>
      <c r="J781" s="91"/>
      <c r="K781" s="91"/>
      <c r="L781" s="91"/>
      <c r="M781" s="91"/>
    </row>
    <row r="782" customFormat="false" ht="17.6" hidden="false" customHeight="false" outlineLevel="0" collapsed="false">
      <c r="A782" s="91" t="s">
        <v>932</v>
      </c>
      <c r="B782" s="90" t="s">
        <v>49</v>
      </c>
      <c r="C782" s="90" t="n">
        <f aca="false">3336*0.6</f>
        <v>2001.6</v>
      </c>
      <c r="D782" s="90" t="s">
        <v>929</v>
      </c>
      <c r="E782" s="91"/>
      <c r="F782" s="91"/>
      <c r="G782" s="91"/>
      <c r="H782" s="91"/>
      <c r="I782" s="91"/>
      <c r="J782" s="91"/>
      <c r="K782" s="91"/>
      <c r="L782" s="91"/>
      <c r="M782" s="91"/>
    </row>
    <row r="783" customFormat="false" ht="17.6" hidden="false" customHeight="false" outlineLevel="0" collapsed="false">
      <c r="A783" s="91" t="s">
        <v>933</v>
      </c>
      <c r="B783" s="90" t="s">
        <v>934</v>
      </c>
      <c r="C783" s="90" t="n">
        <v>235</v>
      </c>
      <c r="D783" s="90" t="s">
        <v>913</v>
      </c>
      <c r="E783" s="91"/>
      <c r="F783" s="91"/>
      <c r="G783" s="91"/>
      <c r="H783" s="91"/>
      <c r="I783" s="91"/>
      <c r="J783" s="91"/>
      <c r="K783" s="91"/>
      <c r="L783" s="91"/>
      <c r="M783" s="91"/>
    </row>
    <row r="784" customFormat="false" ht="17.6" hidden="false" customHeight="false" outlineLevel="0" collapsed="false">
      <c r="A784" s="91" t="s">
        <v>935</v>
      </c>
      <c r="B784" s="90" t="s">
        <v>934</v>
      </c>
      <c r="C784" s="90" t="n">
        <v>235</v>
      </c>
      <c r="D784" s="90" t="s">
        <v>936</v>
      </c>
      <c r="E784" s="91"/>
      <c r="F784" s="91"/>
      <c r="G784" s="91"/>
      <c r="H784" s="91"/>
      <c r="I784" s="91"/>
      <c r="J784" s="91"/>
      <c r="K784" s="91"/>
      <c r="L784" s="91"/>
      <c r="M784" s="91"/>
    </row>
    <row r="785" customFormat="false" ht="17.6" hidden="false" customHeight="false" outlineLevel="0" collapsed="false">
      <c r="A785" s="91" t="s">
        <v>937</v>
      </c>
      <c r="B785" s="90" t="s">
        <v>237</v>
      </c>
      <c r="C785" s="90" t="n">
        <f aca="false">28.18*0.7</f>
        <v>19.726</v>
      </c>
      <c r="D785" s="90" t="s">
        <v>187</v>
      </c>
      <c r="E785" s="91"/>
      <c r="F785" s="91"/>
      <c r="G785" s="91"/>
      <c r="H785" s="91"/>
      <c r="I785" s="91"/>
      <c r="J785" s="91"/>
      <c r="K785" s="91"/>
      <c r="L785" s="91"/>
      <c r="M785" s="91"/>
    </row>
    <row r="786" customFormat="false" ht="17.6" hidden="false" customHeight="false" outlineLevel="0" collapsed="false">
      <c r="A786" s="91" t="s">
        <v>938</v>
      </c>
      <c r="B786" s="90" t="s">
        <v>237</v>
      </c>
      <c r="C786" s="90" t="n">
        <f aca="false">9.1*0.7</f>
        <v>6.37</v>
      </c>
      <c r="D786" s="90" t="s">
        <v>187</v>
      </c>
      <c r="E786" s="91"/>
      <c r="F786" s="91"/>
      <c r="G786" s="91"/>
      <c r="H786" s="91"/>
      <c r="I786" s="91"/>
      <c r="J786" s="91"/>
      <c r="K786" s="91"/>
      <c r="L786" s="91"/>
      <c r="M786" s="91"/>
    </row>
    <row r="787" customFormat="false" ht="17.6" hidden="false" customHeight="false" outlineLevel="0" collapsed="false">
      <c r="A787" s="91" t="s">
        <v>939</v>
      </c>
      <c r="B787" s="90" t="s">
        <v>237</v>
      </c>
      <c r="C787" s="90" t="n">
        <f aca="false">31.88*0.7</f>
        <v>22.316</v>
      </c>
      <c r="D787" s="90" t="s">
        <v>187</v>
      </c>
      <c r="E787" s="91"/>
      <c r="F787" s="91"/>
      <c r="G787" s="91"/>
      <c r="H787" s="90" t="n">
        <f aca="false">G787*120</f>
        <v>0</v>
      </c>
      <c r="I787" s="91"/>
      <c r="J787" s="91"/>
      <c r="K787" s="91"/>
      <c r="L787" s="91"/>
      <c r="M787" s="91"/>
    </row>
    <row r="788" customFormat="false" ht="17.6" hidden="false" customHeight="false" outlineLevel="0" collapsed="false">
      <c r="A788" s="91" t="s">
        <v>940</v>
      </c>
      <c r="B788" s="90" t="s">
        <v>237</v>
      </c>
      <c r="C788" s="90" t="n">
        <f aca="false">33.09*0.7</f>
        <v>23.163</v>
      </c>
      <c r="D788" s="90" t="s">
        <v>187</v>
      </c>
      <c r="E788" s="91"/>
      <c r="F788" s="91"/>
      <c r="G788" s="91"/>
      <c r="H788" s="91"/>
      <c r="I788" s="91"/>
      <c r="J788" s="91"/>
      <c r="K788" s="91"/>
      <c r="L788" s="91"/>
      <c r="M788" s="91"/>
    </row>
    <row r="789" customFormat="false" ht="17.6" hidden="false" customHeight="false" outlineLevel="0" collapsed="false">
      <c r="A789" s="91" t="s">
        <v>941</v>
      </c>
      <c r="B789" s="90" t="s">
        <v>237</v>
      </c>
      <c r="C789" s="90" t="n">
        <f aca="false">45*0.7</f>
        <v>31.5</v>
      </c>
      <c r="D789" s="90" t="s">
        <v>187</v>
      </c>
      <c r="E789" s="91"/>
      <c r="F789" s="91"/>
      <c r="G789" s="91"/>
      <c r="H789" s="91"/>
      <c r="I789" s="91"/>
      <c r="J789" s="91"/>
      <c r="K789" s="91"/>
      <c r="L789" s="91"/>
      <c r="M789" s="91"/>
    </row>
    <row r="790" customFormat="false" ht="17.6" hidden="false" customHeight="false" outlineLevel="0" collapsed="false">
      <c r="A790" s="91" t="s">
        <v>942</v>
      </c>
      <c r="B790" s="90" t="s">
        <v>943</v>
      </c>
      <c r="C790" s="90" t="n">
        <v>90</v>
      </c>
      <c r="D790" s="90" t="s">
        <v>944</v>
      </c>
      <c r="E790" s="91"/>
      <c r="F790" s="91"/>
      <c r="G790" s="91"/>
      <c r="H790" s="91"/>
      <c r="I790" s="91"/>
      <c r="J790" s="91"/>
      <c r="K790" s="91"/>
      <c r="L790" s="91"/>
      <c r="M790" s="91"/>
    </row>
    <row r="791" customFormat="false" ht="17.6" hidden="false" customHeight="false" outlineLevel="0" collapsed="false">
      <c r="A791" s="91" t="s">
        <v>945</v>
      </c>
      <c r="B791" s="90" t="s">
        <v>237</v>
      </c>
      <c r="C791" s="90" t="n">
        <f aca="false">156.6*0.65</f>
        <v>101.79</v>
      </c>
      <c r="D791" s="90" t="s">
        <v>946</v>
      </c>
      <c r="E791" s="91"/>
      <c r="F791" s="91"/>
      <c r="G791" s="91"/>
      <c r="H791" s="91"/>
      <c r="I791" s="91"/>
      <c r="J791" s="91"/>
      <c r="K791" s="91"/>
      <c r="L791" s="91"/>
      <c r="M791" s="91"/>
    </row>
    <row r="792" customFormat="false" ht="17.6" hidden="false" customHeight="false" outlineLevel="0" collapsed="false">
      <c r="A792" s="91" t="s">
        <v>947</v>
      </c>
      <c r="B792" s="90" t="s">
        <v>237</v>
      </c>
      <c r="C792" s="90" t="n">
        <f aca="false">202.2*0.7</f>
        <v>141.54</v>
      </c>
      <c r="D792" s="90" t="s">
        <v>946</v>
      </c>
      <c r="E792" s="91"/>
      <c r="F792" s="91"/>
      <c r="G792" s="91"/>
      <c r="H792" s="91"/>
      <c r="I792" s="91"/>
      <c r="J792" s="91"/>
      <c r="K792" s="91"/>
      <c r="L792" s="91"/>
      <c r="M792" s="91"/>
    </row>
    <row r="793" customFormat="false" ht="17.6" hidden="false" customHeight="false" outlineLevel="0" collapsed="false">
      <c r="A793" s="91" t="s">
        <v>948</v>
      </c>
      <c r="B793" s="90" t="s">
        <v>237</v>
      </c>
      <c r="C793" s="90" t="n">
        <f aca="false">284.6*0.7</f>
        <v>199.22</v>
      </c>
      <c r="D793" s="90" t="s">
        <v>946</v>
      </c>
      <c r="E793" s="91"/>
      <c r="F793" s="91"/>
      <c r="G793" s="91"/>
      <c r="H793" s="91"/>
      <c r="I793" s="91"/>
      <c r="J793" s="91"/>
      <c r="K793" s="91"/>
      <c r="L793" s="91"/>
      <c r="M793" s="91"/>
    </row>
    <row r="794" customFormat="false" ht="17.6" hidden="false" customHeight="false" outlineLevel="0" collapsed="false">
      <c r="A794" s="91" t="s">
        <v>949</v>
      </c>
      <c r="B794" s="91"/>
      <c r="C794" s="90" t="n">
        <f aca="false">119.2*0.7</f>
        <v>83.44</v>
      </c>
      <c r="D794" s="90" t="s">
        <v>946</v>
      </c>
      <c r="E794" s="91"/>
      <c r="F794" s="91"/>
      <c r="G794" s="91"/>
      <c r="H794" s="91"/>
      <c r="I794" s="91"/>
      <c r="J794" s="91"/>
      <c r="K794" s="91"/>
      <c r="L794" s="91"/>
      <c r="M794" s="91"/>
    </row>
    <row r="795" customFormat="false" ht="17.6" hidden="false" customHeight="false" outlineLevel="0" collapsed="false">
      <c r="A795" s="91"/>
    </row>
    <row r="796" customFormat="false" ht="17.6" hidden="false" customHeight="false" outlineLevel="0" collapsed="false">
      <c r="A796" s="91" t="s">
        <v>950</v>
      </c>
      <c r="B796" s="90" t="s">
        <v>57</v>
      </c>
      <c r="C796" s="90" t="n">
        <f aca="false">715*0.7</f>
        <v>500.5</v>
      </c>
      <c r="D796" s="90" t="s">
        <v>951</v>
      </c>
      <c r="E796" s="91"/>
      <c r="F796" s="91"/>
      <c r="G796" s="91"/>
      <c r="H796" s="91"/>
      <c r="I796" s="91"/>
      <c r="J796" s="91"/>
      <c r="K796" s="91"/>
      <c r="L796" s="91"/>
      <c r="M796" s="91"/>
    </row>
    <row r="797" customFormat="false" ht="17.6" hidden="false" customHeight="false" outlineLevel="0" collapsed="false">
      <c r="A797" s="91"/>
    </row>
    <row r="798" customFormat="false" ht="17.6" hidden="false" customHeight="false" outlineLevel="0" collapsed="false">
      <c r="A798" s="91" t="s">
        <v>952</v>
      </c>
      <c r="B798" s="90" t="s">
        <v>86</v>
      </c>
      <c r="C798" s="90" t="n">
        <f aca="false">38800</f>
        <v>38800</v>
      </c>
      <c r="D798" s="90" t="s">
        <v>90</v>
      </c>
      <c r="E798" s="91"/>
      <c r="F798" s="91"/>
      <c r="G798" s="91"/>
      <c r="H798" s="91"/>
      <c r="I798" s="91"/>
      <c r="J798" s="91"/>
      <c r="K798" s="91"/>
      <c r="L798" s="91"/>
      <c r="M798" s="91"/>
    </row>
    <row r="799" customFormat="false" ht="17.6" hidden="false" customHeight="false" outlineLevel="0" collapsed="false">
      <c r="A799" s="91" t="s">
        <v>953</v>
      </c>
      <c r="B799" s="90" t="s">
        <v>86</v>
      </c>
      <c r="C799" s="90" t="n">
        <f aca="false">32800</f>
        <v>32800</v>
      </c>
      <c r="D799" s="90" t="s">
        <v>90</v>
      </c>
      <c r="E799" s="91"/>
      <c r="F799" s="91"/>
      <c r="G799" s="91"/>
      <c r="H799" s="91"/>
      <c r="I799" s="91"/>
      <c r="J799" s="91"/>
      <c r="K799" s="91"/>
      <c r="L799" s="91"/>
      <c r="M799" s="91"/>
    </row>
    <row r="800" customFormat="false" ht="17.6" hidden="false" customHeight="false" outlineLevel="0" collapsed="false">
      <c r="A800" s="91" t="s">
        <v>954</v>
      </c>
      <c r="B800" s="90" t="s">
        <v>86</v>
      </c>
      <c r="C800" s="90" t="n">
        <f aca="false">35800</f>
        <v>35800</v>
      </c>
      <c r="D800" s="90" t="s">
        <v>90</v>
      </c>
      <c r="E800" s="91"/>
      <c r="F800" s="91"/>
      <c r="G800" s="91"/>
      <c r="H800" s="91"/>
      <c r="I800" s="91"/>
      <c r="J800" s="91"/>
      <c r="K800" s="91"/>
      <c r="L800" s="91"/>
      <c r="M800" s="91"/>
    </row>
    <row r="801" customFormat="false" ht="17.6" hidden="false" customHeight="false" outlineLevel="0" collapsed="false">
      <c r="A801" s="91" t="s">
        <v>955</v>
      </c>
      <c r="B801" s="90" t="s">
        <v>40</v>
      </c>
      <c r="C801" s="90" t="n">
        <f aca="false">2132.9+921.9</f>
        <v>3054.8</v>
      </c>
      <c r="D801" s="90" t="s">
        <v>199</v>
      </c>
      <c r="E801" s="91"/>
      <c r="F801" s="91"/>
      <c r="G801" s="91"/>
      <c r="H801" s="91"/>
      <c r="I801" s="91"/>
      <c r="J801" s="91"/>
      <c r="K801" s="91"/>
      <c r="L801" s="91"/>
      <c r="M801" s="91"/>
    </row>
    <row r="802" customFormat="false" ht="17.6" hidden="false" customHeight="false" outlineLevel="0" collapsed="false">
      <c r="A802" s="91" t="s">
        <v>956</v>
      </c>
      <c r="B802" s="90" t="s">
        <v>40</v>
      </c>
      <c r="C802" s="90" t="n">
        <f aca="false">2132.9+921.9</f>
        <v>3054.8</v>
      </c>
      <c r="D802" s="90" t="s">
        <v>199</v>
      </c>
      <c r="E802" s="91"/>
      <c r="F802" s="91"/>
      <c r="G802" s="91"/>
      <c r="H802" s="91"/>
      <c r="I802" s="91"/>
      <c r="J802" s="91"/>
      <c r="K802" s="91"/>
      <c r="L802" s="91"/>
      <c r="M802" s="91"/>
    </row>
    <row r="803" customFormat="false" ht="17.6" hidden="false" customHeight="false" outlineLevel="0" collapsed="false">
      <c r="A803" s="91" t="s">
        <v>957</v>
      </c>
      <c r="B803" s="90" t="s">
        <v>40</v>
      </c>
      <c r="C803" s="90" t="n">
        <f aca="false">2426.6+921.9</f>
        <v>3348.5</v>
      </c>
      <c r="D803" s="90" t="s">
        <v>199</v>
      </c>
      <c r="E803" s="91"/>
      <c r="F803" s="91"/>
      <c r="G803" s="91"/>
      <c r="H803" s="91"/>
      <c r="I803" s="91"/>
      <c r="J803" s="91"/>
      <c r="K803" s="91"/>
      <c r="L803" s="91"/>
      <c r="M803" s="91"/>
    </row>
    <row r="804" customFormat="false" ht="17.6" hidden="false" customHeight="false" outlineLevel="0" collapsed="false">
      <c r="A804" s="91" t="s">
        <v>958</v>
      </c>
      <c r="B804" s="90" t="s">
        <v>40</v>
      </c>
      <c r="C804" s="90" t="n">
        <f aca="false">3088.8+2734.9</f>
        <v>5823.7</v>
      </c>
      <c r="D804" s="90" t="s">
        <v>199</v>
      </c>
    </row>
    <row r="805" customFormat="false" ht="17.6" hidden="false" customHeight="false" outlineLevel="0" collapsed="false">
      <c r="A805" s="91" t="s">
        <v>959</v>
      </c>
      <c r="B805" s="90" t="s">
        <v>40</v>
      </c>
      <c r="C805" s="90" t="n">
        <f aca="false">3088.8+2734.9</f>
        <v>5823.7</v>
      </c>
      <c r="D805" s="90" t="s">
        <v>199</v>
      </c>
      <c r="E805" s="91"/>
      <c r="F805" s="91"/>
      <c r="G805" s="91"/>
      <c r="H805" s="91"/>
      <c r="I805" s="91"/>
      <c r="J805" s="91"/>
      <c r="K805" s="91"/>
      <c r="L805" s="91"/>
      <c r="M805" s="91"/>
    </row>
    <row r="806" customFormat="false" ht="17.6" hidden="false" customHeight="false" outlineLevel="0" collapsed="false">
      <c r="A806" s="91" t="s">
        <v>960</v>
      </c>
      <c r="B806" s="90" t="s">
        <v>40</v>
      </c>
      <c r="C806" s="90" t="n">
        <f aca="false">4309.25+2734.9</f>
        <v>7044.15</v>
      </c>
      <c r="D806" s="90" t="s">
        <v>199</v>
      </c>
      <c r="E806" s="91"/>
      <c r="F806" s="91"/>
      <c r="G806" s="91"/>
      <c r="H806" s="91"/>
      <c r="I806" s="91"/>
      <c r="J806" s="91"/>
      <c r="K806" s="91"/>
      <c r="L806" s="91"/>
      <c r="M806" s="91"/>
    </row>
    <row r="807" customFormat="false" ht="17.6" hidden="false" customHeight="false" outlineLevel="0" collapsed="false">
      <c r="A807" s="91" t="s">
        <v>961</v>
      </c>
      <c r="B807" s="90" t="s">
        <v>962</v>
      </c>
      <c r="C807" s="90" t="n">
        <v>4000</v>
      </c>
      <c r="D807" s="90" t="s">
        <v>963</v>
      </c>
      <c r="E807" s="91"/>
      <c r="F807" s="91"/>
      <c r="G807" s="91"/>
      <c r="H807" s="91"/>
      <c r="I807" s="91"/>
      <c r="J807" s="91"/>
      <c r="K807" s="91"/>
      <c r="L807" s="91"/>
      <c r="M807" s="91"/>
    </row>
    <row r="808" customFormat="false" ht="17.6" hidden="false" customHeight="false" outlineLevel="0" collapsed="false">
      <c r="A808" s="91" t="s">
        <v>964</v>
      </c>
      <c r="B808" s="90" t="s">
        <v>962</v>
      </c>
      <c r="C808" s="90" t="n">
        <v>4200</v>
      </c>
      <c r="D808" s="90" t="s">
        <v>963</v>
      </c>
      <c r="E808" s="91"/>
      <c r="F808" s="91"/>
      <c r="G808" s="91"/>
      <c r="H808" s="91"/>
      <c r="I808" s="91"/>
      <c r="J808" s="91"/>
      <c r="K808" s="91"/>
      <c r="L808" s="91"/>
      <c r="M808" s="91"/>
    </row>
    <row r="809" customFormat="false" ht="18" hidden="false" customHeight="false" outlineLevel="0" collapsed="false">
      <c r="A809" s="91" t="s">
        <v>965</v>
      </c>
      <c r="B809" s="90" t="s">
        <v>80</v>
      </c>
      <c r="C809" s="90" t="n">
        <f aca="false">5375*0.75</f>
        <v>4031.25</v>
      </c>
      <c r="D809" s="90" t="s">
        <v>966</v>
      </c>
      <c r="E809" s="91"/>
      <c r="F809" s="91"/>
      <c r="G809" s="91"/>
      <c r="H809" s="91"/>
      <c r="I809" s="91"/>
      <c r="J809" s="91"/>
      <c r="K809" s="91"/>
      <c r="L809" s="91"/>
      <c r="M809" s="91"/>
    </row>
    <row r="810" customFormat="false" ht="17.6" hidden="false" customHeight="false" outlineLevel="0" collapsed="false">
      <c r="A810" s="91" t="s">
        <v>967</v>
      </c>
      <c r="B810" s="90" t="s">
        <v>80</v>
      </c>
      <c r="C810" s="90" t="n">
        <f aca="false">5875*0.75</f>
        <v>4406.25</v>
      </c>
      <c r="D810" s="90" t="s">
        <v>966</v>
      </c>
      <c r="E810" s="91"/>
      <c r="F810" s="91"/>
      <c r="G810" s="91"/>
      <c r="H810" s="91"/>
      <c r="I810" s="91"/>
      <c r="J810" s="91"/>
      <c r="K810" s="91"/>
      <c r="L810" s="91"/>
      <c r="M810" s="91"/>
    </row>
    <row r="811" customFormat="false" ht="17.6" hidden="false" customHeight="false" outlineLevel="0" collapsed="false">
      <c r="A811" s="91" t="s">
        <v>968</v>
      </c>
      <c r="B811" s="90" t="s">
        <v>904</v>
      </c>
      <c r="C811" s="90" t="n">
        <f aca="false">1250*0.75</f>
        <v>937.5</v>
      </c>
      <c r="D811" s="90" t="s">
        <v>966</v>
      </c>
      <c r="E811" s="91"/>
      <c r="F811" s="91"/>
      <c r="G811" s="91"/>
      <c r="H811" s="91"/>
      <c r="I811" s="91"/>
      <c r="J811" s="91"/>
      <c r="K811" s="91"/>
      <c r="L811" s="91"/>
      <c r="M811" s="91"/>
    </row>
    <row r="812" customFormat="false" ht="17.6" hidden="false" customHeight="false" outlineLevel="0" collapsed="false">
      <c r="A812" s="91" t="s">
        <v>969</v>
      </c>
      <c r="B812" s="90" t="s">
        <v>970</v>
      </c>
      <c r="C812" s="90" t="n">
        <f aca="false">500*0.75</f>
        <v>375</v>
      </c>
      <c r="D812" s="90" t="s">
        <v>966</v>
      </c>
      <c r="E812" s="91"/>
      <c r="F812" s="91"/>
      <c r="G812" s="91"/>
      <c r="H812" s="91"/>
      <c r="I812" s="91"/>
      <c r="J812" s="91"/>
      <c r="K812" s="91"/>
      <c r="L812" s="91"/>
      <c r="M812" s="91"/>
    </row>
    <row r="813" customFormat="false" ht="17.6" hidden="false" customHeight="false" outlineLevel="0" collapsed="false">
      <c r="A813" s="91" t="s">
        <v>971</v>
      </c>
      <c r="B813" s="90" t="s">
        <v>972</v>
      </c>
      <c r="C813" s="90" t="n">
        <v>13</v>
      </c>
      <c r="D813" s="90" t="s">
        <v>973</v>
      </c>
      <c r="E813" s="91"/>
      <c r="F813" s="91"/>
      <c r="G813" s="91"/>
      <c r="H813" s="91"/>
      <c r="I813" s="91"/>
      <c r="J813" s="91"/>
      <c r="K813" s="91"/>
      <c r="L813" s="91"/>
      <c r="M813" s="91"/>
    </row>
    <row r="814" customFormat="false" ht="17.6" hidden="false" customHeight="false" outlineLevel="0" collapsed="false">
      <c r="A814" s="91" t="s">
        <v>974</v>
      </c>
      <c r="B814" s="90" t="s">
        <v>975</v>
      </c>
      <c r="C814" s="97" t="n">
        <v>7000</v>
      </c>
      <c r="D814" s="90" t="s">
        <v>963</v>
      </c>
      <c r="E814" s="91"/>
      <c r="F814" s="91"/>
      <c r="G814" s="91"/>
      <c r="H814" s="91"/>
      <c r="I814" s="91"/>
      <c r="J814" s="91"/>
      <c r="K814" s="91"/>
      <c r="L814" s="91"/>
      <c r="M814" s="91"/>
    </row>
    <row r="815" customFormat="false" ht="17.6" hidden="false" customHeight="false" outlineLevel="0" collapsed="false">
      <c r="A815" s="91" t="s">
        <v>976</v>
      </c>
      <c r="B815" s="90" t="s">
        <v>975</v>
      </c>
      <c r="C815" s="97" t="n">
        <v>7200</v>
      </c>
      <c r="D815" s="90" t="s">
        <v>963</v>
      </c>
      <c r="E815" s="91"/>
      <c r="F815" s="91"/>
      <c r="G815" s="91"/>
      <c r="H815" s="91"/>
      <c r="I815" s="91"/>
      <c r="J815" s="91"/>
      <c r="K815" s="91"/>
      <c r="L815" s="91"/>
      <c r="M815" s="91"/>
    </row>
    <row r="816" customFormat="false" ht="17.6" hidden="false" customHeight="false" outlineLevel="0" collapsed="false">
      <c r="A816" s="91" t="s">
        <v>977</v>
      </c>
      <c r="B816" s="90" t="s">
        <v>978</v>
      </c>
      <c r="C816" s="90" t="n">
        <v>7200</v>
      </c>
      <c r="D816" s="90" t="s">
        <v>963</v>
      </c>
      <c r="E816" s="91"/>
      <c r="F816" s="91"/>
      <c r="G816" s="91"/>
      <c r="H816" s="91"/>
      <c r="I816" s="91"/>
      <c r="J816" s="91"/>
      <c r="K816" s="91"/>
      <c r="L816" s="91"/>
      <c r="M816" s="91"/>
    </row>
    <row r="817" customFormat="false" ht="17.6" hidden="false" customHeight="false" outlineLevel="0" collapsed="false">
      <c r="A817" s="91" t="s">
        <v>979</v>
      </c>
      <c r="B817" s="91"/>
      <c r="C817" s="90" t="n">
        <v>167.76</v>
      </c>
      <c r="D817" s="90" t="s">
        <v>199</v>
      </c>
      <c r="E817" s="91"/>
      <c r="F817" s="91"/>
      <c r="G817" s="91"/>
      <c r="H817" s="91"/>
      <c r="I817" s="91"/>
      <c r="J817" s="91"/>
      <c r="K817" s="91"/>
      <c r="L817" s="91"/>
      <c r="M817" s="91"/>
    </row>
    <row r="818" customFormat="false" ht="17.6" hidden="false" customHeight="false" outlineLevel="0" collapsed="false">
      <c r="A818" s="91" t="s">
        <v>980</v>
      </c>
      <c r="B818" s="90" t="s">
        <v>981</v>
      </c>
      <c r="C818" s="90" t="n">
        <f aca="false">460*0.6</f>
        <v>276</v>
      </c>
      <c r="D818" s="90" t="s">
        <v>982</v>
      </c>
      <c r="E818" s="91"/>
      <c r="F818" s="91"/>
      <c r="G818" s="91"/>
      <c r="H818" s="91"/>
      <c r="I818" s="91"/>
      <c r="J818" s="91"/>
      <c r="K818" s="91"/>
      <c r="L818" s="91"/>
      <c r="M818" s="91"/>
    </row>
    <row r="819" customFormat="false" ht="17.6" hidden="false" customHeight="false" outlineLevel="0" collapsed="false">
      <c r="A819" s="91" t="s">
        <v>983</v>
      </c>
      <c r="B819" s="90" t="s">
        <v>984</v>
      </c>
      <c r="C819" s="90" t="n">
        <f aca="false">460*0.6+200</f>
        <v>476</v>
      </c>
      <c r="D819" s="90" t="s">
        <v>982</v>
      </c>
      <c r="E819" s="91"/>
      <c r="F819" s="91"/>
      <c r="G819" s="91"/>
      <c r="H819" s="91"/>
      <c r="I819" s="91"/>
      <c r="J819" s="91"/>
      <c r="K819" s="91"/>
      <c r="L819" s="91"/>
      <c r="M819" s="91"/>
    </row>
    <row r="820" customFormat="false" ht="17.6" hidden="false" customHeight="false" outlineLevel="0" collapsed="false">
      <c r="A820" s="91" t="s">
        <v>985</v>
      </c>
      <c r="B820" s="90" t="s">
        <v>986</v>
      </c>
      <c r="C820" s="90" t="n">
        <f aca="false">880*0.6</f>
        <v>528</v>
      </c>
      <c r="D820" s="90" t="s">
        <v>982</v>
      </c>
      <c r="E820" s="91"/>
      <c r="F820" s="91"/>
      <c r="G820" s="91"/>
      <c r="H820" s="91"/>
      <c r="I820" s="91"/>
      <c r="J820" s="91"/>
      <c r="K820" s="91"/>
      <c r="L820" s="91"/>
      <c r="M820" s="91"/>
    </row>
    <row r="821" customFormat="false" ht="17.6" hidden="false" customHeight="false" outlineLevel="0" collapsed="false">
      <c r="A821" s="91" t="s">
        <v>987</v>
      </c>
      <c r="B821" s="90" t="s">
        <v>988</v>
      </c>
      <c r="C821" s="90" t="n">
        <f aca="false">880*0.6</f>
        <v>528</v>
      </c>
      <c r="D821" s="90" t="s">
        <v>982</v>
      </c>
      <c r="E821" s="91"/>
      <c r="F821" s="91"/>
      <c r="G821" s="91"/>
      <c r="H821" s="91"/>
      <c r="I821" s="91"/>
      <c r="J821" s="91"/>
      <c r="K821" s="91"/>
      <c r="L821" s="91"/>
      <c r="M821" s="91"/>
    </row>
    <row r="822" customFormat="false" ht="17.6" hidden="false" customHeight="false" outlineLevel="0" collapsed="false">
      <c r="A822" s="91" t="s">
        <v>989</v>
      </c>
      <c r="B822" s="90" t="s">
        <v>988</v>
      </c>
      <c r="C822" s="90" t="n">
        <f aca="false">1880*0.6</f>
        <v>1128</v>
      </c>
      <c r="D822" s="90" t="s">
        <v>982</v>
      </c>
      <c r="E822" s="91"/>
      <c r="F822" s="91"/>
      <c r="G822" s="91"/>
      <c r="H822" s="91"/>
      <c r="I822" s="91"/>
      <c r="J822" s="91"/>
      <c r="K822" s="91"/>
      <c r="L822" s="91"/>
      <c r="M822" s="91"/>
    </row>
    <row r="823" customFormat="false" ht="17.6" hidden="false" customHeight="false" outlineLevel="0" collapsed="false">
      <c r="A823" s="91" t="s">
        <v>990</v>
      </c>
      <c r="B823" s="90" t="s">
        <v>988</v>
      </c>
      <c r="C823" s="90" t="n">
        <f aca="false">2080*0.6</f>
        <v>1248</v>
      </c>
      <c r="D823" s="90" t="s">
        <v>982</v>
      </c>
      <c r="E823" s="91"/>
      <c r="F823" s="91"/>
      <c r="G823" s="91"/>
      <c r="H823" s="91"/>
      <c r="I823" s="91"/>
      <c r="J823" s="91"/>
      <c r="K823" s="91"/>
      <c r="L823" s="91"/>
      <c r="M823" s="91"/>
    </row>
    <row r="824" customFormat="false" ht="17.6" hidden="false" customHeight="false" outlineLevel="0" collapsed="false">
      <c r="A824" s="91" t="s">
        <v>991</v>
      </c>
      <c r="B824" s="90" t="s">
        <v>988</v>
      </c>
      <c r="C824" s="90" t="n">
        <f aca="false">4880*0.6</f>
        <v>2928</v>
      </c>
      <c r="D824" s="90" t="s">
        <v>982</v>
      </c>
      <c r="E824" s="91"/>
      <c r="F824" s="91"/>
      <c r="G824" s="91"/>
      <c r="H824" s="91"/>
      <c r="I824" s="91"/>
      <c r="J824" s="91"/>
      <c r="K824" s="91"/>
      <c r="L824" s="91"/>
      <c r="M824" s="91"/>
    </row>
    <row r="825" customFormat="false" ht="17.6" hidden="false" customHeight="false" outlineLevel="0" collapsed="false">
      <c r="A825" s="91" t="s">
        <v>992</v>
      </c>
      <c r="B825" s="90" t="s">
        <v>904</v>
      </c>
      <c r="C825" s="90" t="n">
        <v>6500</v>
      </c>
      <c r="D825" s="90" t="s">
        <v>199</v>
      </c>
      <c r="E825" s="91"/>
      <c r="F825" s="91"/>
      <c r="G825" s="91"/>
      <c r="H825" s="91"/>
      <c r="I825" s="91"/>
      <c r="J825" s="91"/>
      <c r="K825" s="91"/>
      <c r="L825" s="91"/>
      <c r="M825" s="91"/>
    </row>
    <row r="826" customFormat="false" ht="17.6" hidden="false" customHeight="false" outlineLevel="0" collapsed="false">
      <c r="A826" s="91" t="s">
        <v>993</v>
      </c>
      <c r="B826" s="90" t="s">
        <v>994</v>
      </c>
      <c r="C826" s="90" t="n">
        <v>1120</v>
      </c>
      <c r="D826" s="90" t="s">
        <v>995</v>
      </c>
      <c r="E826" s="91"/>
      <c r="F826" s="91"/>
      <c r="G826" s="91"/>
      <c r="H826" s="91"/>
      <c r="I826" s="91"/>
      <c r="J826" s="91"/>
      <c r="K826" s="91"/>
      <c r="L826" s="91"/>
      <c r="M826" s="91"/>
    </row>
    <row r="827" customFormat="false" ht="17.6" hidden="false" customHeight="false" outlineLevel="0" collapsed="false">
      <c r="A827" s="91" t="s">
        <v>996</v>
      </c>
      <c r="B827" s="90" t="s">
        <v>997</v>
      </c>
      <c r="C827" s="90" t="n">
        <v>1400</v>
      </c>
      <c r="D827" s="90" t="s">
        <v>995</v>
      </c>
      <c r="E827" s="91"/>
      <c r="F827" s="91"/>
      <c r="G827" s="91"/>
      <c r="H827" s="91"/>
      <c r="I827" s="91"/>
      <c r="J827" s="91"/>
      <c r="K827" s="91"/>
      <c r="L827" s="91"/>
      <c r="M827" s="91"/>
    </row>
    <row r="828" customFormat="false" ht="17.6" hidden="false" customHeight="false" outlineLevel="0" collapsed="false">
      <c r="A828" s="91" t="s">
        <v>998</v>
      </c>
      <c r="B828" s="90" t="s">
        <v>997</v>
      </c>
      <c r="C828" s="90" t="n">
        <v>1830</v>
      </c>
      <c r="D828" s="90" t="s">
        <v>995</v>
      </c>
      <c r="E828" s="91"/>
      <c r="F828" s="91"/>
      <c r="G828" s="91"/>
      <c r="H828" s="91"/>
      <c r="I828" s="91"/>
      <c r="J828" s="91"/>
      <c r="K828" s="91"/>
      <c r="L828" s="91"/>
      <c r="M828" s="91"/>
    </row>
    <row r="829" customFormat="false" ht="17.6" hidden="false" customHeight="false" outlineLevel="0" collapsed="false">
      <c r="A829" s="91" t="s">
        <v>999</v>
      </c>
      <c r="B829" s="90" t="s">
        <v>40</v>
      </c>
      <c r="C829" s="90" t="n">
        <f aca="false">288*0.72+32</f>
        <v>239.36</v>
      </c>
      <c r="D829" s="90" t="s">
        <v>243</v>
      </c>
      <c r="E829" s="91"/>
      <c r="F829" s="91"/>
      <c r="G829" s="91"/>
      <c r="H829" s="91"/>
      <c r="I829" s="91"/>
      <c r="J829" s="91"/>
      <c r="K829" s="91"/>
      <c r="L829" s="91"/>
      <c r="M829" s="91"/>
    </row>
    <row r="830" customFormat="false" ht="17.6" hidden="false" customHeight="false" outlineLevel="0" collapsed="false">
      <c r="A830" s="91" t="s">
        <v>1000</v>
      </c>
      <c r="B830" s="90" t="s">
        <v>40</v>
      </c>
      <c r="C830" s="98" t="n">
        <f aca="false">432*0.72</f>
        <v>311.04</v>
      </c>
      <c r="D830" s="90" t="s">
        <v>243</v>
      </c>
      <c r="E830" s="91"/>
      <c r="F830" s="91"/>
      <c r="G830" s="91"/>
      <c r="H830" s="91"/>
      <c r="I830" s="91"/>
      <c r="J830" s="91"/>
      <c r="K830" s="91"/>
      <c r="L830" s="91"/>
      <c r="M830" s="91"/>
    </row>
    <row r="831" customFormat="false" ht="17.6" hidden="false" customHeight="false" outlineLevel="0" collapsed="false">
      <c r="A831" s="91" t="s">
        <v>1001</v>
      </c>
      <c r="B831" s="90" t="s">
        <v>40</v>
      </c>
      <c r="C831" s="90" t="n">
        <f aca="false">568*0.72+36</f>
        <v>444.96</v>
      </c>
      <c r="D831" s="90" t="s">
        <v>243</v>
      </c>
      <c r="E831" s="91"/>
      <c r="F831" s="91"/>
      <c r="G831" s="91"/>
      <c r="H831" s="91"/>
      <c r="I831" s="91"/>
      <c r="J831" s="91"/>
      <c r="K831" s="91"/>
      <c r="L831" s="91"/>
      <c r="M831" s="91"/>
    </row>
    <row r="832" customFormat="false" ht="17.6" hidden="false" customHeight="false" outlineLevel="0" collapsed="false">
      <c r="A832" s="91" t="s">
        <v>1002</v>
      </c>
      <c r="B832" s="90" t="s">
        <v>40</v>
      </c>
      <c r="C832" s="90" t="n">
        <f aca="false">768*0.72</f>
        <v>552.96</v>
      </c>
      <c r="D832" s="90" t="s">
        <v>243</v>
      </c>
      <c r="E832" s="91"/>
      <c r="F832" s="91"/>
      <c r="G832" s="91"/>
      <c r="H832" s="91"/>
      <c r="I832" s="91"/>
      <c r="J832" s="91"/>
      <c r="K832" s="91"/>
      <c r="L832" s="91"/>
      <c r="M832" s="91"/>
    </row>
    <row r="833" customFormat="false" ht="17.6" hidden="false" customHeight="false" outlineLevel="0" collapsed="false">
      <c r="A833" s="91" t="s">
        <v>1003</v>
      </c>
      <c r="B833" s="90" t="s">
        <v>40</v>
      </c>
      <c r="C833" s="90" t="n">
        <f aca="false">968*0.72+80+36</f>
        <v>812.96</v>
      </c>
      <c r="D833" s="90" t="s">
        <v>243</v>
      </c>
      <c r="E833" s="91"/>
      <c r="F833" s="91"/>
      <c r="G833" s="91"/>
      <c r="H833" s="91"/>
      <c r="I833" s="91"/>
      <c r="J833" s="91"/>
      <c r="K833" s="91"/>
      <c r="L833" s="91"/>
      <c r="M833" s="91"/>
    </row>
    <row r="834" customFormat="false" ht="17.6" hidden="false" customHeight="false" outlineLevel="0" collapsed="false">
      <c r="A834" s="91" t="s">
        <v>1004</v>
      </c>
      <c r="B834" s="90" t="s">
        <v>40</v>
      </c>
      <c r="C834" s="90" t="n">
        <f aca="false">968*0.72+50+400</f>
        <v>1146.96</v>
      </c>
      <c r="D834" s="90" t="s">
        <v>243</v>
      </c>
      <c r="E834" s="91"/>
      <c r="F834" s="91"/>
      <c r="G834" s="91"/>
      <c r="H834" s="91"/>
      <c r="I834" s="91"/>
      <c r="J834" s="91"/>
      <c r="K834" s="91"/>
      <c r="L834" s="91"/>
      <c r="M834" s="91"/>
    </row>
    <row r="835" customFormat="false" ht="17.6" hidden="false" customHeight="false" outlineLevel="0" collapsed="false">
      <c r="A835" s="91" t="s">
        <v>1005</v>
      </c>
      <c r="B835" s="90" t="s">
        <v>40</v>
      </c>
      <c r="C835" s="90" t="n">
        <f aca="false">1152*0.72</f>
        <v>829.44</v>
      </c>
      <c r="D835" s="90" t="s">
        <v>243</v>
      </c>
      <c r="E835" s="91"/>
      <c r="F835" s="91"/>
      <c r="G835" s="91"/>
      <c r="H835" s="91"/>
      <c r="I835" s="91"/>
      <c r="J835" s="91"/>
      <c r="K835" s="91"/>
      <c r="L835" s="91"/>
      <c r="M835" s="91"/>
    </row>
    <row r="836" customFormat="false" ht="17.6" hidden="false" customHeight="false" outlineLevel="0" collapsed="false">
      <c r="A836" s="91" t="s">
        <v>1006</v>
      </c>
      <c r="B836" s="90" t="s">
        <v>40</v>
      </c>
      <c r="C836" s="90" t="n">
        <f aca="false">1152*0.72+130+50</f>
        <v>1009.44</v>
      </c>
      <c r="D836" s="90" t="s">
        <v>243</v>
      </c>
      <c r="E836" s="91"/>
      <c r="F836" s="91"/>
      <c r="G836" s="91"/>
      <c r="H836" s="91"/>
      <c r="I836" s="91"/>
      <c r="J836" s="91"/>
      <c r="K836" s="91"/>
      <c r="L836" s="91"/>
      <c r="M836" s="91"/>
    </row>
    <row r="837" customFormat="false" ht="17.6" hidden="false" customHeight="false" outlineLevel="0" collapsed="false">
      <c r="A837" s="91" t="s">
        <v>1007</v>
      </c>
      <c r="B837" s="90" t="s">
        <v>40</v>
      </c>
      <c r="C837" s="90" t="n">
        <f aca="false">1296*0.72+50+600</f>
        <v>1583.12</v>
      </c>
      <c r="D837" s="90" t="s">
        <v>243</v>
      </c>
      <c r="E837" s="91"/>
      <c r="F837" s="91"/>
      <c r="G837" s="91"/>
      <c r="H837" s="91"/>
      <c r="I837" s="91"/>
      <c r="J837" s="91"/>
      <c r="K837" s="91"/>
      <c r="L837" s="91"/>
      <c r="M837" s="91"/>
    </row>
    <row r="838" customFormat="false" ht="17.6" hidden="false" customHeight="false" outlineLevel="0" collapsed="false">
      <c r="A838" s="91" t="s">
        <v>1008</v>
      </c>
      <c r="B838" s="90" t="s">
        <v>40</v>
      </c>
      <c r="C838" s="90" t="n">
        <f aca="false">1536*0.72</f>
        <v>1105.92</v>
      </c>
      <c r="D838" s="90" t="s">
        <v>243</v>
      </c>
      <c r="E838" s="91"/>
      <c r="F838" s="91"/>
      <c r="G838" s="91"/>
      <c r="H838" s="91"/>
      <c r="I838" s="91"/>
      <c r="J838" s="91"/>
      <c r="K838" s="91"/>
      <c r="L838" s="91"/>
      <c r="M838" s="91"/>
    </row>
    <row r="839" customFormat="false" ht="17.6" hidden="false" customHeight="false" outlineLevel="0" collapsed="false">
      <c r="A839" s="91" t="s">
        <v>1009</v>
      </c>
      <c r="B839" s="90" t="s">
        <v>49</v>
      </c>
      <c r="C839" s="90" t="n">
        <f aca="false">15700*0.72+320+150</f>
        <v>11774</v>
      </c>
      <c r="D839" s="90" t="s">
        <v>243</v>
      </c>
      <c r="E839" s="91"/>
      <c r="F839" s="91"/>
      <c r="G839" s="91"/>
      <c r="H839" s="91"/>
      <c r="I839" s="91"/>
      <c r="J839" s="91"/>
      <c r="K839" s="91"/>
      <c r="L839" s="91"/>
      <c r="M839" s="91"/>
    </row>
    <row r="840" customFormat="false" ht="17.6" hidden="false" customHeight="false" outlineLevel="0" collapsed="false">
      <c r="A840" s="91" t="s">
        <v>1010</v>
      </c>
      <c r="B840" s="90" t="s">
        <v>49</v>
      </c>
      <c r="C840" s="90" t="n">
        <f aca="false">16700*0.72+320+150</f>
        <v>12494</v>
      </c>
      <c r="D840" s="90" t="s">
        <v>243</v>
      </c>
      <c r="E840" s="91"/>
      <c r="F840" s="91"/>
      <c r="G840" s="91"/>
      <c r="H840" s="91"/>
      <c r="I840" s="91"/>
      <c r="J840" s="91"/>
      <c r="K840" s="91"/>
      <c r="L840" s="91"/>
      <c r="M840" s="91"/>
    </row>
    <row r="841" customFormat="false" ht="17.6" hidden="false" customHeight="false" outlineLevel="0" collapsed="false">
      <c r="A841" s="91" t="s">
        <v>1011</v>
      </c>
      <c r="B841" s="90" t="s">
        <v>49</v>
      </c>
      <c r="C841" s="90" t="n">
        <f aca="false">13600*0.72+320+150</f>
        <v>10262</v>
      </c>
      <c r="D841" s="90" t="s">
        <v>243</v>
      </c>
      <c r="E841" s="91"/>
      <c r="F841" s="91"/>
      <c r="G841" s="91"/>
      <c r="H841" s="91"/>
      <c r="I841" s="91"/>
      <c r="J841" s="91"/>
      <c r="K841" s="91"/>
      <c r="L841" s="91"/>
      <c r="M841" s="91"/>
    </row>
    <row r="842" customFormat="false" ht="17.6" hidden="false" customHeight="false" outlineLevel="0" collapsed="false">
      <c r="A842" s="91" t="s">
        <v>1012</v>
      </c>
      <c r="B842" s="90" t="s">
        <v>49</v>
      </c>
      <c r="C842" s="90" t="n">
        <f aca="false">21700*0.72+320+150</f>
        <v>16094</v>
      </c>
      <c r="D842" s="90" t="s">
        <v>243</v>
      </c>
      <c r="E842" s="91"/>
      <c r="F842" s="91"/>
      <c r="G842" s="91"/>
      <c r="H842" s="91"/>
      <c r="I842" s="91"/>
      <c r="J842" s="91"/>
      <c r="K842" s="91"/>
      <c r="L842" s="91"/>
      <c r="M842" s="91"/>
    </row>
    <row r="843" customFormat="false" ht="17.6" hidden="false" customHeight="false" outlineLevel="0" collapsed="false">
      <c r="A843" s="91" t="s">
        <v>1013</v>
      </c>
      <c r="B843" s="90" t="s">
        <v>49</v>
      </c>
      <c r="C843" s="90" t="n">
        <f aca="false">17700*0.72+320+150</f>
        <v>13214</v>
      </c>
      <c r="D843" s="90" t="s">
        <v>243</v>
      </c>
      <c r="E843" s="91"/>
      <c r="F843" s="91"/>
      <c r="G843" s="91"/>
      <c r="H843" s="91"/>
      <c r="I843" s="91"/>
      <c r="J843" s="91"/>
      <c r="K843" s="91"/>
      <c r="L843" s="91"/>
      <c r="M843" s="91"/>
    </row>
    <row r="844" customFormat="false" ht="17.6" hidden="false" customHeight="false" outlineLevel="0" collapsed="false">
      <c r="A844" s="91" t="s">
        <v>1014</v>
      </c>
      <c r="B844" s="90" t="s">
        <v>49</v>
      </c>
      <c r="C844" s="90" t="n">
        <f aca="false">23000*0.72+150+110+150+200</f>
        <v>17170</v>
      </c>
      <c r="D844" s="90" t="s">
        <v>243</v>
      </c>
      <c r="E844" s="91"/>
      <c r="F844" s="91"/>
      <c r="G844" s="91"/>
      <c r="H844" s="91"/>
      <c r="I844" s="91"/>
      <c r="J844" s="91"/>
      <c r="K844" s="91"/>
      <c r="L844" s="91"/>
      <c r="M844" s="91"/>
    </row>
    <row r="845" customFormat="false" ht="17.6" hidden="false" customHeight="false" outlineLevel="0" collapsed="false">
      <c r="A845" s="91" t="s">
        <v>1015</v>
      </c>
      <c r="B845" s="90" t="s">
        <v>49</v>
      </c>
      <c r="C845" s="90" t="n">
        <f aca="false">21700*0.72+320+150</f>
        <v>16094</v>
      </c>
      <c r="D845" s="90" t="s">
        <v>243</v>
      </c>
      <c r="E845" s="91"/>
      <c r="F845" s="91"/>
      <c r="G845" s="91"/>
      <c r="H845" s="91"/>
      <c r="I845" s="91"/>
      <c r="J845" s="91"/>
      <c r="K845" s="91"/>
      <c r="L845" s="91"/>
      <c r="M845" s="91"/>
    </row>
    <row r="846" customFormat="false" ht="17.6" hidden="false" customHeight="false" outlineLevel="0" collapsed="false">
      <c r="A846" s="91" t="s">
        <v>1016</v>
      </c>
      <c r="B846" s="90" t="s">
        <v>49</v>
      </c>
      <c r="C846" s="90" t="n">
        <f aca="false">11600*0.72+320+150</f>
        <v>8822</v>
      </c>
      <c r="D846" s="90" t="s">
        <v>243</v>
      </c>
      <c r="E846" s="91"/>
      <c r="F846" s="91"/>
      <c r="G846" s="91"/>
      <c r="H846" s="91"/>
      <c r="I846" s="91"/>
      <c r="J846" s="91"/>
      <c r="K846" s="91"/>
      <c r="L846" s="91"/>
      <c r="M846" s="91"/>
    </row>
    <row r="847" customFormat="false" ht="17.6" hidden="false" customHeight="false" outlineLevel="0" collapsed="false">
      <c r="A847" s="91" t="s">
        <v>1017</v>
      </c>
      <c r="B847" s="90" t="s">
        <v>49</v>
      </c>
      <c r="C847" s="90" t="n">
        <f aca="false">19100*0.72+320+150</f>
        <v>14222</v>
      </c>
      <c r="D847" s="90" t="s">
        <v>243</v>
      </c>
      <c r="E847" s="91"/>
      <c r="F847" s="91"/>
      <c r="G847" s="91"/>
      <c r="H847" s="91"/>
      <c r="I847" s="91"/>
      <c r="J847" s="91"/>
      <c r="K847" s="91"/>
      <c r="L847" s="91"/>
      <c r="M847" s="91"/>
    </row>
    <row r="848" customFormat="false" ht="17.6" hidden="false" customHeight="false" outlineLevel="0" collapsed="false">
      <c r="A848" s="91" t="s">
        <v>1018</v>
      </c>
      <c r="B848" s="90" t="s">
        <v>1019</v>
      </c>
      <c r="C848" s="90" t="n">
        <v>2600</v>
      </c>
      <c r="D848" s="90" t="s">
        <v>1020</v>
      </c>
      <c r="E848" s="91"/>
      <c r="F848" s="91"/>
      <c r="G848" s="91"/>
      <c r="H848" s="91"/>
      <c r="I848" s="91"/>
      <c r="J848" s="91"/>
      <c r="K848" s="91"/>
      <c r="L848" s="91"/>
      <c r="M848" s="91"/>
    </row>
    <row r="849" customFormat="false" ht="17.6" hidden="false" customHeight="false" outlineLevel="0" collapsed="false">
      <c r="A849" s="91" t="s">
        <v>1021</v>
      </c>
      <c r="B849" s="90" t="s">
        <v>49</v>
      </c>
      <c r="C849" s="90" t="n">
        <f aca="false">22000*0.7+200+300+180</f>
        <v>16080</v>
      </c>
      <c r="D849" s="90" t="s">
        <v>929</v>
      </c>
      <c r="E849" s="91"/>
      <c r="F849" s="91"/>
      <c r="G849" s="91"/>
      <c r="H849" s="91"/>
      <c r="I849" s="91"/>
      <c r="J849" s="91"/>
      <c r="K849" s="91"/>
      <c r="L849" s="91"/>
      <c r="M849" s="91"/>
    </row>
    <row r="850" customFormat="false" ht="17.6" hidden="false" customHeight="false" outlineLevel="0" collapsed="false">
      <c r="A850" s="91" t="s">
        <v>1022</v>
      </c>
      <c r="B850" s="90" t="s">
        <v>1023</v>
      </c>
      <c r="C850" s="90" t="n">
        <f aca="false">ROUND(1195*0.65,)</f>
        <v>777</v>
      </c>
      <c r="D850" s="90" t="s">
        <v>1024</v>
      </c>
      <c r="E850" s="91"/>
      <c r="F850" s="91"/>
      <c r="G850" s="91"/>
      <c r="H850" s="91"/>
      <c r="I850" s="91"/>
      <c r="J850" s="91"/>
      <c r="K850" s="91"/>
      <c r="L850" s="91"/>
      <c r="M850" s="91"/>
    </row>
    <row r="851" customFormat="false" ht="17.6" hidden="false" customHeight="false" outlineLevel="0" collapsed="false">
      <c r="A851" s="91" t="s">
        <v>1025</v>
      </c>
      <c r="B851" s="90" t="s">
        <v>1023</v>
      </c>
      <c r="C851" s="90" t="n">
        <f aca="false">ROUND(1295*0.65,)</f>
        <v>842</v>
      </c>
      <c r="D851" s="90" t="s">
        <v>1024</v>
      </c>
      <c r="E851" s="91"/>
      <c r="F851" s="91"/>
      <c r="G851" s="91"/>
      <c r="H851" s="91"/>
      <c r="I851" s="91"/>
      <c r="J851" s="91"/>
      <c r="K851" s="91"/>
      <c r="L851" s="91"/>
      <c r="M851" s="91"/>
    </row>
    <row r="852" customFormat="false" ht="17.6" hidden="false" customHeight="false" outlineLevel="0" collapsed="false">
      <c r="A852" s="91" t="s">
        <v>1026</v>
      </c>
      <c r="B852" s="90" t="s">
        <v>1023</v>
      </c>
      <c r="C852" s="90" t="n">
        <f aca="false">ROUND(1932*0.65,)</f>
        <v>1256</v>
      </c>
      <c r="D852" s="90" t="s">
        <v>1024</v>
      </c>
      <c r="E852" s="91"/>
      <c r="F852" s="91"/>
      <c r="G852" s="91"/>
      <c r="H852" s="91"/>
      <c r="I852" s="91"/>
      <c r="J852" s="91"/>
      <c r="K852" s="91"/>
      <c r="L852" s="91"/>
      <c r="M852" s="91"/>
    </row>
    <row r="853" customFormat="false" ht="17.6" hidden="false" customHeight="false" outlineLevel="0" collapsed="false">
      <c r="A853" s="91" t="s">
        <v>1027</v>
      </c>
      <c r="B853" s="90" t="s">
        <v>1023</v>
      </c>
      <c r="C853" s="90" t="n">
        <f aca="false">ROUND(2060*0.65,)</f>
        <v>1339</v>
      </c>
      <c r="D853" s="90" t="s">
        <v>1024</v>
      </c>
      <c r="E853" s="91"/>
      <c r="F853" s="91"/>
      <c r="G853" s="91"/>
      <c r="H853" s="91"/>
      <c r="I853" s="91"/>
      <c r="J853" s="91"/>
      <c r="K853" s="91"/>
      <c r="L853" s="91"/>
      <c r="M853" s="91"/>
    </row>
    <row r="854" customFormat="false" ht="17.6" hidden="false" customHeight="false" outlineLevel="0" collapsed="false">
      <c r="A854" s="91" t="s">
        <v>1028</v>
      </c>
      <c r="B854" s="90" t="s">
        <v>1023</v>
      </c>
      <c r="C854" s="90" t="n">
        <f aca="false">ROUND(209*0.65,)</f>
        <v>136</v>
      </c>
      <c r="D854" s="90" t="s">
        <v>1024</v>
      </c>
      <c r="E854" s="91"/>
      <c r="F854" s="91"/>
      <c r="G854" s="91"/>
      <c r="H854" s="91"/>
      <c r="I854" s="91"/>
      <c r="J854" s="91"/>
      <c r="K854" s="91"/>
      <c r="L854" s="91"/>
      <c r="M854" s="91"/>
    </row>
    <row r="855" customFormat="false" ht="17.6" hidden="false" customHeight="false" outlineLevel="0" collapsed="false">
      <c r="A855" s="91" t="s">
        <v>1029</v>
      </c>
      <c r="B855" s="90" t="s">
        <v>1023</v>
      </c>
      <c r="C855" s="90" t="n">
        <f aca="false">ROUND(4074*0.65,)</f>
        <v>2648</v>
      </c>
      <c r="D855" s="90" t="s">
        <v>1024</v>
      </c>
      <c r="E855" s="91"/>
      <c r="F855" s="91"/>
      <c r="G855" s="91"/>
      <c r="H855" s="91"/>
      <c r="I855" s="91"/>
      <c r="J855" s="91"/>
      <c r="K855" s="91"/>
      <c r="L855" s="91"/>
      <c r="M855" s="91"/>
    </row>
    <row r="856" customFormat="false" ht="17.6" hidden="false" customHeight="false" outlineLevel="0" collapsed="false">
      <c r="A856" s="91" t="s">
        <v>1030</v>
      </c>
      <c r="B856" s="90" t="s">
        <v>1023</v>
      </c>
      <c r="C856" s="90" t="n">
        <f aca="false">ROUND(6016*0.65,)</f>
        <v>3910</v>
      </c>
      <c r="D856" s="90" t="s">
        <v>1024</v>
      </c>
      <c r="E856" s="91"/>
      <c r="F856" s="91"/>
      <c r="G856" s="91"/>
      <c r="H856" s="91"/>
      <c r="I856" s="91"/>
      <c r="J856" s="91"/>
      <c r="K856" s="91"/>
      <c r="L856" s="91"/>
      <c r="M856" s="91"/>
    </row>
    <row r="857" customFormat="false" ht="17.6" hidden="false" customHeight="false" outlineLevel="0" collapsed="false">
      <c r="A857" s="91" t="s">
        <v>1031</v>
      </c>
      <c r="B857" s="90" t="s">
        <v>1023</v>
      </c>
      <c r="C857" s="90" t="n">
        <f aca="false">ROUND(366*0.65,)</f>
        <v>238</v>
      </c>
      <c r="D857" s="90" t="s">
        <v>1024</v>
      </c>
      <c r="E857" s="91"/>
      <c r="F857" s="91"/>
      <c r="G857" s="91"/>
      <c r="H857" s="91"/>
      <c r="I857" s="91"/>
      <c r="J857" s="91"/>
      <c r="K857" s="91"/>
      <c r="L857" s="91"/>
      <c r="M857" s="91"/>
    </row>
    <row r="858" customFormat="false" ht="17.6" hidden="false" customHeight="false" outlineLevel="0" collapsed="false">
      <c r="A858" s="91" t="s">
        <v>1032</v>
      </c>
      <c r="B858" s="90" t="s">
        <v>1023</v>
      </c>
      <c r="C858" s="90" t="n">
        <f aca="false">ROUND(466*0.65,)</f>
        <v>303</v>
      </c>
      <c r="D858" s="90" t="s">
        <v>1024</v>
      </c>
      <c r="E858" s="91"/>
      <c r="F858" s="91"/>
      <c r="G858" s="91"/>
      <c r="H858" s="91"/>
      <c r="I858" s="91"/>
      <c r="J858" s="91"/>
      <c r="K858" s="91"/>
      <c r="L858" s="91"/>
      <c r="M858" s="91"/>
    </row>
    <row r="859" customFormat="false" ht="17.6" hidden="false" customHeight="false" outlineLevel="0" collapsed="false">
      <c r="A859" s="91" t="s">
        <v>1033</v>
      </c>
      <c r="B859" s="90" t="s">
        <v>1023</v>
      </c>
      <c r="C859" s="90" t="n">
        <f aca="false">661*0.65</f>
        <v>429.65</v>
      </c>
      <c r="D859" s="90" t="s">
        <v>1024</v>
      </c>
      <c r="E859" s="91"/>
      <c r="F859" s="91"/>
      <c r="G859" s="91"/>
      <c r="H859" s="91"/>
      <c r="I859" s="91"/>
      <c r="J859" s="91"/>
      <c r="K859" s="91"/>
      <c r="L859" s="91"/>
      <c r="M859" s="91"/>
    </row>
    <row r="860" customFormat="false" ht="17.6" hidden="false" customHeight="false" outlineLevel="0" collapsed="false">
      <c r="A860" s="91" t="s">
        <v>1034</v>
      </c>
      <c r="B860" s="90" t="s">
        <v>1023</v>
      </c>
      <c r="C860" s="90" t="n">
        <f aca="false">ROUND(733*0.65,)</f>
        <v>476</v>
      </c>
      <c r="D860" s="90" t="s">
        <v>1024</v>
      </c>
      <c r="E860" s="91"/>
      <c r="F860" s="91"/>
      <c r="G860" s="91"/>
      <c r="H860" s="91"/>
      <c r="I860" s="91"/>
      <c r="J860" s="91"/>
      <c r="K860" s="91"/>
      <c r="L860" s="91"/>
      <c r="M860" s="91"/>
    </row>
    <row r="861" customFormat="false" ht="17.6" hidden="false" customHeight="false" outlineLevel="0" collapsed="false">
      <c r="A861" s="91" t="s">
        <v>1035</v>
      </c>
      <c r="B861" s="90" t="s">
        <v>1023</v>
      </c>
      <c r="C861" s="90" t="n">
        <f aca="false">ROUND(633*0.65,)</f>
        <v>411</v>
      </c>
      <c r="D861" s="90" t="s">
        <v>1024</v>
      </c>
      <c r="E861" s="91"/>
      <c r="F861" s="91"/>
      <c r="G861" s="91"/>
      <c r="H861" s="91"/>
      <c r="I861" s="91"/>
      <c r="J861" s="91"/>
      <c r="K861" s="91"/>
      <c r="L861" s="91"/>
      <c r="M861" s="91"/>
    </row>
    <row r="862" customFormat="false" ht="17.6" hidden="false" customHeight="false" outlineLevel="0" collapsed="false">
      <c r="A862" s="91" t="s">
        <v>1036</v>
      </c>
      <c r="B862" s="90" t="s">
        <v>1023</v>
      </c>
      <c r="C862" s="90" t="n">
        <f aca="false">ROUND(733*0.65,)</f>
        <v>476</v>
      </c>
      <c r="D862" s="90" t="s">
        <v>1024</v>
      </c>
      <c r="E862" s="91"/>
      <c r="F862" s="91"/>
      <c r="G862" s="91"/>
      <c r="H862" s="91"/>
      <c r="I862" s="91"/>
      <c r="J862" s="91"/>
      <c r="K862" s="91"/>
      <c r="L862" s="91"/>
      <c r="M862" s="91"/>
    </row>
    <row r="863" customFormat="false" ht="17.6" hidden="false" customHeight="false" outlineLevel="0" collapsed="false">
      <c r="A863" s="91" t="s">
        <v>1037</v>
      </c>
      <c r="B863" s="90" t="s">
        <v>1023</v>
      </c>
      <c r="C863" s="90" t="n">
        <f aca="false">956*0.65</f>
        <v>621.4</v>
      </c>
      <c r="D863" s="90" t="s">
        <v>1024</v>
      </c>
      <c r="E863" s="91"/>
      <c r="F863" s="91"/>
      <c r="G863" s="91"/>
      <c r="H863" s="91"/>
      <c r="I863" s="91"/>
      <c r="J863" s="91"/>
      <c r="K863" s="91"/>
      <c r="L863" s="91"/>
      <c r="M863" s="91"/>
    </row>
    <row r="864" customFormat="false" ht="17.6" hidden="false" customHeight="false" outlineLevel="0" collapsed="false">
      <c r="A864" s="91" t="s">
        <v>1038</v>
      </c>
      <c r="B864" s="90" t="s">
        <v>1023</v>
      </c>
      <c r="C864" s="90" t="n">
        <f aca="false">633*0.65</f>
        <v>411.45</v>
      </c>
      <c r="D864" s="90" t="s">
        <v>1024</v>
      </c>
    </row>
    <row r="865" customFormat="false" ht="17.6" hidden="false" customHeight="false" outlineLevel="0" collapsed="false">
      <c r="A865" s="91" t="s">
        <v>1039</v>
      </c>
      <c r="B865" s="90" t="s">
        <v>1023</v>
      </c>
      <c r="C865" s="90" t="n">
        <f aca="false">1195*0.65</f>
        <v>776.75</v>
      </c>
      <c r="D865" s="90" t="s">
        <v>1024</v>
      </c>
    </row>
    <row r="866" customFormat="false" ht="17.6" hidden="false" customHeight="false" outlineLevel="0" collapsed="false">
      <c r="A866" s="91" t="s">
        <v>1040</v>
      </c>
      <c r="B866" s="90" t="s">
        <v>1023</v>
      </c>
      <c r="C866" s="90" t="n">
        <f aca="false">ROUND(1195*0.65,)</f>
        <v>777</v>
      </c>
      <c r="D866" s="90" t="s">
        <v>1024</v>
      </c>
    </row>
    <row r="867" customFormat="false" ht="17.6" hidden="false" customHeight="false" outlineLevel="0" collapsed="false">
      <c r="A867" s="91" t="s">
        <v>1041</v>
      </c>
      <c r="B867" s="90" t="s">
        <v>1023</v>
      </c>
      <c r="C867" s="90" t="n">
        <f aca="false">ROUND(1960*0.65,)</f>
        <v>1274</v>
      </c>
      <c r="D867" s="90" t="s">
        <v>1024</v>
      </c>
    </row>
    <row r="868" customFormat="false" ht="17.6" hidden="false" customHeight="false" outlineLevel="0" collapsed="false">
      <c r="A868" s="91" t="s">
        <v>1042</v>
      </c>
      <c r="B868" s="90" t="s">
        <v>1023</v>
      </c>
      <c r="C868" s="90" t="n">
        <f aca="false">1840*0.65</f>
        <v>1196</v>
      </c>
      <c r="D868" s="90" t="s">
        <v>1024</v>
      </c>
    </row>
    <row r="869" customFormat="false" ht="17.6" hidden="false" customHeight="false" outlineLevel="0" collapsed="false">
      <c r="A869" s="91" t="s">
        <v>1043</v>
      </c>
      <c r="B869" s="90" t="s">
        <v>1023</v>
      </c>
      <c r="C869" s="90" t="n">
        <f aca="false">3005*0.65</f>
        <v>1953.25</v>
      </c>
      <c r="D869" s="90" t="s">
        <v>1024</v>
      </c>
    </row>
    <row r="870" customFormat="false" ht="17.6" hidden="false" customHeight="false" outlineLevel="0" collapsed="false">
      <c r="A870" s="91" t="s">
        <v>1044</v>
      </c>
      <c r="B870" s="90" t="s">
        <v>1023</v>
      </c>
      <c r="C870" s="90" t="n">
        <f aca="false">10500*0.65</f>
        <v>6825</v>
      </c>
      <c r="D870" s="90" t="s">
        <v>1024</v>
      </c>
      <c r="E870" s="91"/>
      <c r="F870" s="91"/>
      <c r="G870" s="91"/>
      <c r="H870" s="91"/>
      <c r="I870" s="91"/>
      <c r="J870" s="91"/>
      <c r="K870" s="91"/>
      <c r="L870" s="91"/>
      <c r="M870" s="91"/>
    </row>
    <row r="871" customFormat="false" ht="17.6" hidden="false" customHeight="false" outlineLevel="0" collapsed="false">
      <c r="A871" s="91" t="s">
        <v>1045</v>
      </c>
      <c r="B871" s="90" t="s">
        <v>1023</v>
      </c>
      <c r="C871" s="90" t="n">
        <f aca="false">ROUND(366*0.65,)</f>
        <v>238</v>
      </c>
      <c r="D871" s="90" t="s">
        <v>1024</v>
      </c>
      <c r="E871" s="91"/>
      <c r="F871" s="91"/>
      <c r="G871" s="91"/>
      <c r="H871" s="91"/>
      <c r="I871" s="91"/>
      <c r="J871" s="91"/>
      <c r="K871" s="91"/>
      <c r="L871" s="91"/>
      <c r="M871" s="91"/>
    </row>
    <row r="872" customFormat="false" ht="17.6" hidden="false" customHeight="false" outlineLevel="0" collapsed="false">
      <c r="A872" s="91" t="s">
        <v>1046</v>
      </c>
      <c r="B872" s="90" t="s">
        <v>1023</v>
      </c>
      <c r="C872" s="90" t="n">
        <f aca="false">ROUND(633*0.65,)</f>
        <v>411</v>
      </c>
      <c r="D872" s="90" t="s">
        <v>1024</v>
      </c>
      <c r="E872" s="91"/>
      <c r="F872" s="91"/>
      <c r="G872" s="91"/>
      <c r="H872" s="91"/>
      <c r="I872" s="91"/>
      <c r="J872" s="91"/>
      <c r="K872" s="91"/>
      <c r="L872" s="91"/>
      <c r="M872" s="91"/>
    </row>
    <row r="873" customFormat="false" ht="17.6" hidden="false" customHeight="false" outlineLevel="0" collapsed="false">
      <c r="A873" s="91" t="s">
        <v>1047</v>
      </c>
      <c r="B873" s="91"/>
      <c r="C873" s="90" t="n">
        <f aca="false">2800*0.7</f>
        <v>1960</v>
      </c>
      <c r="D873" s="90" t="s">
        <v>1048</v>
      </c>
      <c r="E873" s="91"/>
      <c r="F873" s="91"/>
      <c r="G873" s="91"/>
      <c r="H873" s="91"/>
      <c r="I873" s="91"/>
      <c r="J873" s="91"/>
      <c r="K873" s="91"/>
      <c r="L873" s="91"/>
      <c r="M873" s="91"/>
    </row>
    <row r="874" customFormat="false" ht="17.6" hidden="false" customHeight="false" outlineLevel="0" collapsed="false">
      <c r="A874" s="91" t="s">
        <v>1049</v>
      </c>
      <c r="B874" s="91"/>
      <c r="C874" s="90" t="n">
        <f aca="false">750*0.7</f>
        <v>525</v>
      </c>
      <c r="D874" s="90" t="s">
        <v>1048</v>
      </c>
      <c r="E874" s="91"/>
      <c r="F874" s="91"/>
      <c r="G874" s="91"/>
      <c r="H874" s="91"/>
      <c r="I874" s="91"/>
      <c r="J874" s="91"/>
      <c r="K874" s="91"/>
      <c r="L874" s="91"/>
      <c r="M874" s="91"/>
    </row>
    <row r="875" customFormat="false" ht="17.6" hidden="false" customHeight="false" outlineLevel="0" collapsed="false">
      <c r="A875" s="91" t="s">
        <v>1050</v>
      </c>
      <c r="B875" s="91"/>
      <c r="C875" s="90" t="n">
        <f aca="false">7800*0.7</f>
        <v>5460</v>
      </c>
      <c r="D875" s="90" t="s">
        <v>1048</v>
      </c>
      <c r="E875" s="91"/>
      <c r="F875" s="91"/>
      <c r="G875" s="91"/>
      <c r="H875" s="91"/>
      <c r="I875" s="91"/>
      <c r="J875" s="91"/>
      <c r="K875" s="91"/>
      <c r="L875" s="91"/>
      <c r="M875" s="91"/>
    </row>
    <row r="876" customFormat="false" ht="17.6" hidden="false" customHeight="false" outlineLevel="0" collapsed="false">
      <c r="A876" s="91" t="s">
        <v>1051</v>
      </c>
      <c r="B876" s="91"/>
      <c r="C876" s="90" t="n">
        <f aca="false">7800*0.7</f>
        <v>5460</v>
      </c>
      <c r="D876" s="90" t="s">
        <v>1048</v>
      </c>
      <c r="E876" s="91"/>
      <c r="F876" s="91"/>
      <c r="G876" s="91"/>
      <c r="H876" s="91"/>
      <c r="I876" s="91"/>
      <c r="J876" s="91"/>
      <c r="K876" s="91"/>
      <c r="L876" s="91"/>
      <c r="M876" s="91"/>
    </row>
    <row r="877" customFormat="false" ht="17.6" hidden="false" customHeight="false" outlineLevel="0" collapsed="false">
      <c r="A877" s="91" t="s">
        <v>1052</v>
      </c>
      <c r="B877" s="90" t="s">
        <v>40</v>
      </c>
      <c r="C877" s="90" t="n">
        <f aca="false">2100*0.7</f>
        <v>1470</v>
      </c>
      <c r="D877" s="90" t="s">
        <v>1048</v>
      </c>
      <c r="E877" s="91"/>
      <c r="F877" s="91"/>
      <c r="G877" s="91"/>
      <c r="H877" s="91"/>
      <c r="I877" s="91"/>
      <c r="J877" s="91"/>
      <c r="K877" s="91"/>
      <c r="L877" s="91"/>
      <c r="M877" s="91"/>
    </row>
    <row r="878" customFormat="false" ht="17.6" hidden="false" customHeight="false" outlineLevel="0" collapsed="false">
      <c r="A878" s="91" t="s">
        <v>1053</v>
      </c>
      <c r="B878" s="90" t="s">
        <v>40</v>
      </c>
      <c r="C878" s="90" t="n">
        <f aca="false">3800*0.7</f>
        <v>2660</v>
      </c>
      <c r="D878" s="90" t="s">
        <v>1048</v>
      </c>
      <c r="E878" s="91"/>
      <c r="F878" s="91"/>
      <c r="G878" s="91"/>
      <c r="H878" s="91"/>
      <c r="I878" s="91"/>
      <c r="J878" s="91"/>
      <c r="K878" s="91"/>
      <c r="L878" s="91"/>
      <c r="M878" s="91"/>
    </row>
    <row r="879" customFormat="false" ht="17.6" hidden="false" customHeight="false" outlineLevel="0" collapsed="false">
      <c r="A879" s="91" t="s">
        <v>1054</v>
      </c>
      <c r="B879" s="90" t="s">
        <v>40</v>
      </c>
      <c r="C879" s="90" t="n">
        <f aca="false">7500*0.7</f>
        <v>5250</v>
      </c>
      <c r="D879" s="90" t="s">
        <v>1048</v>
      </c>
      <c r="E879" s="91"/>
      <c r="F879" s="91"/>
      <c r="G879" s="91"/>
      <c r="H879" s="91"/>
      <c r="I879" s="91"/>
      <c r="J879" s="91"/>
      <c r="K879" s="91"/>
      <c r="L879" s="91"/>
      <c r="M879" s="91"/>
    </row>
    <row r="880" customFormat="false" ht="17.6" hidden="false" customHeight="false" outlineLevel="0" collapsed="false">
      <c r="A880" s="91" t="s">
        <v>1055</v>
      </c>
      <c r="B880" s="90" t="s">
        <v>40</v>
      </c>
      <c r="C880" s="90" t="n">
        <f aca="false">13.2*0.7</f>
        <v>9.24</v>
      </c>
      <c r="D880" s="90" t="s">
        <v>929</v>
      </c>
      <c r="E880" s="91"/>
      <c r="F880" s="91"/>
      <c r="G880" s="91"/>
      <c r="H880" s="91"/>
      <c r="I880" s="91"/>
      <c r="J880" s="91"/>
      <c r="K880" s="91"/>
      <c r="L880" s="91"/>
      <c r="M880" s="91"/>
    </row>
    <row r="881" customFormat="false" ht="17.6" hidden="false" customHeight="false" outlineLevel="0" collapsed="false">
      <c r="A881" s="91" t="s">
        <v>1056</v>
      </c>
      <c r="B881" s="90" t="s">
        <v>40</v>
      </c>
      <c r="C881" s="90" t="n">
        <f aca="false">540*0.7</f>
        <v>378</v>
      </c>
      <c r="D881" s="90" t="s">
        <v>929</v>
      </c>
      <c r="E881" s="91"/>
      <c r="F881" s="91"/>
      <c r="G881" s="91"/>
      <c r="H881" s="91"/>
      <c r="I881" s="91"/>
      <c r="J881" s="91"/>
      <c r="K881" s="91"/>
      <c r="L881" s="91"/>
      <c r="M881" s="91"/>
    </row>
    <row r="882" customFormat="false" ht="17.6" hidden="false" customHeight="false" outlineLevel="0" collapsed="false">
      <c r="A882" s="91" t="s">
        <v>1057</v>
      </c>
      <c r="B882" s="90" t="s">
        <v>40</v>
      </c>
      <c r="C882" s="90" t="n">
        <f aca="false">540*0.7</f>
        <v>378</v>
      </c>
      <c r="D882" s="90" t="s">
        <v>929</v>
      </c>
      <c r="E882" s="91"/>
      <c r="F882" s="91"/>
      <c r="G882" s="91"/>
      <c r="H882" s="91"/>
      <c r="I882" s="91"/>
      <c r="J882" s="91"/>
      <c r="K882" s="91"/>
      <c r="L882" s="91"/>
      <c r="M882" s="91"/>
    </row>
    <row r="883" customFormat="false" ht="17.6" hidden="false" customHeight="false" outlineLevel="0" collapsed="false">
      <c r="A883" s="91" t="s">
        <v>1058</v>
      </c>
      <c r="B883" s="90" t="s">
        <v>40</v>
      </c>
      <c r="C883" s="90" t="n">
        <f aca="false">1200*0.7</f>
        <v>840</v>
      </c>
      <c r="D883" s="90" t="s">
        <v>929</v>
      </c>
      <c r="E883" s="91"/>
      <c r="F883" s="91"/>
      <c r="G883" s="91"/>
      <c r="H883" s="91"/>
      <c r="I883" s="91"/>
      <c r="J883" s="91"/>
      <c r="K883" s="91"/>
      <c r="L883" s="91"/>
      <c r="M883" s="91"/>
    </row>
    <row r="884" customFormat="false" ht="17.6" hidden="false" customHeight="false" outlineLevel="0" collapsed="false">
      <c r="A884" s="91" t="s">
        <v>1059</v>
      </c>
      <c r="B884" s="90" t="s">
        <v>40</v>
      </c>
      <c r="C884" s="90" t="n">
        <f aca="false">1600*0.7</f>
        <v>1120</v>
      </c>
      <c r="D884" s="90" t="s">
        <v>929</v>
      </c>
      <c r="E884" s="91"/>
      <c r="F884" s="91"/>
      <c r="G884" s="91"/>
      <c r="H884" s="91"/>
      <c r="I884" s="91"/>
      <c r="J884" s="91"/>
      <c r="K884" s="91"/>
      <c r="L884" s="91"/>
      <c r="M884" s="91"/>
    </row>
    <row r="885" customFormat="false" ht="17.6" hidden="false" customHeight="false" outlineLevel="0" collapsed="false">
      <c r="A885" s="91" t="s">
        <v>1060</v>
      </c>
      <c r="B885" s="90" t="s">
        <v>40</v>
      </c>
      <c r="C885" s="90" t="n">
        <f aca="false">(5851+217+2459)*0.58</f>
        <v>4945.66</v>
      </c>
      <c r="D885" s="90" t="s">
        <v>1061</v>
      </c>
      <c r="E885" s="91"/>
      <c r="F885" s="91"/>
      <c r="G885" s="91"/>
      <c r="H885" s="91"/>
      <c r="I885" s="91"/>
      <c r="J885" s="91"/>
      <c r="K885" s="91"/>
      <c r="L885" s="91"/>
      <c r="M885" s="91"/>
    </row>
    <row r="886" customFormat="false" ht="17.6" hidden="false" customHeight="false" outlineLevel="0" collapsed="false">
      <c r="A886" s="91" t="s">
        <v>1062</v>
      </c>
      <c r="B886" s="90" t="s">
        <v>57</v>
      </c>
      <c r="C886" s="90" t="n">
        <f aca="false">1850*0.7</f>
        <v>1295</v>
      </c>
      <c r="D886" s="90" t="s">
        <v>951</v>
      </c>
      <c r="E886" s="91"/>
      <c r="F886" s="91"/>
      <c r="G886" s="91"/>
      <c r="H886" s="91"/>
      <c r="I886" s="91"/>
      <c r="J886" s="91"/>
      <c r="K886" s="91"/>
      <c r="L886" s="91"/>
      <c r="M886" s="91"/>
    </row>
    <row r="887" customFormat="false" ht="17.6" hidden="false" customHeight="false" outlineLevel="0" collapsed="false">
      <c r="A887" s="91" t="s">
        <v>1063</v>
      </c>
      <c r="B887" s="90" t="s">
        <v>57</v>
      </c>
      <c r="C887" s="90" t="n">
        <f aca="false">1850*0.7+200</f>
        <v>1495</v>
      </c>
      <c r="D887" s="90" t="s">
        <v>951</v>
      </c>
      <c r="E887" s="91"/>
      <c r="F887" s="91"/>
      <c r="G887" s="91"/>
      <c r="H887" s="91"/>
      <c r="I887" s="91"/>
      <c r="J887" s="91"/>
      <c r="K887" s="91"/>
      <c r="L887" s="91"/>
      <c r="M887" s="91"/>
    </row>
    <row r="888" customFormat="false" ht="17.6" hidden="false" customHeight="false" outlineLevel="0" collapsed="false">
      <c r="A888" s="91" t="s">
        <v>1064</v>
      </c>
      <c r="B888" s="90" t="s">
        <v>57</v>
      </c>
      <c r="C888" s="90" t="n">
        <f aca="false">2286*0.7</f>
        <v>1600.2</v>
      </c>
      <c r="D888" s="90" t="s">
        <v>951</v>
      </c>
      <c r="E888" s="91"/>
      <c r="F888" s="91"/>
      <c r="G888" s="91"/>
      <c r="H888" s="91"/>
      <c r="I888" s="91"/>
      <c r="J888" s="91"/>
      <c r="K888" s="91"/>
      <c r="L888" s="91"/>
      <c r="M888" s="91"/>
    </row>
    <row r="889" customFormat="false" ht="17.6" hidden="false" customHeight="false" outlineLevel="0" collapsed="false">
      <c r="A889" s="91" t="s">
        <v>1065</v>
      </c>
      <c r="B889" s="90" t="s">
        <v>57</v>
      </c>
      <c r="C889" s="90" t="n">
        <f aca="false">2286*0.7+200</f>
        <v>1800.2</v>
      </c>
      <c r="D889" s="90" t="s">
        <v>951</v>
      </c>
      <c r="E889" s="91"/>
      <c r="F889" s="91"/>
      <c r="G889" s="91"/>
      <c r="H889" s="91"/>
      <c r="I889" s="91"/>
      <c r="J889" s="91"/>
      <c r="K889" s="91"/>
      <c r="L889" s="91"/>
      <c r="M889" s="91"/>
    </row>
    <row r="890" customFormat="false" ht="17.6" hidden="false" customHeight="false" outlineLevel="0" collapsed="false">
      <c r="A890" s="91" t="s">
        <v>1066</v>
      </c>
      <c r="B890" s="90" t="s">
        <v>40</v>
      </c>
      <c r="C890" s="90" t="n">
        <f aca="false">(2084+168+655)*0.58</f>
        <v>1686.06</v>
      </c>
      <c r="D890" s="90" t="s">
        <v>1061</v>
      </c>
      <c r="E890" s="91"/>
      <c r="F890" s="91"/>
      <c r="G890" s="91"/>
      <c r="H890" s="91"/>
      <c r="I890" s="91"/>
      <c r="J890" s="91"/>
      <c r="K890" s="91"/>
      <c r="L890" s="91"/>
      <c r="M890" s="91"/>
    </row>
    <row r="891" customFormat="false" ht="17.6" hidden="false" customHeight="false" outlineLevel="0" collapsed="false">
      <c r="A891" s="91" t="s">
        <v>1067</v>
      </c>
      <c r="B891" s="90" t="s">
        <v>1068</v>
      </c>
      <c r="C891" s="90" t="n">
        <f aca="false">693*0.7+81*0.75*3</f>
        <v>667.35</v>
      </c>
      <c r="D891" s="90" t="s">
        <v>1024</v>
      </c>
      <c r="E891" s="91"/>
      <c r="F891" s="91"/>
      <c r="G891" s="91"/>
      <c r="H891" s="91"/>
      <c r="I891" s="91"/>
      <c r="J891" s="91"/>
      <c r="K891" s="91"/>
      <c r="L891" s="91"/>
      <c r="M891" s="91"/>
    </row>
    <row r="892" customFormat="false" ht="17.6" hidden="false" customHeight="false" outlineLevel="0" collapsed="false">
      <c r="A892" s="91" t="s">
        <v>1069</v>
      </c>
      <c r="B892" s="90" t="s">
        <v>1068</v>
      </c>
      <c r="C892" s="98" t="n">
        <f aca="false">727*0.7+50*3*0.75</f>
        <v>621.4</v>
      </c>
      <c r="D892" s="90" t="s">
        <v>1024</v>
      </c>
      <c r="E892" s="91"/>
      <c r="F892" s="91"/>
      <c r="G892" s="91"/>
      <c r="H892" s="91"/>
      <c r="I892" s="91"/>
      <c r="J892" s="91"/>
      <c r="K892" s="91"/>
      <c r="L892" s="91"/>
      <c r="M892" s="91"/>
    </row>
    <row r="893" customFormat="false" ht="17.6" hidden="false" customHeight="false" outlineLevel="0" collapsed="false">
      <c r="A893" s="91" t="s">
        <v>1070</v>
      </c>
      <c r="B893" s="90" t="s">
        <v>1068</v>
      </c>
      <c r="C893" s="90" t="n">
        <f aca="false">879*0.7+87*3*0.75</f>
        <v>811.05</v>
      </c>
      <c r="D893" s="90" t="s">
        <v>1024</v>
      </c>
      <c r="E893" s="91"/>
      <c r="F893" s="91"/>
      <c r="G893" s="91"/>
      <c r="H893" s="91"/>
      <c r="I893" s="91"/>
      <c r="J893" s="91"/>
      <c r="K893" s="91"/>
      <c r="L893" s="91"/>
      <c r="M893" s="91"/>
    </row>
    <row r="894" customFormat="false" ht="17.6" hidden="false" customHeight="false" outlineLevel="0" collapsed="false">
      <c r="A894" s="91" t="s">
        <v>1071</v>
      </c>
      <c r="B894" s="90" t="s">
        <v>1023</v>
      </c>
      <c r="C894" s="90" t="n">
        <f aca="false">6688*0.65</f>
        <v>4347.2</v>
      </c>
      <c r="D894" s="90" t="s">
        <v>1024</v>
      </c>
      <c r="E894" s="91"/>
      <c r="F894" s="91"/>
      <c r="G894" s="91"/>
      <c r="H894" s="91"/>
      <c r="I894" s="91"/>
      <c r="J894" s="91"/>
      <c r="K894" s="91"/>
      <c r="L894" s="91"/>
      <c r="M894" s="91"/>
    </row>
    <row r="895" customFormat="false" ht="17.6" hidden="false" customHeight="false" outlineLevel="0" collapsed="false">
      <c r="A895" s="91" t="s">
        <v>1072</v>
      </c>
      <c r="B895" s="90" t="s">
        <v>1023</v>
      </c>
      <c r="C895" s="90" t="n">
        <f aca="false">8832*0.65</f>
        <v>5740.8</v>
      </c>
      <c r="D895" s="90" t="s">
        <v>1024</v>
      </c>
      <c r="E895" s="91"/>
      <c r="F895" s="91"/>
      <c r="G895" s="91"/>
      <c r="H895" s="91"/>
      <c r="I895" s="91"/>
      <c r="J895" s="91"/>
      <c r="K895" s="91"/>
      <c r="L895" s="91"/>
      <c r="M895" s="91"/>
    </row>
    <row r="896" customFormat="false" ht="17.6" hidden="false" customHeight="false" outlineLevel="0" collapsed="false">
      <c r="A896" s="91" t="s">
        <v>1073</v>
      </c>
      <c r="B896" s="90" t="s">
        <v>1023</v>
      </c>
      <c r="C896" s="90" t="n">
        <f aca="false">2978*0.65</f>
        <v>1935.7</v>
      </c>
      <c r="D896" s="90" t="s">
        <v>1024</v>
      </c>
      <c r="E896" s="91"/>
      <c r="F896" s="91"/>
      <c r="G896" s="91"/>
      <c r="H896" s="91"/>
      <c r="I896" s="91"/>
      <c r="J896" s="91"/>
      <c r="K896" s="91"/>
      <c r="L896" s="91"/>
      <c r="M896" s="91"/>
    </row>
    <row r="897" customFormat="false" ht="17.6" hidden="false" customHeight="false" outlineLevel="0" collapsed="false">
      <c r="A897" s="91" t="s">
        <v>1074</v>
      </c>
      <c r="B897" s="90" t="s">
        <v>1023</v>
      </c>
      <c r="C897" s="90" t="n">
        <f aca="false">11250*0.65</f>
        <v>7312.5</v>
      </c>
      <c r="D897" s="90" t="s">
        <v>1024</v>
      </c>
      <c r="E897" s="91"/>
      <c r="F897" s="91"/>
      <c r="G897" s="91"/>
      <c r="H897" s="91"/>
      <c r="I897" s="91"/>
      <c r="J897" s="91"/>
      <c r="K897" s="91"/>
      <c r="L897" s="91"/>
      <c r="M897" s="91"/>
    </row>
    <row r="898" customFormat="false" ht="17.6" hidden="false" customHeight="false" outlineLevel="0" collapsed="false">
      <c r="A898" s="91" t="s">
        <v>1075</v>
      </c>
      <c r="B898" s="90" t="s">
        <v>1023</v>
      </c>
      <c r="C898" s="90" t="n">
        <f aca="false">12600*0.65</f>
        <v>8190</v>
      </c>
      <c r="D898" s="90" t="s">
        <v>1024</v>
      </c>
      <c r="E898" s="91"/>
      <c r="F898" s="91"/>
      <c r="G898" s="91"/>
      <c r="H898" s="91"/>
      <c r="I898" s="91"/>
      <c r="J898" s="91"/>
      <c r="K898" s="91"/>
      <c r="L898" s="91"/>
      <c r="M898" s="91"/>
    </row>
    <row r="899" customFormat="false" ht="17.6" hidden="false" customHeight="false" outlineLevel="0" collapsed="false">
      <c r="A899" s="91" t="s">
        <v>1076</v>
      </c>
      <c r="B899" s="90" t="s">
        <v>1023</v>
      </c>
      <c r="C899" s="90" t="n">
        <f aca="false">14500*0.65</f>
        <v>9425</v>
      </c>
      <c r="D899" s="90" t="s">
        <v>1024</v>
      </c>
      <c r="E899" s="91"/>
      <c r="F899" s="91"/>
      <c r="G899" s="91"/>
      <c r="H899" s="91"/>
      <c r="I899" s="91"/>
      <c r="J899" s="91"/>
      <c r="K899" s="91"/>
      <c r="L899" s="91"/>
      <c r="M899" s="91"/>
    </row>
    <row r="900" customFormat="false" ht="17.6" hidden="false" customHeight="false" outlineLevel="0" collapsed="false">
      <c r="A900" s="91" t="s">
        <v>1077</v>
      </c>
      <c r="B900" s="90" t="s">
        <v>40</v>
      </c>
      <c r="C900" s="14" t="n">
        <f aca="false">478*0.7</f>
        <v>334.6</v>
      </c>
      <c r="D900" s="90" t="s">
        <v>1078</v>
      </c>
    </row>
    <row r="901" customFormat="false" ht="17.6" hidden="false" customHeight="false" outlineLevel="0" collapsed="false">
      <c r="A901" s="91" t="s">
        <v>1079</v>
      </c>
      <c r="B901" s="90" t="s">
        <v>40</v>
      </c>
      <c r="C901" s="90" t="n">
        <f aca="false">1018*0.7+135+55+32</f>
        <v>934.6</v>
      </c>
      <c r="D901" s="90" t="s">
        <v>1078</v>
      </c>
      <c r="E901" s="91"/>
      <c r="F901" s="91"/>
      <c r="G901" s="91"/>
      <c r="H901" s="91"/>
      <c r="I901" s="91"/>
      <c r="J901" s="91"/>
      <c r="K901" s="91"/>
      <c r="L901" s="91"/>
      <c r="M901" s="91"/>
    </row>
    <row r="902" customFormat="false" ht="17.6" hidden="false" customHeight="false" outlineLevel="0" collapsed="false">
      <c r="A902" s="91" t="s">
        <v>1080</v>
      </c>
      <c r="B902" s="90" t="s">
        <v>40</v>
      </c>
      <c r="C902" s="14" t="n">
        <f aca="false">778*0.7</f>
        <v>544.6</v>
      </c>
      <c r="D902" s="90" t="s">
        <v>1078</v>
      </c>
      <c r="E902" s="91"/>
      <c r="F902" s="91"/>
      <c r="G902" s="91"/>
      <c r="H902" s="91"/>
      <c r="I902" s="91"/>
      <c r="J902" s="91"/>
      <c r="K902" s="91"/>
      <c r="L902" s="91"/>
      <c r="M902" s="91"/>
    </row>
    <row r="903" customFormat="false" ht="17.6" hidden="false" customHeight="false" outlineLevel="0" collapsed="false">
      <c r="A903" s="91" t="s">
        <v>1081</v>
      </c>
      <c r="B903" s="90" t="s">
        <v>40</v>
      </c>
      <c r="C903" s="90" t="n">
        <f aca="false">1408*0.7+135+55+60</f>
        <v>1235.6</v>
      </c>
      <c r="D903" s="90" t="s">
        <v>1078</v>
      </c>
    </row>
    <row r="904" customFormat="false" ht="17.6" hidden="false" customHeight="false" outlineLevel="0" collapsed="false">
      <c r="A904" s="91" t="s">
        <v>1082</v>
      </c>
      <c r="B904" s="90" t="s">
        <v>40</v>
      </c>
      <c r="C904" s="14" t="n">
        <f aca="false">1018*0.7</f>
        <v>712.6</v>
      </c>
      <c r="D904" s="90" t="s">
        <v>1078</v>
      </c>
      <c r="E904" s="91"/>
      <c r="F904" s="91"/>
      <c r="G904" s="91"/>
      <c r="H904" s="91"/>
      <c r="I904" s="91"/>
      <c r="J904" s="91"/>
      <c r="K904" s="91"/>
      <c r="L904" s="91"/>
      <c r="M904" s="91"/>
    </row>
    <row r="905" customFormat="false" ht="17.6" hidden="false" customHeight="false" outlineLevel="0" collapsed="false">
      <c r="A905" s="91" t="s">
        <v>1083</v>
      </c>
      <c r="B905" s="90" t="s">
        <v>40</v>
      </c>
      <c r="C905" s="90" t="n">
        <f aca="false">1788*0.7+150+70+120</f>
        <v>1591.6</v>
      </c>
      <c r="D905" s="90" t="s">
        <v>1078</v>
      </c>
    </row>
    <row r="906" customFormat="false" ht="17.6" hidden="false" customHeight="false" outlineLevel="0" collapsed="false">
      <c r="A906" s="91" t="s">
        <v>1084</v>
      </c>
      <c r="B906" s="90" t="s">
        <v>40</v>
      </c>
      <c r="C906" s="90" t="n">
        <f aca="false">1788*0.7+150+70+120</f>
        <v>1591.6</v>
      </c>
      <c r="D906" s="90" t="s">
        <v>1078</v>
      </c>
    </row>
    <row r="907" customFormat="false" ht="17.6" hidden="false" customHeight="false" outlineLevel="0" collapsed="false">
      <c r="A907" s="91" t="s">
        <v>1085</v>
      </c>
      <c r="B907" s="90" t="s">
        <v>49</v>
      </c>
      <c r="C907" s="90" t="n">
        <f aca="false">11780*0.7</f>
        <v>8246</v>
      </c>
      <c r="D907" s="90" t="s">
        <v>1078</v>
      </c>
      <c r="E907" s="91"/>
      <c r="F907" s="91"/>
      <c r="G907" s="91"/>
      <c r="H907" s="91"/>
      <c r="I907" s="91"/>
      <c r="J907" s="91"/>
      <c r="K907" s="91"/>
      <c r="L907" s="91"/>
      <c r="M907" s="91"/>
    </row>
    <row r="908" customFormat="false" ht="17.6" hidden="false" customHeight="false" outlineLevel="0" collapsed="false">
      <c r="A908" s="91" t="s">
        <v>1086</v>
      </c>
      <c r="B908" s="90" t="s">
        <v>49</v>
      </c>
      <c r="C908" s="90" t="n">
        <f aca="false">14980*0.7+315+315</f>
        <v>11116</v>
      </c>
      <c r="D908" s="90" t="s">
        <v>1078</v>
      </c>
    </row>
    <row r="909" customFormat="false" ht="17.6" hidden="false" customHeight="false" outlineLevel="0" collapsed="false">
      <c r="A909" s="91" t="s">
        <v>1087</v>
      </c>
      <c r="B909" s="90" t="s">
        <v>49</v>
      </c>
      <c r="C909" s="90" t="n">
        <f aca="false">20680*0.7+525+315</f>
        <v>15316</v>
      </c>
      <c r="D909" s="90" t="s">
        <v>1078</v>
      </c>
    </row>
    <row r="910" customFormat="false" ht="17.6" hidden="false" customHeight="false" outlineLevel="0" collapsed="false">
      <c r="A910" s="91" t="s">
        <v>1088</v>
      </c>
      <c r="B910" s="90" t="s">
        <v>49</v>
      </c>
      <c r="C910" s="90" t="n">
        <f aca="false">14980*0.7</f>
        <v>10486</v>
      </c>
      <c r="D910" s="90" t="s">
        <v>1078</v>
      </c>
    </row>
    <row r="911" customFormat="false" ht="17.6" hidden="false" customHeight="false" outlineLevel="0" collapsed="false">
      <c r="A911" s="91" t="s">
        <v>1089</v>
      </c>
      <c r="B911" s="90" t="s">
        <v>49</v>
      </c>
      <c r="C911" s="90" t="n">
        <f aca="false">14980*0.7+525</f>
        <v>11011</v>
      </c>
      <c r="D911" s="90" t="s">
        <v>1078</v>
      </c>
    </row>
    <row r="912" customFormat="false" ht="17.6" hidden="false" customHeight="false" outlineLevel="0" collapsed="false">
      <c r="A912" s="91" t="s">
        <v>1090</v>
      </c>
      <c r="B912" s="90" t="s">
        <v>49</v>
      </c>
      <c r="C912" s="90" t="n">
        <f aca="false">23280*0.7+525+315</f>
        <v>17136</v>
      </c>
      <c r="D912" s="90" t="s">
        <v>1078</v>
      </c>
    </row>
    <row r="913" customFormat="false" ht="17.6" hidden="false" customHeight="false" outlineLevel="0" collapsed="false">
      <c r="A913" s="91"/>
    </row>
    <row r="914" customFormat="false" ht="17.6" hidden="false" customHeight="false" outlineLevel="0" collapsed="false">
      <c r="A914" s="91" t="s">
        <v>1091</v>
      </c>
      <c r="B914" s="90" t="s">
        <v>49</v>
      </c>
      <c r="C914" s="90" t="n">
        <f aca="false">61580*0.7+525</f>
        <v>43631</v>
      </c>
      <c r="D914" s="90" t="s">
        <v>1078</v>
      </c>
    </row>
    <row r="915" customFormat="false" ht="17.6" hidden="false" customHeight="false" outlineLevel="0" collapsed="false">
      <c r="A915" s="91" t="s">
        <v>1092</v>
      </c>
      <c r="B915" s="90" t="s">
        <v>230</v>
      </c>
      <c r="C915" s="90" t="n">
        <v>11000</v>
      </c>
      <c r="D915" s="90" t="s">
        <v>1093</v>
      </c>
    </row>
    <row r="916" customFormat="false" ht="17.6" hidden="false" customHeight="false" outlineLevel="0" collapsed="false">
      <c r="A916" s="91" t="s">
        <v>1094</v>
      </c>
      <c r="B916" s="90" t="s">
        <v>86</v>
      </c>
      <c r="C916" s="90" t="n">
        <f aca="false">16692*0.6</f>
        <v>10015.2</v>
      </c>
      <c r="D916" s="90" t="s">
        <v>1095</v>
      </c>
    </row>
    <row r="917" customFormat="false" ht="17.6" hidden="false" customHeight="false" outlineLevel="0" collapsed="false">
      <c r="A917" s="91" t="s">
        <v>1096</v>
      </c>
      <c r="B917" s="90" t="s">
        <v>86</v>
      </c>
      <c r="C917" s="90" t="n">
        <f aca="false">20200*0.6</f>
        <v>12120</v>
      </c>
      <c r="D917" s="90" t="s">
        <v>1095</v>
      </c>
    </row>
    <row r="918" customFormat="false" ht="17.6" hidden="false" customHeight="false" outlineLevel="0" collapsed="false">
      <c r="A918" s="91"/>
    </row>
    <row r="919" customFormat="false" ht="17.6" hidden="false" customHeight="false" outlineLevel="0" collapsed="false">
      <c r="A919" s="91"/>
    </row>
    <row r="920" customFormat="false" ht="17.6" hidden="false" customHeight="false" outlineLevel="0" collapsed="false">
      <c r="A920" s="91"/>
    </row>
    <row r="921" customFormat="false" ht="17.6" hidden="false" customHeight="false" outlineLevel="0" collapsed="false">
      <c r="A921" s="91" t="s">
        <v>1097</v>
      </c>
      <c r="B921" s="90" t="s">
        <v>49</v>
      </c>
      <c r="C921" s="90" t="n">
        <f aca="false">124898*0.58</f>
        <v>72440.84</v>
      </c>
      <c r="D921" s="90" t="s">
        <v>1061</v>
      </c>
    </row>
    <row r="922" customFormat="false" ht="17.6" hidden="false" customHeight="false" outlineLevel="0" collapsed="false">
      <c r="A922" s="91" t="s">
        <v>1098</v>
      </c>
      <c r="B922" s="90" t="s">
        <v>972</v>
      </c>
      <c r="C922" s="90" t="n">
        <v>88</v>
      </c>
      <c r="D922" s="90" t="s">
        <v>1099</v>
      </c>
    </row>
    <row r="923" customFormat="false" ht="17.6" hidden="false" customHeight="false" outlineLevel="0" collapsed="false">
      <c r="A923" s="91" t="s">
        <v>1100</v>
      </c>
      <c r="B923" s="90" t="s">
        <v>972</v>
      </c>
      <c r="C923" s="90" t="n">
        <v>145</v>
      </c>
      <c r="D923" s="90" t="s">
        <v>1099</v>
      </c>
    </row>
    <row r="924" customFormat="false" ht="17.6" hidden="false" customHeight="false" outlineLevel="0" collapsed="false">
      <c r="A924" s="91" t="s">
        <v>1101</v>
      </c>
      <c r="B924" s="90" t="s">
        <v>162</v>
      </c>
      <c r="C924" s="90" t="n">
        <f aca="false">265*0.7</f>
        <v>185.5</v>
      </c>
      <c r="D924" s="90" t="s">
        <v>1078</v>
      </c>
    </row>
    <row r="925" customFormat="false" ht="17.6" hidden="false" customHeight="false" outlineLevel="0" collapsed="false">
      <c r="A925" s="91" t="s">
        <v>1102</v>
      </c>
      <c r="B925" s="90" t="s">
        <v>237</v>
      </c>
      <c r="C925" s="90" t="n">
        <f aca="false">319.1*0.7</f>
        <v>223.37</v>
      </c>
      <c r="D925" s="90" t="s">
        <v>159</v>
      </c>
    </row>
    <row r="926" customFormat="false" ht="17.6" hidden="false" customHeight="false" outlineLevel="0" collapsed="false">
      <c r="A926" s="91" t="s">
        <v>1103</v>
      </c>
      <c r="B926" s="90" t="s">
        <v>237</v>
      </c>
      <c r="C926" s="90" t="n">
        <f aca="false">83*0.7</f>
        <v>58.1</v>
      </c>
      <c r="D926" s="90" t="s">
        <v>159</v>
      </c>
    </row>
    <row r="927" customFormat="false" ht="17.6" hidden="false" customHeight="false" outlineLevel="0" collapsed="false">
      <c r="A927" s="91" t="s">
        <v>1104</v>
      </c>
      <c r="B927" s="90" t="s">
        <v>237</v>
      </c>
      <c r="C927" s="90" t="n">
        <f aca="false">33.9*0.7</f>
        <v>23.73</v>
      </c>
      <c r="D927" s="90" t="s">
        <v>159</v>
      </c>
    </row>
    <row r="928" customFormat="false" ht="17.6" hidden="false" customHeight="false" outlineLevel="0" collapsed="false">
      <c r="A928" s="91" t="s">
        <v>1105</v>
      </c>
      <c r="B928" s="90" t="s">
        <v>237</v>
      </c>
      <c r="C928" s="90" t="n">
        <f aca="false">142.9*0.7</f>
        <v>100.03</v>
      </c>
      <c r="D928" s="90" t="s">
        <v>159</v>
      </c>
    </row>
    <row r="929" customFormat="false" ht="17.6" hidden="false" customHeight="false" outlineLevel="0" collapsed="false">
      <c r="A929" s="91" t="s">
        <v>1106</v>
      </c>
      <c r="B929" s="90" t="s">
        <v>237</v>
      </c>
      <c r="C929" s="90" t="n">
        <f aca="false">142.9*0.7</f>
        <v>100.03</v>
      </c>
      <c r="D929" s="90" t="s">
        <v>159</v>
      </c>
    </row>
    <row r="930" customFormat="false" ht="17.6" hidden="false" customHeight="false" outlineLevel="0" collapsed="false">
      <c r="A930" s="91" t="s">
        <v>1107</v>
      </c>
      <c r="B930" s="90" t="s">
        <v>237</v>
      </c>
      <c r="C930" s="90" t="n">
        <f aca="false">170*0.7</f>
        <v>119</v>
      </c>
      <c r="D930" s="90" t="s">
        <v>159</v>
      </c>
    </row>
    <row r="931" customFormat="false" ht="17.6" hidden="false" customHeight="false" outlineLevel="0" collapsed="false">
      <c r="A931" s="91" t="s">
        <v>1108</v>
      </c>
      <c r="B931" s="90" t="s">
        <v>237</v>
      </c>
      <c r="C931" s="90" t="n">
        <f aca="false">190.5*0.7</f>
        <v>133.35</v>
      </c>
      <c r="D931" s="90" t="s">
        <v>159</v>
      </c>
    </row>
    <row r="932" customFormat="false" ht="17.6" hidden="false" customHeight="false" outlineLevel="0" collapsed="false">
      <c r="A932" s="91" t="s">
        <v>1109</v>
      </c>
      <c r="B932" s="90" t="s">
        <v>237</v>
      </c>
      <c r="C932" s="90" t="n">
        <f aca="false">204.2*0.7</f>
        <v>142.94</v>
      </c>
      <c r="D932" s="90" t="s">
        <v>159</v>
      </c>
    </row>
    <row r="933" customFormat="false" ht="17.6" hidden="false" customHeight="false" outlineLevel="0" collapsed="false">
      <c r="A933" s="91" t="s">
        <v>1110</v>
      </c>
      <c r="B933" s="90" t="s">
        <v>237</v>
      </c>
      <c r="C933" s="90" t="n">
        <f aca="false">272*0.7</f>
        <v>190.4</v>
      </c>
      <c r="D933" s="90" t="s">
        <v>159</v>
      </c>
    </row>
    <row r="934" customFormat="false" ht="17.6" hidden="false" customHeight="false" outlineLevel="0" collapsed="false">
      <c r="A934" s="91" t="s">
        <v>1111</v>
      </c>
      <c r="B934" s="90" t="s">
        <v>237</v>
      </c>
      <c r="C934" s="90" t="n">
        <f aca="false">163.3*0.7</f>
        <v>114.31</v>
      </c>
      <c r="D934" s="90" t="s">
        <v>159</v>
      </c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0"/>
      <c r="BS934" s="90"/>
      <c r="BT934" s="90"/>
      <c r="BU934" s="90"/>
      <c r="BV934" s="90"/>
      <c r="BW934" s="90"/>
      <c r="BX934" s="90"/>
      <c r="BY934" s="90"/>
      <c r="BZ934" s="90"/>
      <c r="CA934" s="90"/>
      <c r="CB934" s="90"/>
      <c r="CC934" s="90"/>
      <c r="CD934" s="90"/>
      <c r="CE934" s="90"/>
      <c r="CF934" s="90"/>
      <c r="CG934" s="90"/>
      <c r="CH934" s="90"/>
      <c r="CI934" s="90"/>
      <c r="CJ934" s="90"/>
      <c r="CK934" s="90"/>
      <c r="CL934" s="90"/>
      <c r="CM934" s="90"/>
      <c r="CN934" s="90"/>
      <c r="CO934" s="90"/>
      <c r="CP934" s="90"/>
      <c r="CQ934" s="90"/>
      <c r="CR934" s="90"/>
      <c r="CS934" s="90"/>
      <c r="CT934" s="90"/>
      <c r="CU934" s="90"/>
      <c r="CV934" s="90"/>
      <c r="CW934" s="90"/>
      <c r="CX934" s="90"/>
      <c r="CY934" s="90"/>
      <c r="CZ934" s="90"/>
      <c r="DA934" s="90"/>
      <c r="DB934" s="90"/>
      <c r="DC934" s="90"/>
      <c r="DD934" s="90"/>
      <c r="DE934" s="90"/>
      <c r="DF934" s="90"/>
      <c r="DG934" s="90"/>
      <c r="DH934" s="90"/>
      <c r="DI934" s="90"/>
      <c r="DJ934" s="90"/>
      <c r="DK934" s="90"/>
      <c r="DL934" s="90"/>
      <c r="DM934" s="90"/>
      <c r="DN934" s="90"/>
      <c r="DO934" s="90"/>
      <c r="DP934" s="90"/>
      <c r="DQ934" s="90"/>
      <c r="DR934" s="90"/>
      <c r="DS934" s="90"/>
      <c r="DT934" s="90"/>
      <c r="DU934" s="90"/>
      <c r="DV934" s="90"/>
      <c r="DW934" s="90"/>
      <c r="DX934" s="90"/>
      <c r="DY934" s="90"/>
      <c r="DZ934" s="90"/>
      <c r="EA934" s="90"/>
      <c r="EB934" s="90"/>
      <c r="EC934" s="90"/>
      <c r="ED934" s="90"/>
      <c r="EE934" s="90"/>
      <c r="EF934" s="90"/>
      <c r="EG934" s="90"/>
      <c r="EH934" s="90"/>
      <c r="EI934" s="90"/>
      <c r="EJ934" s="90"/>
      <c r="EK934" s="90"/>
      <c r="EL934" s="90"/>
      <c r="EM934" s="90"/>
      <c r="EN934" s="90"/>
      <c r="EO934" s="90"/>
      <c r="EP934" s="90"/>
      <c r="EQ934" s="90"/>
      <c r="ER934" s="90"/>
      <c r="ES934" s="90"/>
      <c r="ET934" s="90"/>
      <c r="EU934" s="90"/>
      <c r="EV934" s="90"/>
      <c r="EW934" s="90"/>
      <c r="EX934" s="90"/>
      <c r="EY934" s="90"/>
      <c r="EZ934" s="90"/>
      <c r="FA934" s="90"/>
      <c r="FB934" s="90"/>
      <c r="FC934" s="90"/>
      <c r="FD934" s="90"/>
      <c r="FE934" s="90"/>
      <c r="FF934" s="90"/>
      <c r="FG934" s="90"/>
      <c r="FH934" s="90"/>
      <c r="FI934" s="90"/>
      <c r="FJ934" s="90"/>
      <c r="FK934" s="90"/>
      <c r="FL934" s="90"/>
      <c r="FM934" s="90"/>
      <c r="FN934" s="90"/>
      <c r="FO934" s="90"/>
      <c r="FP934" s="90"/>
      <c r="FQ934" s="90"/>
      <c r="FR934" s="90"/>
      <c r="FS934" s="90"/>
      <c r="FT934" s="90"/>
      <c r="FU934" s="90"/>
      <c r="FV934" s="90"/>
      <c r="FW934" s="90"/>
      <c r="FX934" s="90"/>
      <c r="FY934" s="90"/>
      <c r="FZ934" s="90"/>
      <c r="GA934" s="90"/>
      <c r="GB934" s="90"/>
      <c r="GC934" s="90"/>
      <c r="GD934" s="90"/>
      <c r="GE934" s="90"/>
      <c r="GF934" s="90"/>
      <c r="GG934" s="90"/>
      <c r="GH934" s="90"/>
      <c r="GI934" s="90"/>
      <c r="GJ934" s="90"/>
      <c r="GK934" s="90"/>
      <c r="GL934" s="90"/>
      <c r="GM934" s="90"/>
      <c r="GN934" s="90"/>
      <c r="GO934" s="90"/>
      <c r="GP934" s="90"/>
      <c r="GQ934" s="90"/>
      <c r="GR934" s="90"/>
      <c r="GS934" s="90"/>
      <c r="GT934" s="90"/>
      <c r="GU934" s="90"/>
      <c r="GV934" s="90"/>
      <c r="GW934" s="90"/>
      <c r="GX934" s="90"/>
      <c r="GY934" s="90"/>
      <c r="GZ934" s="90"/>
      <c r="HA934" s="90"/>
      <c r="HB934" s="90"/>
      <c r="HC934" s="90"/>
      <c r="HD934" s="90"/>
      <c r="HE934" s="90"/>
      <c r="HF934" s="90"/>
      <c r="HG934" s="90"/>
      <c r="HH934" s="90"/>
      <c r="HI934" s="90"/>
      <c r="HJ934" s="90"/>
      <c r="HK934" s="90"/>
      <c r="HL934" s="90"/>
      <c r="HM934" s="90"/>
      <c r="HN934" s="90"/>
      <c r="HO934" s="90"/>
      <c r="HP934" s="90"/>
      <c r="HQ934" s="90"/>
      <c r="HR934" s="90"/>
      <c r="HS934" s="90"/>
      <c r="HT934" s="90"/>
      <c r="HU934" s="90"/>
      <c r="HV934" s="90"/>
      <c r="HW934" s="90"/>
      <c r="HX934" s="90"/>
      <c r="HY934" s="90"/>
      <c r="HZ934" s="90"/>
      <c r="IA934" s="90"/>
      <c r="IB934" s="90"/>
      <c r="IC934" s="90"/>
      <c r="ID934" s="90"/>
      <c r="IE934" s="90"/>
      <c r="IF934" s="90"/>
      <c r="IG934" s="90"/>
      <c r="IH934" s="90"/>
      <c r="II934" s="90"/>
      <c r="IJ934" s="90"/>
      <c r="IK934" s="90"/>
      <c r="IL934" s="90"/>
      <c r="IM934" s="90"/>
      <c r="IN934" s="90"/>
      <c r="IO934" s="90"/>
      <c r="IP934" s="90"/>
      <c r="IQ934" s="90"/>
      <c r="IR934" s="90"/>
      <c r="IS934" s="90"/>
      <c r="IT934" s="90"/>
      <c r="IU934" s="90"/>
      <c r="IV934" s="90"/>
      <c r="IW934" s="90"/>
    </row>
    <row r="935" customFormat="false" ht="17.6" hidden="false" customHeight="false" outlineLevel="0" collapsed="false">
      <c r="A935" s="91" t="s">
        <v>1112</v>
      </c>
      <c r="B935" s="90" t="s">
        <v>237</v>
      </c>
      <c r="C935" s="90" t="n">
        <f aca="false">110.3*0.7</f>
        <v>77.21</v>
      </c>
      <c r="D935" s="90" t="s">
        <v>159</v>
      </c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90"/>
      <c r="AW935" s="90"/>
      <c r="AX935" s="90"/>
      <c r="AY935" s="90"/>
      <c r="AZ935" s="90"/>
      <c r="BA935" s="90"/>
      <c r="BB935" s="90"/>
      <c r="BC935" s="90"/>
      <c r="BD935" s="90"/>
      <c r="BE935" s="90"/>
      <c r="BF935" s="90"/>
      <c r="BG935" s="90"/>
      <c r="BH935" s="90"/>
      <c r="BI935" s="90"/>
      <c r="BJ935" s="90"/>
      <c r="BK935" s="90"/>
      <c r="BL935" s="90"/>
      <c r="BM935" s="90"/>
      <c r="BN935" s="90"/>
      <c r="BO935" s="90"/>
      <c r="BP935" s="90"/>
      <c r="BQ935" s="90"/>
      <c r="BR935" s="90"/>
      <c r="BS935" s="90"/>
      <c r="BT935" s="90"/>
      <c r="BU935" s="90"/>
      <c r="BV935" s="90"/>
      <c r="BW935" s="90"/>
      <c r="BX935" s="90"/>
      <c r="BY935" s="90"/>
      <c r="BZ935" s="90"/>
      <c r="CA935" s="90"/>
      <c r="CB935" s="90"/>
      <c r="CC935" s="90"/>
      <c r="CD935" s="90"/>
      <c r="CE935" s="90"/>
      <c r="CF935" s="90"/>
      <c r="CG935" s="90"/>
      <c r="CH935" s="90"/>
      <c r="CI935" s="90"/>
      <c r="CJ935" s="90"/>
      <c r="CK935" s="90"/>
      <c r="CL935" s="90"/>
      <c r="CM935" s="90"/>
      <c r="CN935" s="90"/>
      <c r="CO935" s="90"/>
      <c r="CP935" s="90"/>
      <c r="CQ935" s="90"/>
      <c r="CR935" s="90"/>
      <c r="CS935" s="90"/>
      <c r="CT935" s="90"/>
      <c r="CU935" s="90"/>
      <c r="CV935" s="90"/>
      <c r="CW935" s="90"/>
      <c r="CX935" s="90"/>
      <c r="CY935" s="90"/>
      <c r="CZ935" s="90"/>
      <c r="DA935" s="90"/>
      <c r="DB935" s="90"/>
      <c r="DC935" s="90"/>
      <c r="DD935" s="90"/>
      <c r="DE935" s="90"/>
      <c r="DF935" s="90"/>
      <c r="DG935" s="90"/>
      <c r="DH935" s="90"/>
      <c r="DI935" s="90"/>
      <c r="DJ935" s="90"/>
      <c r="DK935" s="90"/>
      <c r="DL935" s="90"/>
      <c r="DM935" s="90"/>
      <c r="DN935" s="90"/>
      <c r="DO935" s="90"/>
      <c r="DP935" s="90"/>
      <c r="DQ935" s="90"/>
      <c r="DR935" s="90"/>
      <c r="DS935" s="90"/>
      <c r="DT935" s="90"/>
      <c r="DU935" s="90"/>
      <c r="DV935" s="90"/>
      <c r="DW935" s="90"/>
      <c r="DX935" s="90"/>
      <c r="DY935" s="90"/>
      <c r="DZ935" s="90"/>
      <c r="EA935" s="90"/>
      <c r="EB935" s="90"/>
      <c r="EC935" s="90"/>
      <c r="ED935" s="90"/>
      <c r="EE935" s="90"/>
      <c r="EF935" s="90"/>
      <c r="EG935" s="90"/>
      <c r="EH935" s="90"/>
      <c r="EI935" s="90"/>
      <c r="EJ935" s="90"/>
      <c r="EK935" s="90"/>
      <c r="EL935" s="90"/>
      <c r="EM935" s="90"/>
      <c r="EN935" s="90"/>
      <c r="EO935" s="90"/>
      <c r="EP935" s="90"/>
      <c r="EQ935" s="90"/>
      <c r="ER935" s="90"/>
      <c r="ES935" s="90"/>
      <c r="ET935" s="90"/>
      <c r="EU935" s="90"/>
      <c r="EV935" s="90"/>
      <c r="EW935" s="90"/>
      <c r="EX935" s="90"/>
      <c r="EY935" s="90"/>
      <c r="EZ935" s="90"/>
      <c r="FA935" s="90"/>
      <c r="FB935" s="90"/>
      <c r="FC935" s="90"/>
      <c r="FD935" s="90"/>
      <c r="FE935" s="90"/>
      <c r="FF935" s="90"/>
      <c r="FG935" s="90"/>
      <c r="FH935" s="90"/>
      <c r="FI935" s="90"/>
      <c r="FJ935" s="90"/>
      <c r="FK935" s="90"/>
      <c r="FL935" s="90"/>
      <c r="FM935" s="90"/>
      <c r="FN935" s="90"/>
      <c r="FO935" s="90"/>
      <c r="FP935" s="90"/>
      <c r="FQ935" s="90"/>
      <c r="FR935" s="90"/>
      <c r="FS935" s="90"/>
      <c r="FT935" s="90"/>
      <c r="FU935" s="90"/>
      <c r="FV935" s="90"/>
      <c r="FW935" s="90"/>
      <c r="FX935" s="90"/>
      <c r="FY935" s="90"/>
      <c r="FZ935" s="90"/>
      <c r="GA935" s="90"/>
      <c r="GB935" s="90"/>
      <c r="GC935" s="90"/>
      <c r="GD935" s="90"/>
      <c r="GE935" s="90"/>
      <c r="GF935" s="90"/>
      <c r="GG935" s="90"/>
      <c r="GH935" s="90"/>
      <c r="GI935" s="90"/>
      <c r="GJ935" s="90"/>
      <c r="GK935" s="90"/>
      <c r="GL935" s="90"/>
      <c r="GM935" s="90"/>
      <c r="GN935" s="90"/>
      <c r="GO935" s="90"/>
      <c r="GP935" s="90"/>
      <c r="GQ935" s="90"/>
      <c r="GR935" s="90"/>
      <c r="GS935" s="90"/>
      <c r="GT935" s="90"/>
      <c r="GU935" s="90"/>
      <c r="GV935" s="90"/>
      <c r="GW935" s="90"/>
      <c r="GX935" s="90"/>
      <c r="GY935" s="90"/>
      <c r="GZ935" s="90"/>
      <c r="HA935" s="90"/>
      <c r="HB935" s="90"/>
      <c r="HC935" s="90"/>
      <c r="HD935" s="90"/>
      <c r="HE935" s="90"/>
      <c r="HF935" s="90"/>
      <c r="HG935" s="90"/>
      <c r="HH935" s="90"/>
      <c r="HI935" s="90"/>
      <c r="HJ935" s="90"/>
      <c r="HK935" s="90"/>
      <c r="HL935" s="90"/>
      <c r="HM935" s="90"/>
      <c r="HN935" s="90"/>
      <c r="HO935" s="90"/>
      <c r="HP935" s="90"/>
      <c r="HQ935" s="90"/>
      <c r="HR935" s="90"/>
      <c r="HS935" s="90"/>
      <c r="HT935" s="90"/>
      <c r="HU935" s="90"/>
      <c r="HV935" s="90"/>
      <c r="HW935" s="90"/>
      <c r="HX935" s="90"/>
      <c r="HY935" s="90"/>
      <c r="HZ935" s="90"/>
      <c r="IA935" s="90"/>
      <c r="IB935" s="90"/>
      <c r="IC935" s="90"/>
      <c r="ID935" s="90"/>
      <c r="IE935" s="90"/>
      <c r="IF935" s="90"/>
      <c r="IG935" s="90"/>
      <c r="IH935" s="90"/>
      <c r="II935" s="90"/>
      <c r="IJ935" s="90"/>
      <c r="IK935" s="90"/>
      <c r="IL935" s="90"/>
      <c r="IM935" s="90"/>
      <c r="IN935" s="90"/>
      <c r="IO935" s="90"/>
      <c r="IP935" s="90"/>
      <c r="IQ935" s="90"/>
      <c r="IR935" s="90"/>
      <c r="IS935" s="90"/>
      <c r="IT935" s="90"/>
      <c r="IU935" s="90"/>
      <c r="IV935" s="90"/>
      <c r="IW935" s="90"/>
    </row>
    <row r="936" customFormat="false" ht="17.6" hidden="false" customHeight="false" outlineLevel="0" collapsed="false">
      <c r="A936" s="91" t="s">
        <v>1113</v>
      </c>
      <c r="B936" s="90" t="s">
        <v>237</v>
      </c>
      <c r="C936" s="90" t="n">
        <f aca="false">46.4*0.7</f>
        <v>32.48</v>
      </c>
      <c r="D936" s="90" t="s">
        <v>159</v>
      </c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0"/>
      <c r="BS936" s="90"/>
      <c r="BT936" s="90"/>
      <c r="BU936" s="90"/>
      <c r="BV936" s="90"/>
      <c r="BW936" s="90"/>
      <c r="BX936" s="90"/>
      <c r="BY936" s="90"/>
      <c r="BZ936" s="90"/>
      <c r="CA936" s="90"/>
      <c r="CB936" s="90"/>
      <c r="CC936" s="90"/>
      <c r="CD936" s="90"/>
      <c r="CE936" s="90"/>
      <c r="CF936" s="90"/>
      <c r="CG936" s="90"/>
      <c r="CH936" s="90"/>
      <c r="CI936" s="90"/>
      <c r="CJ936" s="90"/>
      <c r="CK936" s="90"/>
      <c r="CL936" s="90"/>
      <c r="CM936" s="90"/>
      <c r="CN936" s="90"/>
      <c r="CO936" s="90"/>
      <c r="CP936" s="90"/>
      <c r="CQ936" s="90"/>
      <c r="CR936" s="90"/>
      <c r="CS936" s="90"/>
      <c r="CT936" s="90"/>
      <c r="CU936" s="90"/>
      <c r="CV936" s="90"/>
      <c r="CW936" s="90"/>
      <c r="CX936" s="90"/>
      <c r="CY936" s="90"/>
      <c r="CZ936" s="90"/>
      <c r="DA936" s="90"/>
      <c r="DB936" s="90"/>
      <c r="DC936" s="90"/>
      <c r="DD936" s="90"/>
      <c r="DE936" s="90"/>
      <c r="DF936" s="90"/>
      <c r="DG936" s="90"/>
      <c r="DH936" s="90"/>
      <c r="DI936" s="90"/>
      <c r="DJ936" s="90"/>
      <c r="DK936" s="90"/>
      <c r="DL936" s="90"/>
      <c r="DM936" s="90"/>
      <c r="DN936" s="90"/>
      <c r="DO936" s="90"/>
      <c r="DP936" s="90"/>
      <c r="DQ936" s="90"/>
      <c r="DR936" s="90"/>
      <c r="DS936" s="90"/>
      <c r="DT936" s="90"/>
      <c r="DU936" s="90"/>
      <c r="DV936" s="90"/>
      <c r="DW936" s="90"/>
      <c r="DX936" s="90"/>
      <c r="DY936" s="90"/>
      <c r="DZ936" s="90"/>
      <c r="EA936" s="90"/>
      <c r="EB936" s="90"/>
      <c r="EC936" s="90"/>
      <c r="ED936" s="90"/>
      <c r="EE936" s="90"/>
      <c r="EF936" s="90"/>
      <c r="EG936" s="90"/>
      <c r="EH936" s="90"/>
      <c r="EI936" s="90"/>
      <c r="EJ936" s="90"/>
      <c r="EK936" s="90"/>
      <c r="EL936" s="90"/>
      <c r="EM936" s="90"/>
      <c r="EN936" s="90"/>
      <c r="EO936" s="90"/>
      <c r="EP936" s="90"/>
      <c r="EQ936" s="90"/>
      <c r="ER936" s="90"/>
      <c r="ES936" s="90"/>
      <c r="ET936" s="90"/>
      <c r="EU936" s="90"/>
      <c r="EV936" s="90"/>
      <c r="EW936" s="90"/>
      <c r="EX936" s="90"/>
      <c r="EY936" s="90"/>
      <c r="EZ936" s="90"/>
      <c r="FA936" s="90"/>
      <c r="FB936" s="90"/>
      <c r="FC936" s="90"/>
      <c r="FD936" s="90"/>
      <c r="FE936" s="90"/>
      <c r="FF936" s="90"/>
      <c r="FG936" s="90"/>
      <c r="FH936" s="90"/>
      <c r="FI936" s="90"/>
      <c r="FJ936" s="90"/>
      <c r="FK936" s="90"/>
      <c r="FL936" s="90"/>
      <c r="FM936" s="90"/>
      <c r="FN936" s="90"/>
      <c r="FO936" s="90"/>
      <c r="FP936" s="90"/>
      <c r="FQ936" s="90"/>
      <c r="FR936" s="90"/>
      <c r="FS936" s="90"/>
      <c r="FT936" s="90"/>
      <c r="FU936" s="90"/>
      <c r="FV936" s="90"/>
      <c r="FW936" s="90"/>
      <c r="FX936" s="90"/>
      <c r="FY936" s="90"/>
      <c r="FZ936" s="90"/>
      <c r="GA936" s="90"/>
      <c r="GB936" s="90"/>
      <c r="GC936" s="90"/>
      <c r="GD936" s="90"/>
      <c r="GE936" s="90"/>
      <c r="GF936" s="90"/>
      <c r="GG936" s="90"/>
      <c r="GH936" s="90"/>
      <c r="GI936" s="90"/>
      <c r="GJ936" s="90"/>
      <c r="GK936" s="90"/>
      <c r="GL936" s="90"/>
      <c r="GM936" s="90"/>
      <c r="GN936" s="90"/>
      <c r="GO936" s="90"/>
      <c r="GP936" s="90"/>
      <c r="GQ936" s="90"/>
      <c r="GR936" s="90"/>
      <c r="GS936" s="90"/>
      <c r="GT936" s="90"/>
      <c r="GU936" s="90"/>
      <c r="GV936" s="90"/>
      <c r="GW936" s="90"/>
      <c r="GX936" s="90"/>
      <c r="GY936" s="90"/>
      <c r="GZ936" s="90"/>
      <c r="HA936" s="90"/>
      <c r="HB936" s="90"/>
      <c r="HC936" s="90"/>
      <c r="HD936" s="90"/>
      <c r="HE936" s="90"/>
      <c r="HF936" s="90"/>
      <c r="HG936" s="90"/>
      <c r="HH936" s="90"/>
      <c r="HI936" s="90"/>
      <c r="HJ936" s="90"/>
      <c r="HK936" s="90"/>
      <c r="HL936" s="90"/>
      <c r="HM936" s="90"/>
      <c r="HN936" s="90"/>
      <c r="HO936" s="90"/>
      <c r="HP936" s="90"/>
      <c r="HQ936" s="90"/>
      <c r="HR936" s="90"/>
      <c r="HS936" s="90"/>
      <c r="HT936" s="90"/>
      <c r="HU936" s="90"/>
      <c r="HV936" s="90"/>
      <c r="HW936" s="90"/>
      <c r="HX936" s="90"/>
      <c r="HY936" s="90"/>
      <c r="HZ936" s="90"/>
      <c r="IA936" s="90"/>
      <c r="IB936" s="90"/>
      <c r="IC936" s="90"/>
      <c r="ID936" s="90"/>
      <c r="IE936" s="90"/>
      <c r="IF936" s="90"/>
      <c r="IG936" s="90"/>
      <c r="IH936" s="90"/>
      <c r="II936" s="90"/>
      <c r="IJ936" s="90"/>
      <c r="IK936" s="90"/>
      <c r="IL936" s="90"/>
      <c r="IM936" s="90"/>
      <c r="IN936" s="90"/>
      <c r="IO936" s="90"/>
      <c r="IP936" s="90"/>
      <c r="IQ936" s="90"/>
      <c r="IR936" s="90"/>
      <c r="IS936" s="90"/>
      <c r="IT936" s="90"/>
      <c r="IU936" s="90"/>
      <c r="IV936" s="90"/>
      <c r="IW936" s="90"/>
    </row>
    <row r="937" customFormat="false" ht="17.6" hidden="false" customHeight="false" outlineLevel="0" collapsed="false">
      <c r="A937" s="91" t="s">
        <v>1114</v>
      </c>
      <c r="B937" s="90" t="s">
        <v>873</v>
      </c>
      <c r="C937" s="90" t="n">
        <f aca="false">1932.2*4*0.66</f>
        <v>5101.008</v>
      </c>
      <c r="D937" s="90" t="s">
        <v>159</v>
      </c>
    </row>
    <row r="938" customFormat="false" ht="17.6" hidden="false" customHeight="false" outlineLevel="0" collapsed="false">
      <c r="A938" s="91" t="s">
        <v>1115</v>
      </c>
      <c r="B938" s="90" t="s">
        <v>873</v>
      </c>
      <c r="C938" s="90" t="n">
        <f aca="false">1137.83*4</f>
        <v>4551.32</v>
      </c>
      <c r="D938" s="90" t="s">
        <v>159</v>
      </c>
    </row>
    <row r="939" customFormat="false" ht="17.6" hidden="false" customHeight="false" outlineLevel="0" collapsed="false">
      <c r="A939" s="91" t="s">
        <v>1116</v>
      </c>
      <c r="B939" s="90" t="s">
        <v>1117</v>
      </c>
      <c r="C939" s="90" t="n">
        <v>2000</v>
      </c>
      <c r="D939" s="90" t="s">
        <v>1118</v>
      </c>
    </row>
    <row r="940" customFormat="false" ht="17.6" hidden="false" customHeight="false" outlineLevel="0" collapsed="false">
      <c r="A940" s="91" t="s">
        <v>1119</v>
      </c>
      <c r="B940" s="90" t="s">
        <v>1120</v>
      </c>
      <c r="C940" s="90" t="n">
        <f aca="false">850+250</f>
        <v>1100</v>
      </c>
      <c r="D940" s="90" t="s">
        <v>1121</v>
      </c>
    </row>
    <row r="941" customFormat="false" ht="17.6" hidden="false" customHeight="false" outlineLevel="0" collapsed="false">
      <c r="A941" s="91" t="s">
        <v>1122</v>
      </c>
      <c r="B941" s="90" t="s">
        <v>1120</v>
      </c>
      <c r="C941" s="90" t="n">
        <v>850</v>
      </c>
      <c r="D941" s="90" t="s">
        <v>1121</v>
      </c>
    </row>
    <row r="942" customFormat="false" ht="17.6" hidden="false" customHeight="false" outlineLevel="0" collapsed="false">
      <c r="A942" s="91" t="s">
        <v>1123</v>
      </c>
      <c r="B942" s="90" t="s">
        <v>1120</v>
      </c>
      <c r="C942" s="90" t="n">
        <v>1200</v>
      </c>
      <c r="D942" s="90" t="s">
        <v>1121</v>
      </c>
    </row>
    <row r="943" customFormat="false" ht="17.6" hidden="false" customHeight="false" outlineLevel="0" collapsed="false">
      <c r="A943" s="91" t="s">
        <v>1124</v>
      </c>
      <c r="B943" s="90" t="s">
        <v>1120</v>
      </c>
      <c r="C943" s="90" t="n">
        <v>1500</v>
      </c>
      <c r="D943" s="90" t="s">
        <v>1121</v>
      </c>
    </row>
    <row r="944" customFormat="false" ht="17.6" hidden="false" customHeight="false" outlineLevel="0" collapsed="false">
      <c r="A944" s="91" t="s">
        <v>1125</v>
      </c>
      <c r="B944" s="90" t="s">
        <v>1120</v>
      </c>
      <c r="C944" s="90" t="n">
        <v>1200</v>
      </c>
      <c r="D944" s="90" t="s">
        <v>1121</v>
      </c>
    </row>
    <row r="945" customFormat="false" ht="17.6" hidden="false" customHeight="false" outlineLevel="0" collapsed="false">
      <c r="A945" s="91" t="s">
        <v>1126</v>
      </c>
      <c r="B945" s="90" t="s">
        <v>1120</v>
      </c>
      <c r="C945" s="90" t="n">
        <v>1200</v>
      </c>
      <c r="D945" s="90" t="s">
        <v>1121</v>
      </c>
    </row>
    <row r="946" customFormat="false" ht="17.6" hidden="false" customHeight="false" outlineLevel="0" collapsed="false">
      <c r="A946" s="91" t="s">
        <v>1127</v>
      </c>
      <c r="B946" s="90" t="s">
        <v>1128</v>
      </c>
      <c r="C946" s="90" t="n">
        <v>600</v>
      </c>
      <c r="D946" s="90" t="s">
        <v>982</v>
      </c>
    </row>
    <row r="947" customFormat="false" ht="17.6" hidden="false" customHeight="false" outlineLevel="0" collapsed="false">
      <c r="A947" s="91" t="s">
        <v>1129</v>
      </c>
      <c r="B947" s="90" t="s">
        <v>1130</v>
      </c>
      <c r="C947" s="90" t="n">
        <v>500</v>
      </c>
      <c r="D947" s="90" t="s">
        <v>1131</v>
      </c>
    </row>
    <row r="948" customFormat="false" ht="17.6" hidden="false" customHeight="false" outlineLevel="0" collapsed="false">
      <c r="A948" s="91" t="s">
        <v>1132</v>
      </c>
      <c r="B948" s="90" t="s">
        <v>1130</v>
      </c>
      <c r="C948" s="90" t="n">
        <v>500</v>
      </c>
      <c r="D948" s="90" t="s">
        <v>1133</v>
      </c>
    </row>
    <row r="949" customFormat="false" ht="17.6" hidden="false" customHeight="false" outlineLevel="0" collapsed="false">
      <c r="A949" s="91" t="s">
        <v>1134</v>
      </c>
      <c r="B949" s="90" t="s">
        <v>904</v>
      </c>
      <c r="C949" s="90" t="n">
        <v>500</v>
      </c>
      <c r="D949" s="90" t="s">
        <v>1135</v>
      </c>
    </row>
    <row r="950" customFormat="false" ht="17.6" hidden="false" customHeight="false" outlineLevel="0" collapsed="false">
      <c r="A950" s="91" t="s">
        <v>1136</v>
      </c>
      <c r="B950" s="90" t="s">
        <v>1137</v>
      </c>
      <c r="C950" s="90" t="n">
        <v>950</v>
      </c>
      <c r="D950" s="90" t="s">
        <v>1138</v>
      </c>
    </row>
    <row r="951" customFormat="false" ht="17.6" hidden="false" customHeight="false" outlineLevel="0" collapsed="false">
      <c r="A951" s="91" t="s">
        <v>1139</v>
      </c>
      <c r="B951" s="90" t="s">
        <v>1140</v>
      </c>
      <c r="C951" s="90" t="n">
        <v>30</v>
      </c>
    </row>
    <row r="952" customFormat="false" ht="17.6" hidden="false" customHeight="false" outlineLevel="0" collapsed="false">
      <c r="A952" s="91" t="s">
        <v>1141</v>
      </c>
      <c r="B952" s="90" t="s">
        <v>1142</v>
      </c>
      <c r="C952" s="90" t="n">
        <v>579</v>
      </c>
    </row>
    <row r="953" customFormat="false" ht="17.6" hidden="false" customHeight="false" outlineLevel="0" collapsed="false">
      <c r="A953" s="91" t="s">
        <v>1143</v>
      </c>
      <c r="B953" s="90" t="s">
        <v>904</v>
      </c>
      <c r="C953" s="90" t="n">
        <v>2000</v>
      </c>
      <c r="D953" s="90" t="s">
        <v>1144</v>
      </c>
    </row>
    <row r="954" customFormat="false" ht="17.6" hidden="false" customHeight="false" outlineLevel="0" collapsed="false">
      <c r="A954" s="91" t="s">
        <v>1145</v>
      </c>
      <c r="B954" s="90" t="s">
        <v>904</v>
      </c>
      <c r="C954" s="90" t="n">
        <v>2000</v>
      </c>
      <c r="D954" s="90" t="s">
        <v>1144</v>
      </c>
    </row>
    <row r="955" customFormat="false" ht="17.6" hidden="false" customHeight="false" outlineLevel="0" collapsed="false">
      <c r="A955" s="91" t="s">
        <v>1146</v>
      </c>
      <c r="B955" s="90" t="s">
        <v>80</v>
      </c>
      <c r="C955" s="90" t="n">
        <v>3300</v>
      </c>
      <c r="D955" s="90" t="s">
        <v>1147</v>
      </c>
    </row>
    <row r="956" customFormat="false" ht="17.6" hidden="false" customHeight="false" outlineLevel="0" collapsed="false">
      <c r="A956" s="91" t="s">
        <v>1148</v>
      </c>
      <c r="B956" s="90" t="s">
        <v>150</v>
      </c>
      <c r="C956" s="90" t="n">
        <v>4200</v>
      </c>
      <c r="D956" s="90" t="s">
        <v>1144</v>
      </c>
    </row>
    <row r="957" customFormat="false" ht="17.6" hidden="false" customHeight="false" outlineLevel="0" collapsed="false">
      <c r="A957" s="91"/>
    </row>
    <row r="958" customFormat="false" ht="17.6" hidden="false" customHeight="false" outlineLevel="0" collapsed="false">
      <c r="A958" s="91" t="s">
        <v>1149</v>
      </c>
      <c r="B958" s="90" t="s">
        <v>1150</v>
      </c>
      <c r="C958" s="90" t="n">
        <v>8</v>
      </c>
      <c r="D958" s="90" t="s">
        <v>1151</v>
      </c>
    </row>
    <row r="959" customFormat="false" ht="17.6" hidden="false" customHeight="false" outlineLevel="0" collapsed="false">
      <c r="A959" s="91" t="s">
        <v>1152</v>
      </c>
      <c r="B959" s="90" t="s">
        <v>237</v>
      </c>
      <c r="C959" s="90" t="n">
        <f aca="false">104*0.7</f>
        <v>72.8</v>
      </c>
      <c r="D959" s="90" t="s">
        <v>1153</v>
      </c>
    </row>
    <row r="960" customFormat="false" ht="17.6" hidden="false" customHeight="false" outlineLevel="0" collapsed="false">
      <c r="A960" s="91" t="s">
        <v>1154</v>
      </c>
      <c r="B960" s="90" t="s">
        <v>237</v>
      </c>
      <c r="C960" s="90" t="n">
        <f aca="false">140*0.7+15*4</f>
        <v>158</v>
      </c>
      <c r="D960" s="90" t="s">
        <v>1153</v>
      </c>
    </row>
    <row r="961" customFormat="false" ht="17.6" hidden="false" customHeight="false" outlineLevel="0" collapsed="false">
      <c r="A961" s="91"/>
    </row>
    <row r="962" customFormat="false" ht="18" hidden="false" customHeight="false" outlineLevel="0" collapsed="false">
      <c r="A962" s="91" t="s">
        <v>1155</v>
      </c>
      <c r="B962" s="90" t="s">
        <v>1156</v>
      </c>
      <c r="C962" s="90" t="n">
        <v>10</v>
      </c>
      <c r="D962" s="90" t="s">
        <v>1157</v>
      </c>
    </row>
    <row r="963" customFormat="false" ht="17.6" hidden="false" customHeight="false" outlineLevel="0" collapsed="false">
      <c r="A963" s="91" t="s">
        <v>1158</v>
      </c>
      <c r="B963" s="90" t="s">
        <v>162</v>
      </c>
      <c r="C963" s="90" t="n">
        <f aca="false">1415.51*0.5</f>
        <v>707.755</v>
      </c>
      <c r="D963" s="90" t="s">
        <v>159</v>
      </c>
    </row>
    <row r="964" customFormat="false" ht="17.6" hidden="false" customHeight="false" outlineLevel="0" collapsed="false">
      <c r="A964" s="91" t="s">
        <v>1159</v>
      </c>
      <c r="B964" s="90" t="s">
        <v>1128</v>
      </c>
      <c r="C964" s="90" t="n">
        <v>480</v>
      </c>
      <c r="D964" s="90" t="s">
        <v>1160</v>
      </c>
    </row>
    <row r="965" customFormat="false" ht="18" hidden="false" customHeight="false" outlineLevel="0" collapsed="false">
      <c r="A965" s="91" t="s">
        <v>1161</v>
      </c>
      <c r="B965" s="90" t="s">
        <v>1128</v>
      </c>
      <c r="C965" s="90" t="n">
        <v>420</v>
      </c>
      <c r="D965" s="90" t="s">
        <v>1160</v>
      </c>
    </row>
    <row r="966" customFormat="false" ht="17.6" hidden="false" customHeight="false" outlineLevel="0" collapsed="false">
      <c r="A966" s="91" t="s">
        <v>1162</v>
      </c>
      <c r="B966" s="90" t="s">
        <v>1128</v>
      </c>
      <c r="C966" s="90" t="n">
        <v>1000</v>
      </c>
      <c r="D966" s="90" t="s">
        <v>893</v>
      </c>
    </row>
    <row r="967" customFormat="false" ht="17.6" hidden="false" customHeight="false" outlineLevel="0" collapsed="false">
      <c r="A967" s="91" t="s">
        <v>1163</v>
      </c>
      <c r="B967" s="90" t="s">
        <v>1164</v>
      </c>
      <c r="C967" s="90" t="n">
        <v>65</v>
      </c>
      <c r="D967" s="90" t="s">
        <v>1165</v>
      </c>
    </row>
    <row r="968" customFormat="false" ht="17.6" hidden="false" customHeight="false" outlineLevel="0" collapsed="false">
      <c r="A968" s="91" t="s">
        <v>1166</v>
      </c>
      <c r="B968" s="90" t="s">
        <v>1164</v>
      </c>
      <c r="C968" s="90" t="n">
        <v>75</v>
      </c>
      <c r="D968" s="90" t="s">
        <v>1165</v>
      </c>
    </row>
    <row r="969" customFormat="false" ht="17.6" hidden="false" customHeight="false" outlineLevel="0" collapsed="false">
      <c r="A969" s="91" t="s">
        <v>1167</v>
      </c>
      <c r="B969" s="90" t="s">
        <v>1164</v>
      </c>
      <c r="C969" s="90" t="n">
        <v>85</v>
      </c>
      <c r="D969" s="90" t="s">
        <v>1165</v>
      </c>
    </row>
    <row r="970" customFormat="false" ht="17.6" hidden="false" customHeight="false" outlineLevel="0" collapsed="false">
      <c r="A970" s="91" t="s">
        <v>1168</v>
      </c>
      <c r="B970" s="90" t="s">
        <v>1169</v>
      </c>
      <c r="C970" s="90" t="n">
        <v>45</v>
      </c>
      <c r="D970" s="90" t="s">
        <v>1170</v>
      </c>
    </row>
    <row r="971" customFormat="false" ht="17.6" hidden="false" customHeight="false" outlineLevel="0" collapsed="false">
      <c r="A971" s="91" t="s">
        <v>1171</v>
      </c>
      <c r="B971" s="90" t="s">
        <v>1169</v>
      </c>
      <c r="C971" s="90" t="n">
        <v>82</v>
      </c>
      <c r="D971" s="90" t="s">
        <v>1170</v>
      </c>
    </row>
    <row r="972" customFormat="false" ht="17.6" hidden="false" customHeight="false" outlineLevel="0" collapsed="false">
      <c r="A972" s="91" t="s">
        <v>1172</v>
      </c>
      <c r="B972" s="90" t="s">
        <v>1169</v>
      </c>
      <c r="C972" s="90" t="n">
        <v>52</v>
      </c>
      <c r="D972" s="90" t="s">
        <v>1170</v>
      </c>
    </row>
    <row r="973" customFormat="false" ht="17.6" hidden="false" customHeight="false" outlineLevel="0" collapsed="false">
      <c r="A973" s="91" t="s">
        <v>1173</v>
      </c>
      <c r="B973" s="90" t="s">
        <v>1169</v>
      </c>
      <c r="C973" s="90" t="n">
        <v>43</v>
      </c>
      <c r="D973" s="90" t="s">
        <v>1170</v>
      </c>
    </row>
    <row r="974" customFormat="false" ht="17.6" hidden="false" customHeight="false" outlineLevel="0" collapsed="false">
      <c r="A974" s="91" t="s">
        <v>1174</v>
      </c>
      <c r="B974" s="90" t="s">
        <v>1169</v>
      </c>
      <c r="C974" s="90" t="n">
        <v>85</v>
      </c>
      <c r="D974" s="90" t="s">
        <v>1170</v>
      </c>
    </row>
    <row r="975" customFormat="false" ht="17.6" hidden="false" customHeight="false" outlineLevel="0" collapsed="false">
      <c r="A975" s="91" t="s">
        <v>1175</v>
      </c>
      <c r="B975" s="90" t="s">
        <v>1169</v>
      </c>
      <c r="C975" s="90" t="n">
        <v>43</v>
      </c>
      <c r="D975" s="90" t="s">
        <v>1170</v>
      </c>
    </row>
    <row r="976" customFormat="false" ht="17.6" hidden="false" customHeight="false" outlineLevel="0" collapsed="false">
      <c r="A976" s="91" t="s">
        <v>1176</v>
      </c>
      <c r="B976" s="90" t="s">
        <v>1177</v>
      </c>
      <c r="C976" s="90" t="n">
        <v>19</v>
      </c>
    </row>
    <row r="977" customFormat="false" ht="17.6" hidden="false" customHeight="false" outlineLevel="0" collapsed="false">
      <c r="A977" s="91" t="s">
        <v>1178</v>
      </c>
      <c r="B977" s="90" t="s">
        <v>1179</v>
      </c>
      <c r="C977" s="90" t="n">
        <v>500</v>
      </c>
      <c r="D977" s="90" t="s">
        <v>1121</v>
      </c>
    </row>
    <row r="978" customFormat="false" ht="17.6" hidden="false" customHeight="false" outlineLevel="0" collapsed="false">
      <c r="A978" s="91" t="s">
        <v>1180</v>
      </c>
      <c r="B978" s="90" t="s">
        <v>1181</v>
      </c>
      <c r="C978" s="90" t="n">
        <v>8300</v>
      </c>
      <c r="D978" s="90" t="s">
        <v>1182</v>
      </c>
    </row>
    <row r="979" customFormat="false" ht="17.6" hidden="false" customHeight="false" outlineLevel="0" collapsed="false">
      <c r="A979" s="91" t="s">
        <v>1183</v>
      </c>
      <c r="B979" s="90" t="s">
        <v>873</v>
      </c>
      <c r="C979" s="90" t="n">
        <f aca="false">2170*0.9</f>
        <v>1953</v>
      </c>
      <c r="D979" s="90" t="s">
        <v>1184</v>
      </c>
    </row>
    <row r="980" customFormat="false" ht="17.6" hidden="false" customHeight="false" outlineLevel="0" collapsed="false">
      <c r="A980" s="91" t="s">
        <v>1185</v>
      </c>
      <c r="B980" s="90" t="s">
        <v>873</v>
      </c>
      <c r="C980" s="90" t="n">
        <f aca="false">1350*0.9</f>
        <v>1215</v>
      </c>
      <c r="D980" s="90" t="s">
        <v>1184</v>
      </c>
    </row>
    <row r="981" customFormat="false" ht="17.6" hidden="false" customHeight="false" outlineLevel="0" collapsed="false">
      <c r="A981" s="91" t="s">
        <v>1186</v>
      </c>
      <c r="B981" s="90" t="s">
        <v>873</v>
      </c>
      <c r="C981" s="90" t="n">
        <v>610</v>
      </c>
      <c r="D981" s="90" t="s">
        <v>1184</v>
      </c>
    </row>
    <row r="982" customFormat="false" ht="18" hidden="false" customHeight="false" outlineLevel="0" collapsed="false">
      <c r="A982" s="91" t="s">
        <v>1187</v>
      </c>
      <c r="B982" s="90" t="s">
        <v>1164</v>
      </c>
      <c r="C982" s="90" t="n">
        <v>23</v>
      </c>
      <c r="D982" s="90" t="s">
        <v>1165</v>
      </c>
    </row>
    <row r="983" customFormat="false" ht="17.6" hidden="false" customHeight="false" outlineLevel="0" collapsed="false">
      <c r="A983" s="91" t="s">
        <v>1188</v>
      </c>
      <c r="B983" s="90" t="s">
        <v>1164</v>
      </c>
      <c r="C983" s="90" t="n">
        <v>70</v>
      </c>
      <c r="D983" s="90" t="s">
        <v>1165</v>
      </c>
    </row>
    <row r="984" customFormat="false" ht="18" hidden="false" customHeight="false" outlineLevel="0" collapsed="false">
      <c r="A984" s="91" t="s">
        <v>1189</v>
      </c>
      <c r="B984" s="90" t="s">
        <v>1164</v>
      </c>
      <c r="C984" s="90" t="n">
        <v>70</v>
      </c>
      <c r="D984" s="90" t="s">
        <v>1165</v>
      </c>
    </row>
    <row r="985" customFormat="false" ht="17.6" hidden="false" customHeight="false" outlineLevel="0" collapsed="false">
      <c r="A985" s="91" t="s">
        <v>1190</v>
      </c>
      <c r="B985" s="90" t="s">
        <v>1164</v>
      </c>
      <c r="C985" s="90" t="n">
        <v>95</v>
      </c>
      <c r="D985" s="90" t="s">
        <v>1165</v>
      </c>
    </row>
    <row r="986" customFormat="false" ht="18" hidden="false" customHeight="false" outlineLevel="0" collapsed="false">
      <c r="A986" s="91" t="s">
        <v>1191</v>
      </c>
      <c r="B986" s="90" t="s">
        <v>1164</v>
      </c>
      <c r="C986" s="90" t="n">
        <v>23</v>
      </c>
      <c r="D986" s="90" t="s">
        <v>1165</v>
      </c>
    </row>
    <row r="987" customFormat="false" ht="17.6" hidden="false" customHeight="false" outlineLevel="0" collapsed="false">
      <c r="A987" s="91" t="s">
        <v>1192</v>
      </c>
      <c r="B987" s="90" t="s">
        <v>1164</v>
      </c>
      <c r="C987" s="90" t="n">
        <v>120</v>
      </c>
      <c r="D987" s="90" t="s">
        <v>1165</v>
      </c>
    </row>
    <row r="988" customFormat="false" ht="17.6" hidden="false" customHeight="false" outlineLevel="0" collapsed="false">
      <c r="A988" s="91" t="s">
        <v>1193</v>
      </c>
      <c r="B988" s="90" t="s">
        <v>1164</v>
      </c>
      <c r="C988" s="90" t="n">
        <v>150</v>
      </c>
      <c r="D988" s="90" t="s">
        <v>1165</v>
      </c>
    </row>
    <row r="989" customFormat="false" ht="17.6" hidden="false" customHeight="false" outlineLevel="0" collapsed="false">
      <c r="A989" s="91" t="s">
        <v>1194</v>
      </c>
      <c r="B989" s="90" t="s">
        <v>1164</v>
      </c>
      <c r="C989" s="90" t="n">
        <v>23</v>
      </c>
      <c r="D989" s="90" t="s">
        <v>1165</v>
      </c>
    </row>
    <row r="990" customFormat="false" ht="17.6" hidden="false" customHeight="false" outlineLevel="0" collapsed="false">
      <c r="A990" s="91" t="s">
        <v>1195</v>
      </c>
      <c r="B990" s="90" t="s">
        <v>1164</v>
      </c>
      <c r="C990" s="90" t="n">
        <v>150</v>
      </c>
      <c r="D990" s="90" t="s">
        <v>1165</v>
      </c>
    </row>
    <row r="991" customFormat="false" ht="18" hidden="false" customHeight="false" outlineLevel="0" collapsed="false">
      <c r="A991" s="91" t="s">
        <v>1196</v>
      </c>
      <c r="B991" s="90" t="s">
        <v>1164</v>
      </c>
      <c r="C991" s="90" t="n">
        <v>28</v>
      </c>
      <c r="D991" s="90" t="s">
        <v>1165</v>
      </c>
    </row>
    <row r="992" customFormat="false" ht="18" hidden="false" customHeight="false" outlineLevel="0" collapsed="false">
      <c r="A992" s="91" t="s">
        <v>1197</v>
      </c>
      <c r="B992" s="90" t="s">
        <v>1164</v>
      </c>
      <c r="C992" s="90" t="n">
        <v>32</v>
      </c>
      <c r="D992" s="90" t="s">
        <v>1165</v>
      </c>
    </row>
    <row r="993" customFormat="false" ht="17.6" hidden="false" customHeight="false" outlineLevel="0" collapsed="false">
      <c r="A993" s="91" t="s">
        <v>1198</v>
      </c>
      <c r="B993" s="90" t="s">
        <v>1164</v>
      </c>
      <c r="C993" s="90" t="n">
        <v>32</v>
      </c>
      <c r="D993" s="90" t="s">
        <v>1165</v>
      </c>
    </row>
    <row r="994" customFormat="false" ht="17.6" hidden="false" customHeight="false" outlineLevel="0" collapsed="false">
      <c r="A994" s="91" t="s">
        <v>1199</v>
      </c>
      <c r="B994" s="90" t="s">
        <v>1164</v>
      </c>
      <c r="C994" s="90" t="n">
        <v>1200</v>
      </c>
      <c r="D994" s="90" t="s">
        <v>1121</v>
      </c>
    </row>
    <row r="995" customFormat="false" ht="17.6" hidden="false" customHeight="false" outlineLevel="0" collapsed="false">
      <c r="A995" s="91" t="s">
        <v>1200</v>
      </c>
      <c r="B995" s="90" t="s">
        <v>1164</v>
      </c>
      <c r="C995" s="90" t="n">
        <v>900</v>
      </c>
      <c r="D995" s="90" t="s">
        <v>1121</v>
      </c>
    </row>
    <row r="996" customFormat="false" ht="17.6" hidden="false" customHeight="false" outlineLevel="0" collapsed="false">
      <c r="A996" s="91" t="s">
        <v>1201</v>
      </c>
      <c r="B996" s="90" t="s">
        <v>1164</v>
      </c>
      <c r="C996" s="90" t="n">
        <v>1200</v>
      </c>
      <c r="D996" s="90" t="s">
        <v>1121</v>
      </c>
    </row>
    <row r="997" customFormat="false" ht="17.6" hidden="false" customHeight="false" outlineLevel="0" collapsed="false">
      <c r="A997" s="91" t="s">
        <v>1202</v>
      </c>
      <c r="B997" s="90" t="s">
        <v>1164</v>
      </c>
      <c r="C997" s="90" t="n">
        <v>900</v>
      </c>
      <c r="D997" s="90" t="s">
        <v>1121</v>
      </c>
    </row>
    <row r="998" customFormat="false" ht="17.6" hidden="false" customHeight="false" outlineLevel="0" collapsed="false">
      <c r="A998" s="91" t="s">
        <v>1203</v>
      </c>
      <c r="B998" s="90" t="s">
        <v>1164</v>
      </c>
      <c r="C998" s="90" t="n">
        <v>900</v>
      </c>
      <c r="D998" s="90" t="s">
        <v>1121</v>
      </c>
    </row>
    <row r="999" customFormat="false" ht="17.6" hidden="false" customHeight="false" outlineLevel="0" collapsed="false">
      <c r="A999" s="91" t="s">
        <v>1204</v>
      </c>
      <c r="B999" s="90" t="s">
        <v>237</v>
      </c>
      <c r="C999" s="90" t="n">
        <v>25</v>
      </c>
      <c r="D999" s="90" t="s">
        <v>1205</v>
      </c>
    </row>
    <row r="1000" customFormat="false" ht="17.6" hidden="false" customHeight="false" outlineLevel="0" collapsed="false">
      <c r="A1000" s="91"/>
    </row>
    <row r="1001" customFormat="false" ht="17.6" hidden="false" customHeight="false" outlineLevel="0" collapsed="false">
      <c r="A1001" s="91" t="s">
        <v>1206</v>
      </c>
      <c r="B1001" s="90" t="s">
        <v>40</v>
      </c>
      <c r="C1001" s="90" t="n">
        <f aca="false">(3301+150.7+180.4*2+540.1)*0.67</f>
        <v>2916.242</v>
      </c>
      <c r="D1001" s="90" t="s">
        <v>946</v>
      </c>
    </row>
    <row r="1002" customFormat="false" ht="17.6" hidden="false" customHeight="false" outlineLevel="0" collapsed="false">
      <c r="A1002" s="91" t="s">
        <v>1207</v>
      </c>
      <c r="B1002" s="90" t="s">
        <v>49</v>
      </c>
      <c r="C1002" s="90" t="n">
        <f aca="false">(35975+2889/3)*0.6</f>
        <v>22162.8</v>
      </c>
      <c r="D1002" s="90" t="s">
        <v>946</v>
      </c>
    </row>
    <row r="1003" customFormat="false" ht="17.6" hidden="false" customHeight="false" outlineLevel="0" collapsed="false">
      <c r="A1003" s="91" t="s">
        <v>1208</v>
      </c>
      <c r="B1003" s="90" t="s">
        <v>49</v>
      </c>
      <c r="C1003" s="90" t="n">
        <v>22827.75</v>
      </c>
      <c r="D1003" s="90" t="s">
        <v>199</v>
      </c>
      <c r="F1003" s="95" t="s">
        <v>1208</v>
      </c>
    </row>
    <row r="1004" customFormat="false" ht="17.6" hidden="false" customHeight="false" outlineLevel="0" collapsed="false">
      <c r="A1004" s="91" t="s">
        <v>1209</v>
      </c>
      <c r="B1004" s="90" t="s">
        <v>49</v>
      </c>
      <c r="C1004" s="90" t="n">
        <v>29448.1</v>
      </c>
      <c r="D1004" s="90" t="s">
        <v>199</v>
      </c>
      <c r="F1004" s="95" t="s">
        <v>1209</v>
      </c>
    </row>
    <row r="1005" customFormat="false" ht="71" hidden="false" customHeight="false" outlineLevel="0" collapsed="false">
      <c r="A1005" s="91" t="s">
        <v>1210</v>
      </c>
      <c r="B1005" s="90" t="s">
        <v>49</v>
      </c>
      <c r="C1005" s="90" t="n">
        <f aca="false">61049.45+641.9+815.5</f>
        <v>62506.85</v>
      </c>
      <c r="D1005" s="90" t="s">
        <v>199</v>
      </c>
      <c r="F1005" s="98" t="s">
        <v>1211</v>
      </c>
    </row>
    <row r="1006" customFormat="false" ht="17.6" hidden="false" customHeight="false" outlineLevel="0" collapsed="false">
      <c r="A1006" s="91" t="s">
        <v>1212</v>
      </c>
      <c r="B1006" s="90" t="s">
        <v>49</v>
      </c>
      <c r="C1006" s="90" t="n">
        <v>27412</v>
      </c>
      <c r="D1006" s="90" t="s">
        <v>199</v>
      </c>
    </row>
    <row r="1007" customFormat="false" ht="17.6" hidden="false" customHeight="false" outlineLevel="0" collapsed="false">
      <c r="A1007" s="91" t="s">
        <v>1213</v>
      </c>
      <c r="B1007" s="90" t="s">
        <v>49</v>
      </c>
      <c r="C1007" s="90" t="n">
        <v>49863.55</v>
      </c>
      <c r="D1007" s="90" t="s">
        <v>199</v>
      </c>
    </row>
    <row r="1008" customFormat="false" ht="17.6" hidden="false" customHeight="false" outlineLevel="0" collapsed="false">
      <c r="A1008" s="91" t="s">
        <v>1214</v>
      </c>
      <c r="B1008" s="90" t="s">
        <v>49</v>
      </c>
      <c r="C1008" s="90" t="n">
        <f aca="false">29955.52+897.4+706.3/3</f>
        <v>31088.3533333333</v>
      </c>
      <c r="D1008" s="90" t="s">
        <v>199</v>
      </c>
    </row>
    <row r="1009" customFormat="false" ht="17.6" hidden="false" customHeight="false" outlineLevel="0" collapsed="false">
      <c r="A1009" s="91" t="s">
        <v>1215</v>
      </c>
      <c r="B1009" s="90" t="s">
        <v>49</v>
      </c>
      <c r="C1009" s="90" t="n">
        <f aca="false">33117.28+897.4+706.3/3</f>
        <v>34250.1133333333</v>
      </c>
      <c r="D1009" s="90" t="s">
        <v>199</v>
      </c>
    </row>
    <row r="1010" customFormat="false" ht="17.6" hidden="false" customHeight="false" outlineLevel="0" collapsed="false">
      <c r="A1010" s="91" t="s">
        <v>1216</v>
      </c>
      <c r="B1010" s="90" t="s">
        <v>49</v>
      </c>
      <c r="C1010" s="90" t="n">
        <f aca="false">48424*0.54</f>
        <v>26148.96</v>
      </c>
      <c r="D1010" s="90" t="s">
        <v>159</v>
      </c>
    </row>
    <row r="1011" customFormat="false" ht="17.6" hidden="false" customHeight="false" outlineLevel="0" collapsed="false">
      <c r="A1011" s="91" t="s">
        <v>1217</v>
      </c>
      <c r="B1011" s="90" t="s">
        <v>49</v>
      </c>
      <c r="C1011" s="90" t="n">
        <f aca="false">51160*0.54</f>
        <v>27626.4</v>
      </c>
      <c r="D1011" s="90" t="s">
        <v>159</v>
      </c>
    </row>
    <row r="1012" customFormat="false" ht="17.6" hidden="false" customHeight="false" outlineLevel="0" collapsed="false">
      <c r="A1012" s="91" t="s">
        <v>1218</v>
      </c>
      <c r="B1012" s="90" t="s">
        <v>49</v>
      </c>
      <c r="C1012" s="90" t="n">
        <f aca="false">51452*0.54</f>
        <v>27784.08</v>
      </c>
      <c r="D1012" s="90" t="s">
        <v>159</v>
      </c>
    </row>
    <row r="1013" customFormat="false" ht="17.6" hidden="false" customHeight="false" outlineLevel="0" collapsed="false">
      <c r="A1013" s="91" t="s">
        <v>1219</v>
      </c>
      <c r="B1013" s="90" t="s">
        <v>49</v>
      </c>
      <c r="C1013" s="90" t="n">
        <f aca="false">(55339+1373)*0.54</f>
        <v>30624.48</v>
      </c>
      <c r="D1013" s="90" t="s">
        <v>159</v>
      </c>
    </row>
    <row r="1014" customFormat="false" ht="17.6" hidden="false" customHeight="false" outlineLevel="0" collapsed="false">
      <c r="A1014" s="91" t="s">
        <v>1220</v>
      </c>
      <c r="B1014" s="90" t="s">
        <v>49</v>
      </c>
      <c r="C1014" s="90" t="n">
        <f aca="false">53578*0.54</f>
        <v>28932.12</v>
      </c>
      <c r="D1014" s="90" t="s">
        <v>159</v>
      </c>
    </row>
    <row r="1015" customFormat="false" ht="17.6" hidden="false" customHeight="false" outlineLevel="0" collapsed="false">
      <c r="A1015" s="91" t="s">
        <v>1221</v>
      </c>
      <c r="B1015" s="90" t="s">
        <v>49</v>
      </c>
      <c r="C1015" s="90" t="n">
        <v>36363</v>
      </c>
      <c r="D1015" s="90" t="s">
        <v>159</v>
      </c>
    </row>
    <row r="1016" customFormat="false" ht="17.6" hidden="false" customHeight="false" outlineLevel="0" collapsed="false">
      <c r="A1016" s="91" t="s">
        <v>1222</v>
      </c>
      <c r="B1016" s="90" t="s">
        <v>49</v>
      </c>
      <c r="C1016" s="90" t="n">
        <f aca="false">80907*0.54</f>
        <v>43689.78</v>
      </c>
      <c r="D1016" s="90" t="s">
        <v>159</v>
      </c>
    </row>
    <row r="1017" customFormat="false" ht="17.6" hidden="false" customHeight="false" outlineLevel="0" collapsed="false">
      <c r="A1017" s="91" t="s">
        <v>1223</v>
      </c>
      <c r="B1017" s="90" t="s">
        <v>49</v>
      </c>
      <c r="C1017" s="90" t="n">
        <f aca="false">(64409+1373)*0.54</f>
        <v>35522.28</v>
      </c>
      <c r="D1017" s="90" t="s">
        <v>159</v>
      </c>
    </row>
    <row r="1018" customFormat="false" ht="18" hidden="false" customHeight="false" outlineLevel="0" collapsed="false">
      <c r="A1018" s="91" t="s">
        <v>1224</v>
      </c>
      <c r="B1018" s="90" t="s">
        <v>49</v>
      </c>
      <c r="C1018" s="90" t="n">
        <f aca="false">69855*0.54</f>
        <v>37721.7</v>
      </c>
      <c r="D1018" s="90" t="s">
        <v>159</v>
      </c>
    </row>
    <row r="1019" customFormat="false" ht="17.6" hidden="false" customHeight="false" outlineLevel="0" collapsed="false">
      <c r="A1019" s="91" t="s">
        <v>1225</v>
      </c>
      <c r="B1019" s="90" t="s">
        <v>49</v>
      </c>
      <c r="C1019" s="90" t="n">
        <f aca="false">(90825+1373)*0.54</f>
        <v>49786.92</v>
      </c>
      <c r="D1019" s="90" t="s">
        <v>159</v>
      </c>
    </row>
    <row r="1020" customFormat="false" ht="17.6" hidden="false" customHeight="false" outlineLevel="0" collapsed="false">
      <c r="A1020" s="91" t="s">
        <v>1226</v>
      </c>
      <c r="B1020" s="90" t="s">
        <v>49</v>
      </c>
      <c r="C1020" s="90" t="n">
        <f aca="false">139641*0.54</f>
        <v>75406.14</v>
      </c>
      <c r="D1020" s="90" t="s">
        <v>159</v>
      </c>
    </row>
    <row r="1021" customFormat="false" ht="17.6" hidden="false" customHeight="false" outlineLevel="0" collapsed="false">
      <c r="A1021" s="91" t="s">
        <v>1227</v>
      </c>
      <c r="B1021" s="90" t="s">
        <v>49</v>
      </c>
      <c r="C1021" s="90" t="n">
        <f aca="false">(44476+1248)*0.58</f>
        <v>26519.92</v>
      </c>
      <c r="D1021" s="90" t="s">
        <v>159</v>
      </c>
    </row>
    <row r="1022" customFormat="false" ht="17.6" hidden="false" customHeight="false" outlineLevel="0" collapsed="false">
      <c r="A1022" s="91" t="s">
        <v>1228</v>
      </c>
      <c r="B1022" s="90" t="s">
        <v>49</v>
      </c>
      <c r="C1022" s="90" t="n">
        <f aca="false">(49780+1248)*0.58</f>
        <v>29596.24</v>
      </c>
      <c r="D1022" s="90" t="s">
        <v>159</v>
      </c>
    </row>
    <row r="1023" customFormat="false" ht="17.6" hidden="false" customHeight="false" outlineLevel="0" collapsed="false">
      <c r="A1023" s="91" t="s">
        <v>1229</v>
      </c>
      <c r="B1023" s="90" t="s">
        <v>49</v>
      </c>
      <c r="C1023" s="90" t="n">
        <f aca="false">(62337+1248)*0.58</f>
        <v>36879.3</v>
      </c>
      <c r="D1023" s="90" t="s">
        <v>159</v>
      </c>
    </row>
    <row r="1024" customFormat="false" ht="17.6" hidden="false" customHeight="false" outlineLevel="0" collapsed="false">
      <c r="A1024" s="91" t="s">
        <v>1230</v>
      </c>
      <c r="B1024" s="90" t="s">
        <v>49</v>
      </c>
      <c r="C1024" s="90" t="n">
        <f aca="false">(78215+1248)*0.58</f>
        <v>46088.54</v>
      </c>
      <c r="D1024" s="90" t="s">
        <v>159</v>
      </c>
    </row>
    <row r="1025" customFormat="false" ht="17.6" hidden="false" customHeight="false" outlineLevel="0" collapsed="false">
      <c r="A1025" s="91" t="s">
        <v>1231</v>
      </c>
      <c r="B1025" s="90" t="s">
        <v>943</v>
      </c>
      <c r="C1025" s="90" t="n">
        <v>24</v>
      </c>
      <c r="D1025" s="90" t="s">
        <v>1232</v>
      </c>
    </row>
    <row r="1026" customFormat="false" ht="17.6" hidden="false" customHeight="false" outlineLevel="0" collapsed="false">
      <c r="A1026" s="91" t="s">
        <v>1233</v>
      </c>
      <c r="B1026" s="90" t="s">
        <v>904</v>
      </c>
      <c r="C1026" s="90" t="n">
        <v>5450</v>
      </c>
      <c r="D1026" s="90" t="s">
        <v>136</v>
      </c>
    </row>
    <row r="1027" customFormat="false" ht="17.6" hidden="false" customHeight="false" outlineLevel="0" collapsed="false">
      <c r="A1027" s="91" t="s">
        <v>1234</v>
      </c>
      <c r="B1027" s="90" t="s">
        <v>145</v>
      </c>
      <c r="C1027" s="90" t="n">
        <f aca="false">1100*0.55</f>
        <v>605</v>
      </c>
      <c r="D1027" s="90" t="s">
        <v>1235</v>
      </c>
    </row>
    <row r="1028" customFormat="false" ht="17.6" hidden="false" customHeight="false" outlineLevel="0" collapsed="false">
      <c r="A1028" s="91" t="s">
        <v>1236</v>
      </c>
      <c r="B1028" s="90" t="s">
        <v>148</v>
      </c>
      <c r="C1028" s="90" t="n">
        <f aca="false">2320*0.55</f>
        <v>1276</v>
      </c>
      <c r="D1028" s="90" t="s">
        <v>1235</v>
      </c>
      <c r="F1028" s="99"/>
    </row>
    <row r="1029" customFormat="false" ht="17.6" hidden="false" customHeight="false" outlineLevel="0" collapsed="false">
      <c r="A1029" s="91" t="s">
        <v>1237</v>
      </c>
      <c r="B1029" s="90" t="s">
        <v>148</v>
      </c>
      <c r="C1029" s="90" t="n">
        <f aca="false">2580*0.55</f>
        <v>1419</v>
      </c>
      <c r="D1029" s="90" t="s">
        <v>1235</v>
      </c>
    </row>
    <row r="1030" customFormat="false" ht="17.6" hidden="false" customHeight="false" outlineLevel="0" collapsed="false">
      <c r="A1030" s="91" t="s">
        <v>1238</v>
      </c>
      <c r="B1030" s="90" t="s">
        <v>984</v>
      </c>
      <c r="C1030" s="90" t="n">
        <v>1400</v>
      </c>
      <c r="D1030" s="90" t="s">
        <v>1239</v>
      </c>
    </row>
    <row r="1031" customFormat="false" ht="17.6" hidden="false" customHeight="false" outlineLevel="0" collapsed="false">
      <c r="A1031" s="91" t="s">
        <v>1240</v>
      </c>
      <c r="B1031" s="90" t="s">
        <v>237</v>
      </c>
      <c r="C1031" s="90" t="n">
        <f aca="false">23.6*0.7</f>
        <v>16.52</v>
      </c>
      <c r="D1031" s="90" t="s">
        <v>1241</v>
      </c>
    </row>
    <row r="1032" customFormat="false" ht="17.6" hidden="false" customHeight="false" outlineLevel="0" collapsed="false">
      <c r="A1032" s="91" t="s">
        <v>1242</v>
      </c>
      <c r="B1032" s="90" t="s">
        <v>49</v>
      </c>
      <c r="C1032" s="98" t="n">
        <f aca="false">13525.2*0.7+500+100+100+100</f>
        <v>10267.64</v>
      </c>
      <c r="D1032" s="90" t="s">
        <v>1241</v>
      </c>
    </row>
    <row r="1033" customFormat="false" ht="17.6" hidden="false" customHeight="false" outlineLevel="0" collapsed="false">
      <c r="A1033" s="91" t="s">
        <v>1243</v>
      </c>
      <c r="B1033" s="90" t="s">
        <v>49</v>
      </c>
      <c r="C1033" s="98" t="n">
        <f aca="false">24347.4*0.7+500+300+100+100+150</f>
        <v>18193.18</v>
      </c>
      <c r="D1033" s="90" t="s">
        <v>1241</v>
      </c>
    </row>
    <row r="1034" customFormat="false" ht="17.6" hidden="false" customHeight="false" outlineLevel="0" collapsed="false">
      <c r="A1034" s="91" t="s">
        <v>1244</v>
      </c>
      <c r="B1034" s="90" t="s">
        <v>49</v>
      </c>
      <c r="C1034" s="98" t="n">
        <f aca="false">23001*0.7+500+300+100+100+150</f>
        <v>17250.7</v>
      </c>
      <c r="D1034" s="90" t="s">
        <v>1241</v>
      </c>
    </row>
    <row r="1035" customFormat="false" ht="17.6" hidden="false" customHeight="false" outlineLevel="0" collapsed="false">
      <c r="A1035" s="91" t="s">
        <v>1245</v>
      </c>
      <c r="B1035" s="90" t="s">
        <v>49</v>
      </c>
      <c r="C1035" s="98" t="n">
        <f aca="false">29763.6*0.7+500+300+100+100+150</f>
        <v>21984.52</v>
      </c>
      <c r="D1035" s="90" t="s">
        <v>1241</v>
      </c>
    </row>
    <row r="1036" customFormat="false" ht="17.6" hidden="false" customHeight="false" outlineLevel="0" collapsed="false">
      <c r="A1036" s="91" t="s">
        <v>1246</v>
      </c>
      <c r="B1036" s="90" t="s">
        <v>230</v>
      </c>
      <c r="C1036" s="90" t="n">
        <v>7200</v>
      </c>
      <c r="D1036" s="90" t="s">
        <v>1247</v>
      </c>
    </row>
    <row r="1037" customFormat="false" ht="17.6" hidden="false" customHeight="false" outlineLevel="0" collapsed="false">
      <c r="A1037" s="91" t="s">
        <v>1248</v>
      </c>
      <c r="B1037" s="90" t="s">
        <v>230</v>
      </c>
      <c r="C1037" s="90" t="n">
        <v>7200</v>
      </c>
      <c r="D1037" s="90" t="s">
        <v>1247</v>
      </c>
    </row>
    <row r="1038" customFormat="false" ht="17.6" hidden="false" customHeight="false" outlineLevel="0" collapsed="false">
      <c r="A1038" s="91" t="s">
        <v>1249</v>
      </c>
      <c r="B1038" s="90" t="s">
        <v>40</v>
      </c>
      <c r="C1038" s="90" t="n">
        <f aca="false">ROUND(280*0.55,)</f>
        <v>154</v>
      </c>
      <c r="D1038" s="90" t="s">
        <v>1024</v>
      </c>
    </row>
    <row r="1039" customFormat="false" ht="17.6" hidden="false" customHeight="false" outlineLevel="0" collapsed="false">
      <c r="A1039" s="91" t="s">
        <v>1250</v>
      </c>
      <c r="B1039" s="90" t="s">
        <v>40</v>
      </c>
      <c r="C1039" s="90" t="n">
        <f aca="false">ROUND(280*0.55+32,)</f>
        <v>186</v>
      </c>
      <c r="D1039" s="90" t="s">
        <v>1024</v>
      </c>
    </row>
    <row r="1040" customFormat="false" ht="17.6" hidden="false" customHeight="false" outlineLevel="0" collapsed="false">
      <c r="A1040" s="91" t="s">
        <v>1251</v>
      </c>
      <c r="B1040" s="90" t="s">
        <v>40</v>
      </c>
      <c r="C1040" s="90" t="n">
        <f aca="false">ROUND(400*0.55,)</f>
        <v>220</v>
      </c>
      <c r="D1040" s="90" t="s">
        <v>1024</v>
      </c>
    </row>
    <row r="1041" customFormat="false" ht="17.6" hidden="false" customHeight="false" outlineLevel="0" collapsed="false">
      <c r="A1041" s="91" t="s">
        <v>1252</v>
      </c>
      <c r="B1041" s="90" t="s">
        <v>40</v>
      </c>
      <c r="C1041" s="90" t="n">
        <f aca="false">ROUND(550*0.55,)</f>
        <v>303</v>
      </c>
      <c r="D1041" s="90" t="s">
        <v>1024</v>
      </c>
    </row>
    <row r="1042" customFormat="false" ht="17.6" hidden="false" customHeight="false" outlineLevel="0" collapsed="false">
      <c r="A1042" s="91" t="s">
        <v>1253</v>
      </c>
      <c r="B1042" s="90" t="s">
        <v>40</v>
      </c>
      <c r="C1042" s="90" t="n">
        <f aca="false">ROUND(550*0.55+36,)</f>
        <v>339</v>
      </c>
      <c r="D1042" s="90" t="s">
        <v>1024</v>
      </c>
    </row>
    <row r="1043" customFormat="false" ht="17.6" hidden="false" customHeight="false" outlineLevel="0" collapsed="false">
      <c r="A1043" s="91" t="s">
        <v>1254</v>
      </c>
      <c r="B1043" s="90" t="s">
        <v>40</v>
      </c>
      <c r="C1043" s="90" t="n">
        <f aca="false">ROUND(750*0.55,)</f>
        <v>413</v>
      </c>
      <c r="D1043" s="90" t="s">
        <v>1024</v>
      </c>
    </row>
    <row r="1044" customFormat="false" ht="17.6" hidden="false" customHeight="false" outlineLevel="0" collapsed="false">
      <c r="A1044" s="91" t="s">
        <v>1255</v>
      </c>
      <c r="B1044" s="90" t="s">
        <v>40</v>
      </c>
      <c r="C1044" s="90" t="n">
        <f aca="false">ROUND(950*0.55,)</f>
        <v>523</v>
      </c>
      <c r="D1044" s="90" t="s">
        <v>1024</v>
      </c>
    </row>
    <row r="1045" customFormat="false" ht="17.6" hidden="false" customHeight="false" outlineLevel="0" collapsed="false">
      <c r="A1045" s="91" t="s">
        <v>1256</v>
      </c>
      <c r="B1045" s="90" t="s">
        <v>40</v>
      </c>
      <c r="C1045" s="90" t="n">
        <f aca="false">ROUND(950*0.55+50,)</f>
        <v>573</v>
      </c>
      <c r="D1045" s="90" t="s">
        <v>1024</v>
      </c>
    </row>
    <row r="1046" customFormat="false" ht="17.6" hidden="false" customHeight="false" outlineLevel="0" collapsed="false">
      <c r="A1046" s="91" t="s">
        <v>1257</v>
      </c>
      <c r="B1046" s="90" t="s">
        <v>40</v>
      </c>
      <c r="C1046" s="90" t="n">
        <f aca="false">ROUND(1300*0.55,)</f>
        <v>715</v>
      </c>
      <c r="D1046" s="90" t="s">
        <v>1024</v>
      </c>
    </row>
    <row r="1047" customFormat="false" ht="17.6" hidden="false" customHeight="false" outlineLevel="0" collapsed="false">
      <c r="A1047" s="91" t="s">
        <v>1258</v>
      </c>
      <c r="B1047" s="90" t="s">
        <v>40</v>
      </c>
      <c r="C1047" s="90" t="n">
        <f aca="false">ROUND(1300*0.55+50,)</f>
        <v>765</v>
      </c>
      <c r="D1047" s="90" t="s">
        <v>1024</v>
      </c>
    </row>
    <row r="1048" customFormat="false" ht="17.6" hidden="false" customHeight="false" outlineLevel="0" collapsed="false">
      <c r="A1048" s="91" t="s">
        <v>1259</v>
      </c>
      <c r="B1048" s="90" t="s">
        <v>40</v>
      </c>
      <c r="C1048" s="90" t="n">
        <f aca="false">1400*0.55+200+60</f>
        <v>1030</v>
      </c>
      <c r="D1048" s="90" t="s">
        <v>1024</v>
      </c>
    </row>
    <row r="1049" customFormat="false" ht="17.6" hidden="false" customHeight="false" outlineLevel="0" collapsed="false">
      <c r="A1049" s="91" t="s">
        <v>1260</v>
      </c>
      <c r="B1049" s="90" t="s">
        <v>40</v>
      </c>
      <c r="C1049" s="90" t="n">
        <f aca="false">1600*0.55+200+60</f>
        <v>1140</v>
      </c>
      <c r="D1049" s="90" t="s">
        <v>1024</v>
      </c>
    </row>
    <row r="1050" customFormat="false" ht="17.6" hidden="false" customHeight="false" outlineLevel="0" collapsed="false">
      <c r="A1050" s="91" t="s">
        <v>1261</v>
      </c>
      <c r="B1050" s="90" t="s">
        <v>40</v>
      </c>
      <c r="C1050" s="90" t="n">
        <f aca="false">3200*0.55+200+60</f>
        <v>2020</v>
      </c>
      <c r="D1050" s="90" t="s">
        <v>1024</v>
      </c>
    </row>
    <row r="1051" customFormat="false" ht="17.6" hidden="false" customHeight="false" outlineLevel="0" collapsed="false">
      <c r="A1051" s="91" t="s">
        <v>1262</v>
      </c>
      <c r="B1051" s="90" t="s">
        <v>49</v>
      </c>
      <c r="C1051" s="90" t="n">
        <f aca="false">14800*0.6+500+400+400+100</f>
        <v>10280</v>
      </c>
      <c r="D1051" s="90" t="s">
        <v>1024</v>
      </c>
    </row>
    <row r="1052" customFormat="false" ht="17.6" hidden="false" customHeight="false" outlineLevel="0" collapsed="false">
      <c r="A1052" s="91" t="s">
        <v>1263</v>
      </c>
      <c r="B1052" s="90" t="s">
        <v>49</v>
      </c>
      <c r="C1052" s="90" t="n">
        <f aca="false">16800*0.6+500+400+400+100</f>
        <v>11480</v>
      </c>
      <c r="D1052" s="90" t="s">
        <v>1024</v>
      </c>
    </row>
    <row r="1053" customFormat="false" ht="17.6" hidden="false" customHeight="false" outlineLevel="0" collapsed="false">
      <c r="A1053" s="91" t="s">
        <v>1264</v>
      </c>
      <c r="B1053" s="90" t="s">
        <v>49</v>
      </c>
      <c r="C1053" s="90" t="n">
        <f aca="false">13800*0.6+500+400+400+100</f>
        <v>9680</v>
      </c>
      <c r="D1053" s="90" t="s">
        <v>1024</v>
      </c>
    </row>
    <row r="1054" customFormat="false" ht="17.6" hidden="false" customHeight="false" outlineLevel="0" collapsed="false">
      <c r="A1054" s="91" t="s">
        <v>1265</v>
      </c>
      <c r="B1054" s="90" t="s">
        <v>49</v>
      </c>
      <c r="C1054" s="90" t="n">
        <f aca="false">22200*0.6+500+400+400+100</f>
        <v>14720</v>
      </c>
      <c r="D1054" s="90" t="s">
        <v>1024</v>
      </c>
    </row>
    <row r="1055" customFormat="false" ht="17.6" hidden="false" customHeight="false" outlineLevel="0" collapsed="false">
      <c r="A1055" s="91" t="s">
        <v>1266</v>
      </c>
      <c r="B1055" s="90" t="s">
        <v>49</v>
      </c>
      <c r="C1055" s="90" t="n">
        <f aca="false">18200*0.6+500+400+400+100</f>
        <v>12320</v>
      </c>
      <c r="D1055" s="90" t="s">
        <v>1024</v>
      </c>
    </row>
    <row r="1056" customFormat="false" ht="17.6" hidden="false" customHeight="false" outlineLevel="0" collapsed="false">
      <c r="A1056" s="91" t="s">
        <v>1267</v>
      </c>
      <c r="B1056" s="90" t="s">
        <v>49</v>
      </c>
      <c r="C1056" s="90" t="n">
        <f aca="false">16500*0.6+500+400+400+100</f>
        <v>11300</v>
      </c>
      <c r="D1056" s="90" t="s">
        <v>1024</v>
      </c>
    </row>
    <row r="1057" customFormat="false" ht="17.6" hidden="false" customHeight="false" outlineLevel="0" collapsed="false">
      <c r="A1057" s="91" t="s">
        <v>1268</v>
      </c>
      <c r="B1057" s="90" t="s">
        <v>49</v>
      </c>
      <c r="C1057" s="90" t="n">
        <f aca="false">12500*0.6+500+400+400+100</f>
        <v>8900</v>
      </c>
      <c r="D1057" s="90" t="s">
        <v>1024</v>
      </c>
    </row>
    <row r="1058" customFormat="false" ht="17.6" hidden="false" customHeight="false" outlineLevel="0" collapsed="false">
      <c r="A1058" s="91" t="s">
        <v>1269</v>
      </c>
      <c r="B1058" s="90" t="s">
        <v>49</v>
      </c>
      <c r="C1058" s="90" t="n">
        <f aca="false">13800*0.6+500+400+400+100</f>
        <v>9680</v>
      </c>
      <c r="D1058" s="90" t="s">
        <v>1024</v>
      </c>
    </row>
    <row r="1059" customFormat="false" ht="17.6" hidden="false" customHeight="false" outlineLevel="0" collapsed="false">
      <c r="A1059" s="91" t="s">
        <v>1270</v>
      </c>
      <c r="B1059" s="90" t="s">
        <v>49</v>
      </c>
      <c r="C1059" s="90" t="n">
        <f aca="false">10800*0.6+500+400+400+100</f>
        <v>7880</v>
      </c>
      <c r="D1059" s="90" t="s">
        <v>1024</v>
      </c>
    </row>
    <row r="1060" customFormat="false" ht="17.6" hidden="false" customHeight="false" outlineLevel="0" collapsed="false">
      <c r="A1060" s="91" t="s">
        <v>1271</v>
      </c>
      <c r="B1060" s="90" t="s">
        <v>49</v>
      </c>
      <c r="C1060" s="90" t="n">
        <f aca="false">18300*0.6+500+400+400+100</f>
        <v>12380</v>
      </c>
      <c r="D1060" s="90" t="s">
        <v>1024</v>
      </c>
    </row>
    <row r="1061" customFormat="false" ht="17.6" hidden="false" customHeight="false" outlineLevel="0" collapsed="false">
      <c r="A1061" s="91" t="s">
        <v>1272</v>
      </c>
      <c r="B1061" s="90" t="s">
        <v>49</v>
      </c>
      <c r="C1061" s="90" t="n">
        <f aca="false">14300*0.6+500+400+400+100</f>
        <v>9980</v>
      </c>
      <c r="D1061" s="90" t="s">
        <v>1024</v>
      </c>
    </row>
    <row r="1062" customFormat="false" ht="18" hidden="false" customHeight="false" outlineLevel="0" collapsed="false">
      <c r="A1062" s="91" t="s">
        <v>1273</v>
      </c>
      <c r="B1062" s="90" t="s">
        <v>80</v>
      </c>
      <c r="C1062" s="90" t="n">
        <f aca="false">ROUND(E1062*G1062,)</f>
        <v>2160</v>
      </c>
      <c r="D1062" s="90" t="s">
        <v>177</v>
      </c>
      <c r="E1062" s="90" t="n">
        <v>2700</v>
      </c>
      <c r="G1062" s="90" t="n">
        <v>0.8</v>
      </c>
    </row>
    <row r="1063" customFormat="false" ht="17.6" hidden="false" customHeight="false" outlineLevel="0" collapsed="false">
      <c r="A1063" s="91"/>
    </row>
    <row r="1064" customFormat="false" ht="17.6" hidden="false" customHeight="false" outlineLevel="0" collapsed="false">
      <c r="A1064" s="91"/>
    </row>
    <row r="1065" customFormat="false" ht="17.6" hidden="false" customHeight="false" outlineLevel="0" collapsed="false">
      <c r="A1065" s="91"/>
    </row>
    <row r="1066" customFormat="false" ht="17.6" hidden="false" customHeight="false" outlineLevel="0" collapsed="false">
      <c r="A1066" s="91" t="s">
        <v>1274</v>
      </c>
      <c r="B1066" s="90" t="s">
        <v>80</v>
      </c>
      <c r="C1066" s="90" t="n">
        <f aca="false">ROUND(E1066*G1066,)</f>
        <v>6720</v>
      </c>
      <c r="D1066" s="90" t="s">
        <v>177</v>
      </c>
      <c r="E1066" s="90" t="n">
        <v>8400</v>
      </c>
      <c r="G1066" s="90" t="n">
        <v>0.8</v>
      </c>
    </row>
    <row r="1067" customFormat="false" ht="17.6" hidden="false" customHeight="false" outlineLevel="0" collapsed="false">
      <c r="A1067" s="91" t="s">
        <v>1275</v>
      </c>
      <c r="B1067" s="90" t="s">
        <v>80</v>
      </c>
      <c r="C1067" s="90" t="n">
        <f aca="false">ROUND(E1067*G1067,)</f>
        <v>7698</v>
      </c>
      <c r="D1067" s="90" t="s">
        <v>177</v>
      </c>
      <c r="E1067" s="90" t="n">
        <v>9622</v>
      </c>
      <c r="G1067" s="90" t="n">
        <v>0.8</v>
      </c>
    </row>
    <row r="1068" customFormat="false" ht="17.6" hidden="false" customHeight="false" outlineLevel="0" collapsed="false">
      <c r="A1068" s="91" t="s">
        <v>1276</v>
      </c>
      <c r="B1068" s="90" t="s">
        <v>80</v>
      </c>
      <c r="C1068" s="90" t="n">
        <f aca="false">ROUND(E1068*G1068,)</f>
        <v>9014</v>
      </c>
      <c r="D1068" s="90" t="s">
        <v>177</v>
      </c>
      <c r="E1068" s="90" t="n">
        <v>11267</v>
      </c>
      <c r="G1068" s="90" t="n">
        <v>0.8</v>
      </c>
    </row>
    <row r="1069" customFormat="false" ht="17.6" hidden="false" customHeight="false" outlineLevel="0" collapsed="false">
      <c r="A1069" s="91" t="s">
        <v>1277</v>
      </c>
      <c r="B1069" s="90" t="s">
        <v>80</v>
      </c>
      <c r="C1069" s="90" t="n">
        <f aca="false">ROUND(E1069*G1069,)</f>
        <v>2634</v>
      </c>
      <c r="D1069" s="90" t="s">
        <v>177</v>
      </c>
      <c r="E1069" s="90" t="n">
        <v>3293</v>
      </c>
      <c r="G1069" s="90" t="n">
        <v>0.8</v>
      </c>
    </row>
    <row r="1070" customFormat="false" ht="18" hidden="false" customHeight="false" outlineLevel="0" collapsed="false">
      <c r="A1070" s="91" t="s">
        <v>1278</v>
      </c>
      <c r="B1070" s="90" t="s">
        <v>80</v>
      </c>
      <c r="C1070" s="90" t="n">
        <f aca="false">ROUND(E1070*G1070,)</f>
        <v>3257</v>
      </c>
      <c r="D1070" s="90" t="s">
        <v>177</v>
      </c>
      <c r="E1070" s="90" t="n">
        <v>4071</v>
      </c>
      <c r="G1070" s="90" t="n">
        <v>0.8</v>
      </c>
    </row>
    <row r="1071" customFormat="false" ht="18" hidden="false" customHeight="false" outlineLevel="0" collapsed="false">
      <c r="A1071" s="91" t="s">
        <v>1279</v>
      </c>
      <c r="B1071" s="90" t="s">
        <v>80</v>
      </c>
      <c r="C1071" s="90" t="n">
        <f aca="false">ROUND(E1071*G1071,)</f>
        <v>3728</v>
      </c>
      <c r="D1071" s="90" t="s">
        <v>177</v>
      </c>
      <c r="E1071" s="90" t="n">
        <v>4660</v>
      </c>
      <c r="G1071" s="90" t="n">
        <v>0.8</v>
      </c>
    </row>
    <row r="1072" customFormat="false" ht="18" hidden="false" customHeight="false" outlineLevel="0" collapsed="false">
      <c r="A1072" s="91" t="s">
        <v>1280</v>
      </c>
      <c r="B1072" s="90" t="s">
        <v>80</v>
      </c>
      <c r="C1072" s="90" t="n">
        <f aca="false">ROUND(E1072*G1072,)</f>
        <v>5526</v>
      </c>
      <c r="D1072" s="90" t="s">
        <v>177</v>
      </c>
      <c r="E1072" s="90" t="n">
        <v>6907</v>
      </c>
      <c r="G1072" s="90" t="n">
        <v>0.8</v>
      </c>
    </row>
    <row r="1073" customFormat="false" ht="17.6" hidden="false" customHeight="false" outlineLevel="0" collapsed="false">
      <c r="A1073" s="91" t="s">
        <v>1281</v>
      </c>
      <c r="B1073" s="90" t="s">
        <v>80</v>
      </c>
      <c r="C1073" s="90" t="n">
        <f aca="false">ROUND(E1073*G1073,)</f>
        <v>7546</v>
      </c>
      <c r="D1073" s="90" t="s">
        <v>177</v>
      </c>
      <c r="E1073" s="90" t="n">
        <v>9433</v>
      </c>
      <c r="G1073" s="90" t="n">
        <v>0.8</v>
      </c>
    </row>
    <row r="1074" customFormat="false" ht="17.6" hidden="false" customHeight="false" outlineLevel="0" collapsed="false">
      <c r="A1074" s="91" t="s">
        <v>1282</v>
      </c>
      <c r="B1074" s="90" t="s">
        <v>80</v>
      </c>
      <c r="C1074" s="90" t="n">
        <f aca="false">ROUND(E1074*G1074,)</f>
        <v>8649</v>
      </c>
      <c r="D1074" s="90" t="s">
        <v>177</v>
      </c>
      <c r="E1074" s="90" t="n">
        <v>10811</v>
      </c>
      <c r="G1074" s="90" t="n">
        <v>0.8</v>
      </c>
    </row>
    <row r="1075" customFormat="false" ht="17.6" hidden="false" customHeight="false" outlineLevel="0" collapsed="false">
      <c r="A1075" s="91" t="s">
        <v>1283</v>
      </c>
      <c r="B1075" s="90" t="s">
        <v>80</v>
      </c>
      <c r="C1075" s="90" t="n">
        <f aca="false">ROUND(E1075*G1075,)</f>
        <v>10370</v>
      </c>
      <c r="D1075" s="90" t="s">
        <v>177</v>
      </c>
      <c r="E1075" s="90" t="n">
        <v>12962</v>
      </c>
      <c r="G1075" s="90" t="n">
        <v>0.8</v>
      </c>
    </row>
    <row r="1076" customFormat="false" ht="17.6" hidden="false" customHeight="false" outlineLevel="0" collapsed="false">
      <c r="A1076" s="91" t="s">
        <v>1284</v>
      </c>
      <c r="B1076" s="90" t="s">
        <v>80</v>
      </c>
      <c r="C1076" s="90" t="n">
        <f aca="false">ROUND(E1076*G1076,)</f>
        <v>11623</v>
      </c>
      <c r="D1076" s="90" t="s">
        <v>177</v>
      </c>
      <c r="E1076" s="90" t="n">
        <v>14529</v>
      </c>
      <c r="G1076" s="90" t="n">
        <v>0.8</v>
      </c>
    </row>
    <row r="1077" customFormat="false" ht="17.6" hidden="false" customHeight="false" outlineLevel="0" collapsed="false">
      <c r="A1077" s="91" t="s">
        <v>1285</v>
      </c>
      <c r="B1077" s="90" t="s">
        <v>80</v>
      </c>
      <c r="C1077" s="90" t="n">
        <f aca="false">ROUND(E1077*G1077,)</f>
        <v>13568</v>
      </c>
      <c r="D1077" s="90" t="s">
        <v>177</v>
      </c>
      <c r="E1077" s="90" t="n">
        <v>16960</v>
      </c>
      <c r="G1077" s="90" t="n">
        <v>0.8</v>
      </c>
    </row>
    <row r="1078" customFormat="false" ht="17.6" hidden="false" customHeight="false" outlineLevel="0" collapsed="false">
      <c r="A1078" s="91"/>
    </row>
    <row r="1079" customFormat="false" ht="17.6" hidden="false" customHeight="false" outlineLevel="0" collapsed="false">
      <c r="A1079" s="91" t="s">
        <v>1286</v>
      </c>
      <c r="B1079" s="90" t="s">
        <v>904</v>
      </c>
      <c r="C1079" s="90" t="n">
        <f aca="false">3856*0.85</f>
        <v>3277.6</v>
      </c>
      <c r="D1079" s="90" t="s">
        <v>177</v>
      </c>
    </row>
    <row r="1080" customFormat="false" ht="17.6" hidden="false" customHeight="false" outlineLevel="0" collapsed="false">
      <c r="A1080" s="91" t="s">
        <v>1287</v>
      </c>
      <c r="B1080" s="90" t="s">
        <v>40</v>
      </c>
      <c r="C1080" s="90" t="n">
        <f aca="false">23359*0.56</f>
        <v>13081.04</v>
      </c>
      <c r="D1080" s="90" t="s">
        <v>159</v>
      </c>
    </row>
    <row r="1081" customFormat="false" ht="17.6" hidden="false" customHeight="false" outlineLevel="0" collapsed="false">
      <c r="A1081" s="91" t="s">
        <v>1288</v>
      </c>
      <c r="B1081" s="90" t="s">
        <v>984</v>
      </c>
      <c r="C1081" s="90" t="n">
        <v>500</v>
      </c>
      <c r="D1081" s="90" t="s">
        <v>1289</v>
      </c>
    </row>
    <row r="1082" customFormat="false" ht="17.6" hidden="false" customHeight="false" outlineLevel="0" collapsed="false">
      <c r="A1082" s="91" t="s">
        <v>1290</v>
      </c>
      <c r="B1082" s="90" t="s">
        <v>984</v>
      </c>
      <c r="C1082" s="90" t="n">
        <v>990</v>
      </c>
      <c r="D1082" s="90" t="s">
        <v>1289</v>
      </c>
    </row>
    <row r="1083" customFormat="false" ht="17.6" hidden="false" customHeight="false" outlineLevel="0" collapsed="false">
      <c r="A1083" s="91" t="s">
        <v>1291</v>
      </c>
      <c r="B1083" s="90" t="s">
        <v>40</v>
      </c>
      <c r="C1083" s="90" t="n">
        <f aca="false">1054*0.58</f>
        <v>611.32</v>
      </c>
      <c r="D1083" s="90" t="s">
        <v>159</v>
      </c>
    </row>
    <row r="1084" customFormat="false" ht="17.6" hidden="false" customHeight="false" outlineLevel="0" collapsed="false">
      <c r="A1084" s="91" t="s">
        <v>1292</v>
      </c>
      <c r="B1084" s="90" t="s">
        <v>40</v>
      </c>
      <c r="C1084" s="90" t="n">
        <f aca="false">2104*0.58</f>
        <v>1220.32</v>
      </c>
      <c r="D1084" s="90" t="s">
        <v>159</v>
      </c>
    </row>
    <row r="1085" customFormat="false" ht="17.6" hidden="false" customHeight="false" outlineLevel="0" collapsed="false">
      <c r="A1085" s="91" t="s">
        <v>1293</v>
      </c>
      <c r="B1085" s="90" t="s">
        <v>40</v>
      </c>
      <c r="C1085" s="90" t="n">
        <f aca="false">1054*0.58</f>
        <v>611.32</v>
      </c>
      <c r="D1085" s="90" t="s">
        <v>159</v>
      </c>
    </row>
    <row r="1086" customFormat="false" ht="17.6" hidden="false" customHeight="false" outlineLevel="0" collapsed="false">
      <c r="A1086" s="91" t="s">
        <v>1294</v>
      </c>
      <c r="B1086" s="90" t="s">
        <v>40</v>
      </c>
      <c r="C1086" s="90" t="n">
        <f aca="false">1587*0.58</f>
        <v>920.46</v>
      </c>
      <c r="D1086" s="90" t="s">
        <v>159</v>
      </c>
    </row>
    <row r="1087" customFormat="false" ht="17.6" hidden="false" customHeight="false" outlineLevel="0" collapsed="false">
      <c r="A1087" s="91" t="s">
        <v>1295</v>
      </c>
      <c r="B1087" s="90" t="s">
        <v>40</v>
      </c>
      <c r="C1087" s="90" t="n">
        <f aca="false">1476*0.58</f>
        <v>856.08</v>
      </c>
      <c r="D1087" s="90" t="s">
        <v>159</v>
      </c>
    </row>
    <row r="1088" customFormat="false" ht="17.6" hidden="false" customHeight="false" outlineLevel="0" collapsed="false">
      <c r="A1088" s="91" t="s">
        <v>1296</v>
      </c>
      <c r="B1088" s="90" t="s">
        <v>40</v>
      </c>
      <c r="C1088" s="90" t="n">
        <f aca="false">1476*0.58</f>
        <v>856.08</v>
      </c>
      <c r="D1088" s="90" t="s">
        <v>159</v>
      </c>
    </row>
    <row r="1089" customFormat="false" ht="17.6" hidden="false" customHeight="false" outlineLevel="0" collapsed="false">
      <c r="A1089" s="91" t="s">
        <v>1297</v>
      </c>
      <c r="B1089" s="90" t="s">
        <v>40</v>
      </c>
      <c r="C1089" s="90" t="n">
        <f aca="false">1476*0.58</f>
        <v>856.08</v>
      </c>
      <c r="D1089" s="90" t="s">
        <v>159</v>
      </c>
    </row>
    <row r="1090" customFormat="false" ht="17.6" hidden="false" customHeight="false" outlineLevel="0" collapsed="false">
      <c r="A1090" s="91" t="s">
        <v>1298</v>
      </c>
      <c r="B1090" s="90" t="s">
        <v>40</v>
      </c>
      <c r="C1090" s="90" t="n">
        <f aca="false">1476*0.58</f>
        <v>856.08</v>
      </c>
      <c r="D1090" s="90" t="s">
        <v>159</v>
      </c>
    </row>
    <row r="1091" customFormat="false" ht="17.6" hidden="false" customHeight="false" outlineLevel="0" collapsed="false">
      <c r="A1091" s="91" t="s">
        <v>1299</v>
      </c>
      <c r="B1091" s="90" t="s">
        <v>40</v>
      </c>
      <c r="C1091" s="90" t="n">
        <f aca="false">1476*0.58</f>
        <v>856.08</v>
      </c>
      <c r="D1091" s="90" t="s">
        <v>159</v>
      </c>
    </row>
    <row r="1092" customFormat="false" ht="17.6" hidden="false" customHeight="false" outlineLevel="0" collapsed="false">
      <c r="A1092" s="91" t="s">
        <v>1300</v>
      </c>
      <c r="B1092" s="90" t="s">
        <v>40</v>
      </c>
      <c r="C1092" s="90" t="n">
        <f aca="false">1168*0.58</f>
        <v>677.44</v>
      </c>
      <c r="D1092" s="90" t="s">
        <v>159</v>
      </c>
    </row>
    <row r="1093" customFormat="false" ht="17.6" hidden="false" customHeight="false" outlineLevel="0" collapsed="false">
      <c r="A1093" s="91" t="s">
        <v>1301</v>
      </c>
      <c r="B1093" s="90" t="s">
        <v>40</v>
      </c>
      <c r="C1093" s="90" t="n">
        <f aca="false">2514*0.58</f>
        <v>1458.12</v>
      </c>
      <c r="D1093" s="90" t="s">
        <v>159</v>
      </c>
    </row>
    <row r="1094" customFormat="false" ht="17.6" hidden="false" customHeight="false" outlineLevel="0" collapsed="false">
      <c r="A1094" s="91" t="s">
        <v>1302</v>
      </c>
      <c r="B1094" s="90" t="s">
        <v>40</v>
      </c>
      <c r="C1094" s="90" t="n">
        <f aca="false">1464*0.58</f>
        <v>849.12</v>
      </c>
      <c r="D1094" s="90" t="s">
        <v>159</v>
      </c>
    </row>
    <row r="1095" customFormat="false" ht="17.6" hidden="false" customHeight="false" outlineLevel="0" collapsed="false">
      <c r="A1095" s="91" t="s">
        <v>1303</v>
      </c>
      <c r="B1095" s="90" t="s">
        <v>40</v>
      </c>
      <c r="C1095" s="90" t="n">
        <f aca="false">2514*0.58</f>
        <v>1458.12</v>
      </c>
      <c r="D1095" s="90" t="s">
        <v>159</v>
      </c>
    </row>
    <row r="1096" customFormat="false" ht="17.6" hidden="false" customHeight="false" outlineLevel="0" collapsed="false">
      <c r="A1096" s="91" t="s">
        <v>1304</v>
      </c>
      <c r="B1096" s="90" t="s">
        <v>40</v>
      </c>
      <c r="C1096" s="90" t="n">
        <f aca="false">1464*0.58</f>
        <v>849.12</v>
      </c>
      <c r="D1096" s="90" t="s">
        <v>159</v>
      </c>
    </row>
    <row r="1097" customFormat="false" ht="17.6" hidden="false" customHeight="false" outlineLevel="0" collapsed="false">
      <c r="A1097" s="91" t="s">
        <v>1305</v>
      </c>
      <c r="B1097" s="90" t="s">
        <v>40</v>
      </c>
      <c r="C1097" s="90" t="n">
        <f aca="false">2837*0.58</f>
        <v>1645.46</v>
      </c>
      <c r="D1097" s="90" t="s">
        <v>159</v>
      </c>
    </row>
    <row r="1098" customFormat="false" ht="17.6" hidden="false" customHeight="false" outlineLevel="0" collapsed="false">
      <c r="A1098" s="91" t="s">
        <v>1306</v>
      </c>
      <c r="B1098" s="90" t="s">
        <v>40</v>
      </c>
      <c r="C1098" s="90" t="n">
        <f aca="false">1786*0.58</f>
        <v>1035.88</v>
      </c>
      <c r="D1098" s="90" t="s">
        <v>159</v>
      </c>
    </row>
    <row r="1099" customFormat="false" ht="17.6" hidden="false" customHeight="false" outlineLevel="0" collapsed="false">
      <c r="A1099" s="91" t="s">
        <v>1307</v>
      </c>
      <c r="B1099" s="90" t="s">
        <v>40</v>
      </c>
      <c r="C1099" s="34" t="n">
        <f aca="false">2829*0.58</f>
        <v>1640.82</v>
      </c>
      <c r="D1099" s="90" t="s">
        <v>159</v>
      </c>
    </row>
    <row r="1100" customFormat="false" ht="17.6" hidden="false" customHeight="false" outlineLevel="0" collapsed="false">
      <c r="A1100" s="91" t="s">
        <v>1308</v>
      </c>
      <c r="B1100" s="90" t="s">
        <v>40</v>
      </c>
      <c r="C1100" s="34" t="n">
        <f aca="false">2923*0.58</f>
        <v>1695.34</v>
      </c>
      <c r="D1100" s="90" t="s">
        <v>159</v>
      </c>
    </row>
    <row r="1101" customFormat="false" ht="17.6" hidden="false" customHeight="false" outlineLevel="0" collapsed="false">
      <c r="A1101" s="91" t="s">
        <v>1309</v>
      </c>
      <c r="B1101" s="90" t="s">
        <v>40</v>
      </c>
      <c r="C1101" s="90" t="n">
        <f aca="false">3592*0.58</f>
        <v>2083.36</v>
      </c>
      <c r="D1101" s="90" t="s">
        <v>159</v>
      </c>
    </row>
    <row r="1102" customFormat="false" ht="17.6" hidden="false" customHeight="false" outlineLevel="0" collapsed="false">
      <c r="A1102" s="91" t="s">
        <v>1310</v>
      </c>
      <c r="B1102" s="90" t="s">
        <v>40</v>
      </c>
      <c r="C1102" s="90" t="n">
        <f aca="false">2532*0.58</f>
        <v>1468.56</v>
      </c>
      <c r="D1102" s="90" t="s">
        <v>159</v>
      </c>
    </row>
    <row r="1103" customFormat="false" ht="17.6" hidden="false" customHeight="false" outlineLevel="0" collapsed="false">
      <c r="A1103" s="91" t="s">
        <v>1311</v>
      </c>
      <c r="B1103" s="90" t="s">
        <v>40</v>
      </c>
      <c r="C1103" s="90" t="n">
        <f aca="false">2532*0.58</f>
        <v>1468.56</v>
      </c>
      <c r="D1103" s="90" t="s">
        <v>159</v>
      </c>
    </row>
    <row r="1104" customFormat="false" ht="17.6" hidden="false" customHeight="false" outlineLevel="0" collapsed="false">
      <c r="A1104" s="91" t="s">
        <v>1312</v>
      </c>
      <c r="B1104" s="90" t="s">
        <v>40</v>
      </c>
      <c r="C1104" s="90" t="n">
        <f aca="false">3949*0.58</f>
        <v>2290.42</v>
      </c>
      <c r="D1104" s="90" t="s">
        <v>159</v>
      </c>
    </row>
    <row r="1105" customFormat="false" ht="17.6" hidden="false" customHeight="false" outlineLevel="0" collapsed="false">
      <c r="A1105" s="91" t="s">
        <v>1313</v>
      </c>
      <c r="B1105" s="90" t="s">
        <v>40</v>
      </c>
      <c r="C1105" s="90" t="n">
        <f aca="false">2639*0.58</f>
        <v>1530.62</v>
      </c>
      <c r="D1105" s="90" t="s">
        <v>159</v>
      </c>
    </row>
    <row r="1106" customFormat="false" ht="17.6" hidden="false" customHeight="false" outlineLevel="0" collapsed="false">
      <c r="A1106" s="91" t="s">
        <v>1314</v>
      </c>
      <c r="B1106" s="90" t="s">
        <v>40</v>
      </c>
      <c r="C1106" s="90" t="n">
        <f aca="false">5725*0.58</f>
        <v>3320.5</v>
      </c>
      <c r="D1106" s="90" t="s">
        <v>159</v>
      </c>
    </row>
    <row r="1107" customFormat="false" ht="17.6" hidden="false" customHeight="false" outlineLevel="0" collapsed="false">
      <c r="A1107" s="91" t="s">
        <v>1315</v>
      </c>
      <c r="B1107" s="90" t="s">
        <v>40</v>
      </c>
      <c r="C1107" s="90" t="n">
        <f aca="false">3707*0.58</f>
        <v>2150.06</v>
      </c>
      <c r="D1107" s="90" t="s">
        <v>159</v>
      </c>
    </row>
    <row r="1108" customFormat="false" ht="17.6" hidden="false" customHeight="false" outlineLevel="0" collapsed="false">
      <c r="A1108" s="91" t="s">
        <v>1316</v>
      </c>
      <c r="B1108" s="90" t="s">
        <v>40</v>
      </c>
      <c r="C1108" s="90" t="n">
        <f aca="false">3707*0.58</f>
        <v>2150.06</v>
      </c>
      <c r="D1108" s="90" t="s">
        <v>159</v>
      </c>
    </row>
    <row r="1109" customFormat="false" ht="17.6" hidden="false" customHeight="false" outlineLevel="0" collapsed="false">
      <c r="A1109" s="91" t="s">
        <v>1317</v>
      </c>
      <c r="B1109" s="90" t="s">
        <v>40</v>
      </c>
      <c r="C1109" s="90" t="n">
        <f aca="false">6754*0.58</f>
        <v>3917.32</v>
      </c>
      <c r="D1109" s="90" t="s">
        <v>159</v>
      </c>
    </row>
    <row r="1110" customFormat="false" ht="17.6" hidden="false" customHeight="false" outlineLevel="0" collapsed="false">
      <c r="A1110" s="91" t="s">
        <v>1318</v>
      </c>
      <c r="B1110" s="90" t="s">
        <v>40</v>
      </c>
      <c r="C1110" s="90" t="n">
        <f aca="false">4079*0.58</f>
        <v>2365.82</v>
      </c>
      <c r="D1110" s="90" t="s">
        <v>159</v>
      </c>
    </row>
    <row r="1111" customFormat="false" ht="18" hidden="false" customHeight="false" outlineLevel="0" collapsed="false">
      <c r="A1111" s="91" t="s">
        <v>1319</v>
      </c>
      <c r="B1111" s="90" t="s">
        <v>40</v>
      </c>
      <c r="C1111" s="90" t="n">
        <f aca="false">7099*0.58</f>
        <v>4117.42</v>
      </c>
      <c r="D1111" s="90" t="s">
        <v>159</v>
      </c>
    </row>
    <row r="1112" customFormat="false" ht="17.6" hidden="false" customHeight="false" outlineLevel="0" collapsed="false">
      <c r="A1112" s="91"/>
    </row>
    <row r="1113" customFormat="false" ht="17.6" hidden="false" customHeight="false" outlineLevel="0" collapsed="false">
      <c r="A1113" s="91" t="s">
        <v>1320</v>
      </c>
      <c r="B1113" s="90" t="s">
        <v>40</v>
      </c>
      <c r="C1113" s="90" t="n">
        <f aca="false">6414*0.58</f>
        <v>3720.12</v>
      </c>
      <c r="D1113" s="90" t="s">
        <v>159</v>
      </c>
    </row>
    <row r="1114" customFormat="false" ht="17.6" hidden="false" customHeight="false" outlineLevel="0" collapsed="false">
      <c r="A1114" s="91" t="s">
        <v>1321</v>
      </c>
      <c r="B1114" s="90" t="s">
        <v>40</v>
      </c>
      <c r="C1114" s="90" t="n">
        <f aca="false">6414*0.58</f>
        <v>3720.12</v>
      </c>
      <c r="D1114" s="90" t="s">
        <v>159</v>
      </c>
    </row>
    <row r="1115" customFormat="false" ht="17.6" hidden="false" customHeight="false" outlineLevel="0" collapsed="false">
      <c r="A1115" s="91" t="s">
        <v>1322</v>
      </c>
      <c r="B1115" s="90" t="s">
        <v>40</v>
      </c>
      <c r="C1115" s="90" t="n">
        <f aca="false">8432*0.58</f>
        <v>4890.56</v>
      </c>
      <c r="D1115" s="90" t="s">
        <v>159</v>
      </c>
    </row>
    <row r="1116" customFormat="false" ht="18" hidden="false" customHeight="false" outlineLevel="0" collapsed="false">
      <c r="A1116" s="91" t="s">
        <v>1323</v>
      </c>
      <c r="B1116" s="90" t="s">
        <v>40</v>
      </c>
      <c r="C1116" s="90" t="n">
        <f aca="false">10963*0.58</f>
        <v>6358.54</v>
      </c>
      <c r="D1116" s="90" t="s">
        <v>159</v>
      </c>
    </row>
    <row r="1117" customFormat="false" ht="17.6" hidden="false" customHeight="false" outlineLevel="0" collapsed="false">
      <c r="A1117" s="91" t="s">
        <v>1324</v>
      </c>
      <c r="B1117" s="90" t="s">
        <v>40</v>
      </c>
      <c r="C1117" s="90" t="n">
        <f aca="false">9941*0.58</f>
        <v>5765.78</v>
      </c>
      <c r="D1117" s="90" t="s">
        <v>159</v>
      </c>
    </row>
    <row r="1118" customFormat="false" ht="17.6" hidden="false" customHeight="false" outlineLevel="0" collapsed="false">
      <c r="A1118" s="91" t="s">
        <v>1325</v>
      </c>
      <c r="B1118" s="90" t="s">
        <v>40</v>
      </c>
      <c r="C1118" s="90" t="n">
        <f aca="false">9004*0.58</f>
        <v>5222.32</v>
      </c>
      <c r="D1118" s="90" t="s">
        <v>159</v>
      </c>
    </row>
    <row r="1119" customFormat="false" ht="17.6" hidden="false" customHeight="false" outlineLevel="0" collapsed="false">
      <c r="A1119" s="91" t="s">
        <v>1326</v>
      </c>
      <c r="B1119" s="90" t="s">
        <v>40</v>
      </c>
      <c r="C1119" s="90" t="n">
        <f aca="false">6987*0.58</f>
        <v>4052.46</v>
      </c>
      <c r="D1119" s="90" t="s">
        <v>159</v>
      </c>
    </row>
    <row r="1120" customFormat="false" ht="17.6" hidden="false" customHeight="false" outlineLevel="0" collapsed="false">
      <c r="A1120" s="91" t="s">
        <v>1327</v>
      </c>
      <c r="B1120" s="90" t="s">
        <v>1328</v>
      </c>
      <c r="C1120" s="90" t="n">
        <v>45</v>
      </c>
      <c r="D1120" s="90" t="s">
        <v>1024</v>
      </c>
    </row>
    <row r="1121" customFormat="false" ht="17.6" hidden="false" customHeight="false" outlineLevel="0" collapsed="false">
      <c r="A1121" s="91" t="s">
        <v>1329</v>
      </c>
      <c r="B1121" s="90" t="s">
        <v>1328</v>
      </c>
      <c r="C1121" s="90" t="n">
        <v>85</v>
      </c>
      <c r="D1121" s="90" t="s">
        <v>1330</v>
      </c>
    </row>
    <row r="1122" customFormat="false" ht="17.6" hidden="false" customHeight="false" outlineLevel="0" collapsed="false">
      <c r="A1122" s="91" t="s">
        <v>1331</v>
      </c>
      <c r="B1122" s="90" t="s">
        <v>1328</v>
      </c>
      <c r="C1122" s="90" t="n">
        <v>35</v>
      </c>
      <c r="D1122" s="90" t="s">
        <v>1024</v>
      </c>
    </row>
    <row r="1123" customFormat="false" ht="17.6" hidden="false" customHeight="false" outlineLevel="0" collapsed="false">
      <c r="A1123" s="91" t="s">
        <v>1332</v>
      </c>
      <c r="B1123" s="90" t="s">
        <v>1333</v>
      </c>
      <c r="C1123" s="90" t="n">
        <f aca="false">1100*0.8</f>
        <v>880</v>
      </c>
      <c r="D1123" s="90" t="s">
        <v>1334</v>
      </c>
    </row>
    <row r="1124" customFormat="false" ht="17.6" hidden="false" customHeight="false" outlineLevel="0" collapsed="false">
      <c r="A1124" s="91" t="s">
        <v>1335</v>
      </c>
      <c r="B1124" s="90" t="s">
        <v>988</v>
      </c>
      <c r="C1124" s="90" t="n">
        <f aca="false">1600*0.8</f>
        <v>1280</v>
      </c>
      <c r="D1124" s="90" t="s">
        <v>1334</v>
      </c>
    </row>
    <row r="1125" customFormat="false" ht="17.6" hidden="false" customHeight="false" outlineLevel="0" collapsed="false">
      <c r="A1125" s="91" t="s">
        <v>1336</v>
      </c>
      <c r="B1125" s="90" t="s">
        <v>988</v>
      </c>
      <c r="C1125" s="90" t="n">
        <f aca="false">3000*0.8</f>
        <v>2400</v>
      </c>
      <c r="D1125" s="90" t="s">
        <v>1334</v>
      </c>
    </row>
    <row r="1126" customFormat="false" ht="17.6" hidden="false" customHeight="false" outlineLevel="0" collapsed="false">
      <c r="A1126" s="91" t="s">
        <v>1337</v>
      </c>
      <c r="B1126" s="90" t="s">
        <v>40</v>
      </c>
      <c r="C1126" s="90" t="n">
        <v>190</v>
      </c>
      <c r="D1126" s="90" t="s">
        <v>1338</v>
      </c>
    </row>
    <row r="1127" customFormat="false" ht="18" hidden="false" customHeight="false" outlineLevel="0" collapsed="false">
      <c r="A1127" s="91" t="s">
        <v>1339</v>
      </c>
      <c r="B1127" s="90" t="s">
        <v>40</v>
      </c>
      <c r="C1127" s="90" t="n">
        <f aca="false">190+175</f>
        <v>365</v>
      </c>
      <c r="D1127" s="90" t="s">
        <v>1338</v>
      </c>
    </row>
    <row r="1128" customFormat="false" ht="18" hidden="false" customHeight="false" outlineLevel="0" collapsed="false">
      <c r="A1128" s="91" t="s">
        <v>1340</v>
      </c>
      <c r="B1128" s="90" t="s">
        <v>40</v>
      </c>
      <c r="C1128" s="90" t="n">
        <v>125</v>
      </c>
      <c r="D1128" s="90" t="s">
        <v>1338</v>
      </c>
    </row>
    <row r="1129" customFormat="false" ht="18" hidden="false" customHeight="false" outlineLevel="0" collapsed="false">
      <c r="A1129" s="91" t="s">
        <v>1341</v>
      </c>
      <c r="B1129" s="90" t="s">
        <v>40</v>
      </c>
      <c r="C1129" s="90" t="n">
        <f aca="false">125+175</f>
        <v>300</v>
      </c>
      <c r="D1129" s="90" t="s">
        <v>1338</v>
      </c>
    </row>
    <row r="1130" customFormat="false" ht="17.6" hidden="false" customHeight="false" outlineLevel="0" collapsed="false">
      <c r="A1130" s="91" t="s">
        <v>1342</v>
      </c>
      <c r="B1130" s="90" t="s">
        <v>40</v>
      </c>
      <c r="C1130" s="90" t="n">
        <f aca="false">125+175</f>
        <v>300</v>
      </c>
      <c r="D1130" s="90" t="s">
        <v>1343</v>
      </c>
      <c r="E1130" s="90" t="s">
        <v>1344</v>
      </c>
    </row>
    <row r="1131" customFormat="false" ht="17.6" hidden="false" customHeight="false" outlineLevel="0" collapsed="false">
      <c r="A1131" s="91" t="s">
        <v>1345</v>
      </c>
      <c r="B1131" s="90" t="s">
        <v>40</v>
      </c>
      <c r="C1131" s="90" t="n">
        <v>175</v>
      </c>
      <c r="D1131" s="90" t="s">
        <v>1343</v>
      </c>
      <c r="E1131" s="90" t="s">
        <v>1344</v>
      </c>
    </row>
    <row r="1132" customFormat="false" ht="18" hidden="false" customHeight="false" outlineLevel="0" collapsed="false">
      <c r="A1132" s="91" t="s">
        <v>1346</v>
      </c>
      <c r="B1132" s="90" t="s">
        <v>40</v>
      </c>
      <c r="C1132" s="90" t="n">
        <v>225</v>
      </c>
      <c r="D1132" s="90" t="s">
        <v>1338</v>
      </c>
    </row>
    <row r="1133" customFormat="false" ht="18" hidden="false" customHeight="false" outlineLevel="0" collapsed="false">
      <c r="A1133" s="91" t="s">
        <v>1347</v>
      </c>
      <c r="B1133" s="90" t="s">
        <v>40</v>
      </c>
      <c r="C1133" s="90" t="n">
        <f aca="false">225+175</f>
        <v>400</v>
      </c>
      <c r="D1133" s="90" t="s">
        <v>1338</v>
      </c>
    </row>
    <row r="1134" customFormat="false" ht="18" hidden="false" customHeight="false" outlineLevel="0" collapsed="false">
      <c r="A1134" s="91" t="s">
        <v>1348</v>
      </c>
      <c r="B1134" s="90" t="s">
        <v>40</v>
      </c>
      <c r="C1134" s="90" t="n">
        <v>175</v>
      </c>
      <c r="D1134" s="90" t="s">
        <v>1338</v>
      </c>
    </row>
    <row r="1135" customFormat="false" ht="18" hidden="false" customHeight="false" outlineLevel="0" collapsed="false">
      <c r="A1135" s="91" t="s">
        <v>1349</v>
      </c>
      <c r="B1135" s="90" t="s">
        <v>40</v>
      </c>
      <c r="C1135" s="90" t="n">
        <f aca="false">175+175</f>
        <v>350</v>
      </c>
      <c r="D1135" s="90" t="s">
        <v>1338</v>
      </c>
    </row>
    <row r="1136" customFormat="false" ht="17.6" hidden="false" customHeight="false" outlineLevel="0" collapsed="false">
      <c r="A1136" s="91" t="s">
        <v>1350</v>
      </c>
      <c r="B1136" s="90" t="s">
        <v>40</v>
      </c>
      <c r="C1136" s="90" t="n">
        <f aca="false">240+175</f>
        <v>415</v>
      </c>
      <c r="D1136" s="90" t="s">
        <v>1343</v>
      </c>
      <c r="E1136" s="90" t="s">
        <v>1344</v>
      </c>
    </row>
    <row r="1137" customFormat="false" ht="17.6" hidden="false" customHeight="false" outlineLevel="0" collapsed="false">
      <c r="A1137" s="91" t="s">
        <v>1351</v>
      </c>
      <c r="B1137" s="90" t="s">
        <v>40</v>
      </c>
      <c r="C1137" s="90" t="n">
        <v>400</v>
      </c>
      <c r="D1137" s="90" t="s">
        <v>1343</v>
      </c>
      <c r="E1137" s="90" t="s">
        <v>1344</v>
      </c>
    </row>
    <row r="1138" customFormat="false" ht="18" hidden="false" customHeight="false" outlineLevel="0" collapsed="false">
      <c r="A1138" s="91" t="s">
        <v>1352</v>
      </c>
      <c r="B1138" s="90" t="s">
        <v>40</v>
      </c>
      <c r="C1138" s="90" t="n">
        <v>400</v>
      </c>
      <c r="D1138" s="90" t="s">
        <v>1338</v>
      </c>
    </row>
    <row r="1139" customFormat="false" ht="18" hidden="false" customHeight="false" outlineLevel="0" collapsed="false">
      <c r="A1139" s="91" t="s">
        <v>1353</v>
      </c>
      <c r="B1139" s="90" t="s">
        <v>40</v>
      </c>
      <c r="C1139" s="90" t="n">
        <f aca="false">400+210</f>
        <v>610</v>
      </c>
      <c r="D1139" s="90" t="s">
        <v>1338</v>
      </c>
    </row>
    <row r="1140" customFormat="false" ht="18" hidden="false" customHeight="false" outlineLevel="0" collapsed="false">
      <c r="A1140" s="91" t="s">
        <v>1354</v>
      </c>
      <c r="B1140" s="90" t="s">
        <v>40</v>
      </c>
      <c r="C1140" s="90" t="n">
        <v>300</v>
      </c>
      <c r="D1140" s="90" t="s">
        <v>1338</v>
      </c>
    </row>
    <row r="1141" customFormat="false" ht="18" hidden="false" customHeight="false" outlineLevel="0" collapsed="false">
      <c r="A1141" s="91" t="s">
        <v>1355</v>
      </c>
      <c r="B1141" s="90" t="s">
        <v>40</v>
      </c>
      <c r="C1141" s="90" t="n">
        <f aca="false">300+210</f>
        <v>510</v>
      </c>
      <c r="D1141" s="90" t="s">
        <v>1338</v>
      </c>
    </row>
    <row r="1142" customFormat="false" ht="17.6" hidden="false" customHeight="false" outlineLevel="0" collapsed="false">
      <c r="A1142" s="91" t="s">
        <v>1356</v>
      </c>
      <c r="B1142" s="90" t="s">
        <v>40</v>
      </c>
      <c r="C1142" s="90" t="n">
        <f aca="false">300+210</f>
        <v>510</v>
      </c>
      <c r="D1142" s="90" t="s">
        <v>1343</v>
      </c>
      <c r="E1142" s="90" t="s">
        <v>1344</v>
      </c>
    </row>
    <row r="1143" customFormat="false" ht="17.6" hidden="false" customHeight="false" outlineLevel="0" collapsed="false">
      <c r="A1143" s="91" t="s">
        <v>1357</v>
      </c>
      <c r="B1143" s="90" t="s">
        <v>40</v>
      </c>
      <c r="C1143" s="90" t="n">
        <v>600</v>
      </c>
      <c r="D1143" s="90" t="s">
        <v>1343</v>
      </c>
      <c r="E1143" s="90" t="s">
        <v>1344</v>
      </c>
    </row>
    <row r="1144" customFormat="false" ht="18" hidden="false" customHeight="false" outlineLevel="0" collapsed="false">
      <c r="A1144" s="91" t="s">
        <v>1358</v>
      </c>
      <c r="B1144" s="90" t="s">
        <v>40</v>
      </c>
      <c r="C1144" s="90" t="n">
        <v>600</v>
      </c>
      <c r="D1144" s="90" t="s">
        <v>1338</v>
      </c>
    </row>
    <row r="1145" customFormat="false" ht="18" hidden="false" customHeight="false" outlineLevel="0" collapsed="false">
      <c r="A1145" s="91" t="s">
        <v>1359</v>
      </c>
      <c r="B1145" s="90" t="s">
        <v>40</v>
      </c>
      <c r="C1145" s="90" t="n">
        <f aca="false">600+400</f>
        <v>1000</v>
      </c>
      <c r="D1145" s="90" t="s">
        <v>1338</v>
      </c>
    </row>
    <row r="1146" customFormat="false" ht="18" hidden="false" customHeight="false" outlineLevel="0" collapsed="false">
      <c r="A1146" s="91" t="s">
        <v>1360</v>
      </c>
      <c r="B1146" s="90" t="s">
        <v>40</v>
      </c>
      <c r="C1146" s="90" t="n">
        <v>425</v>
      </c>
      <c r="D1146" s="90" t="s">
        <v>1338</v>
      </c>
    </row>
    <row r="1147" customFormat="false" ht="18" hidden="false" customHeight="false" outlineLevel="0" collapsed="false">
      <c r="A1147" s="91" t="s">
        <v>1361</v>
      </c>
      <c r="B1147" s="90" t="s">
        <v>40</v>
      </c>
      <c r="C1147" s="90" t="n">
        <f aca="false">425+400</f>
        <v>825</v>
      </c>
      <c r="D1147" s="90" t="s">
        <v>1338</v>
      </c>
    </row>
    <row r="1148" customFormat="false" ht="17.6" hidden="false" customHeight="false" outlineLevel="0" collapsed="false">
      <c r="A1148" s="91" t="s">
        <v>1362</v>
      </c>
      <c r="B1148" s="90" t="s">
        <v>40</v>
      </c>
      <c r="C1148" s="90" t="n">
        <f aca="false">425+400</f>
        <v>825</v>
      </c>
      <c r="D1148" s="90" t="s">
        <v>1343</v>
      </c>
      <c r="E1148" s="90" t="s">
        <v>1344</v>
      </c>
    </row>
    <row r="1149" customFormat="false" ht="17.6" hidden="false" customHeight="false" outlineLevel="0" collapsed="false">
      <c r="A1149" s="91" t="s">
        <v>1363</v>
      </c>
      <c r="B1149" s="90" t="s">
        <v>40</v>
      </c>
      <c r="C1149" s="90" t="n">
        <v>800</v>
      </c>
      <c r="D1149" s="90" t="s">
        <v>1343</v>
      </c>
      <c r="E1149" s="90" t="s">
        <v>1344</v>
      </c>
    </row>
    <row r="1150" customFormat="false" ht="18" hidden="false" customHeight="false" outlineLevel="0" collapsed="false">
      <c r="A1150" s="91" t="s">
        <v>1364</v>
      </c>
      <c r="B1150" s="90" t="s">
        <v>40</v>
      </c>
      <c r="C1150" s="90" t="n">
        <f aca="false">600+1100</f>
        <v>1700</v>
      </c>
      <c r="D1150" s="90" t="s">
        <v>1338</v>
      </c>
    </row>
    <row r="1151" customFormat="false" ht="17.6" hidden="false" customHeight="false" outlineLevel="0" collapsed="false">
      <c r="A1151" s="91" t="s">
        <v>1365</v>
      </c>
      <c r="B1151" s="90" t="s">
        <v>40</v>
      </c>
      <c r="C1151" s="90" t="n">
        <f aca="false">675+1100</f>
        <v>1775</v>
      </c>
      <c r="D1151" s="90" t="s">
        <v>1343</v>
      </c>
      <c r="E1151" s="90" t="s">
        <v>1344</v>
      </c>
    </row>
    <row r="1152" customFormat="false" ht="17.6" hidden="false" customHeight="false" outlineLevel="0" collapsed="false">
      <c r="A1152" s="91" t="s">
        <v>1366</v>
      </c>
      <c r="B1152" s="90" t="s">
        <v>40</v>
      </c>
      <c r="C1152" s="90" t="n">
        <v>11561</v>
      </c>
      <c r="D1152" s="90" t="s">
        <v>1343</v>
      </c>
      <c r="E1152" s="90" t="s">
        <v>1344</v>
      </c>
    </row>
    <row r="1153" customFormat="false" ht="17.6" hidden="false" customHeight="false" outlineLevel="0" collapsed="false">
      <c r="A1153" s="91" t="s">
        <v>1367</v>
      </c>
      <c r="B1153" s="90" t="s">
        <v>40</v>
      </c>
      <c r="C1153" s="90" t="n">
        <v>9471</v>
      </c>
      <c r="D1153" s="90" t="s">
        <v>1343</v>
      </c>
      <c r="E1153" s="90" t="s">
        <v>1344</v>
      </c>
    </row>
    <row r="1154" customFormat="false" ht="17.6" hidden="false" customHeight="false" outlineLevel="0" collapsed="false">
      <c r="A1154" s="91" t="s">
        <v>1368</v>
      </c>
      <c r="B1154" s="90" t="s">
        <v>40</v>
      </c>
      <c r="C1154" s="90" t="n">
        <v>12276</v>
      </c>
      <c r="D1154" s="90" t="s">
        <v>1343</v>
      </c>
      <c r="E1154" s="90" t="s">
        <v>1344</v>
      </c>
    </row>
    <row r="1155" customFormat="false" ht="17.6" hidden="false" customHeight="false" outlineLevel="0" collapsed="false">
      <c r="A1155" s="91" t="s">
        <v>1369</v>
      </c>
      <c r="B1155" s="90" t="s">
        <v>49</v>
      </c>
      <c r="C1155" s="90" t="n">
        <v>10021</v>
      </c>
      <c r="D1155" s="90" t="s">
        <v>1343</v>
      </c>
      <c r="E1155" s="90" t="s">
        <v>1344</v>
      </c>
    </row>
    <row r="1156" customFormat="false" ht="17.6" hidden="false" customHeight="false" outlineLevel="0" collapsed="false">
      <c r="A1156" s="91" t="s">
        <v>1370</v>
      </c>
      <c r="B1156" s="90" t="s">
        <v>49</v>
      </c>
      <c r="C1156" s="90" t="n">
        <v>12221</v>
      </c>
      <c r="D1156" s="90" t="s">
        <v>1343</v>
      </c>
      <c r="E1156" s="90" t="s">
        <v>1344</v>
      </c>
    </row>
    <row r="1157" customFormat="false" ht="17.6" hidden="false" customHeight="false" outlineLevel="0" collapsed="false">
      <c r="A1157" s="91" t="s">
        <v>1371</v>
      </c>
      <c r="B1157" s="90" t="s">
        <v>49</v>
      </c>
      <c r="C1157" s="90" t="n">
        <v>18161</v>
      </c>
      <c r="D1157" s="90" t="s">
        <v>1343</v>
      </c>
      <c r="E1157" s="90" t="s">
        <v>1344</v>
      </c>
    </row>
    <row r="1158" customFormat="false" ht="17.6" hidden="false" customHeight="false" outlineLevel="0" collapsed="false">
      <c r="A1158" s="91" t="s">
        <v>1372</v>
      </c>
      <c r="B1158" s="90" t="s">
        <v>158</v>
      </c>
      <c r="C1158" s="90" t="n">
        <f aca="false">31415*0.6</f>
        <v>18849</v>
      </c>
    </row>
    <row r="1159" customFormat="false" ht="17.6" hidden="false" customHeight="false" outlineLevel="0" collapsed="false">
      <c r="A1159" s="91" t="s">
        <v>1373</v>
      </c>
      <c r="B1159" s="90" t="s">
        <v>984</v>
      </c>
      <c r="C1159" s="90" t="n">
        <f aca="false">900*0.6</f>
        <v>540</v>
      </c>
      <c r="D1159" s="90" t="s">
        <v>1374</v>
      </c>
    </row>
    <row r="1160" customFormat="false" ht="17.6" hidden="false" customHeight="false" outlineLevel="0" collapsed="false">
      <c r="A1160" s="91" t="s">
        <v>1375</v>
      </c>
      <c r="B1160" s="90" t="s">
        <v>984</v>
      </c>
      <c r="C1160" s="90" t="n">
        <f aca="false">900*0.6</f>
        <v>540</v>
      </c>
      <c r="D1160" s="90" t="s">
        <v>1374</v>
      </c>
    </row>
    <row r="1161" customFormat="false" ht="17.6" hidden="false" customHeight="false" outlineLevel="0" collapsed="false">
      <c r="A1161" s="91" t="s">
        <v>1376</v>
      </c>
      <c r="B1161" s="90" t="s">
        <v>984</v>
      </c>
      <c r="C1161" s="90" t="n">
        <f aca="false">600*0.6</f>
        <v>360</v>
      </c>
      <c r="D1161" s="90" t="s">
        <v>1374</v>
      </c>
    </row>
    <row r="1162" customFormat="false" ht="17.6" hidden="false" customHeight="false" outlineLevel="0" collapsed="false">
      <c r="A1162" s="91" t="s">
        <v>1377</v>
      </c>
      <c r="B1162" s="90" t="s">
        <v>40</v>
      </c>
      <c r="C1162" s="90" t="n">
        <f aca="false">1980*0.5</f>
        <v>990</v>
      </c>
      <c r="D1162" s="90" t="s">
        <v>1378</v>
      </c>
    </row>
    <row r="1163" customFormat="false" ht="17.6" hidden="false" customHeight="false" outlineLevel="0" collapsed="false">
      <c r="A1163" s="91" t="s">
        <v>1379</v>
      </c>
      <c r="B1163" s="90" t="s">
        <v>40</v>
      </c>
      <c r="C1163" s="90" t="n">
        <f aca="false">590*0.5</f>
        <v>295</v>
      </c>
      <c r="D1163" s="90" t="s">
        <v>1378</v>
      </c>
    </row>
    <row r="1164" customFormat="false" ht="17.6" hidden="false" customHeight="false" outlineLevel="0" collapsed="false">
      <c r="A1164" s="91" t="s">
        <v>1380</v>
      </c>
      <c r="B1164" s="90" t="s">
        <v>40</v>
      </c>
      <c r="C1164" s="90" t="n">
        <f aca="false">680*0.5</f>
        <v>340</v>
      </c>
      <c r="D1164" s="90" t="s">
        <v>1378</v>
      </c>
    </row>
    <row r="1165" customFormat="false" ht="17.6" hidden="false" customHeight="false" outlineLevel="0" collapsed="false">
      <c r="A1165" s="91" t="s">
        <v>1381</v>
      </c>
      <c r="B1165" s="90" t="s">
        <v>40</v>
      </c>
      <c r="C1165" s="90" t="n">
        <f aca="false">900*0.5</f>
        <v>450</v>
      </c>
      <c r="D1165" s="90" t="s">
        <v>1378</v>
      </c>
    </row>
    <row r="1166" customFormat="false" ht="17.6" hidden="false" customHeight="false" outlineLevel="0" collapsed="false">
      <c r="A1166" s="91" t="s">
        <v>1382</v>
      </c>
      <c r="B1166" s="90" t="s">
        <v>40</v>
      </c>
      <c r="C1166" s="90" t="n">
        <f aca="false">1650*0.5</f>
        <v>825</v>
      </c>
      <c r="D1166" s="90" t="s">
        <v>1378</v>
      </c>
    </row>
    <row r="1167" customFormat="false" ht="17.6" hidden="false" customHeight="false" outlineLevel="0" collapsed="false">
      <c r="A1167" s="91" t="s">
        <v>1383</v>
      </c>
      <c r="B1167" s="90" t="s">
        <v>40</v>
      </c>
      <c r="C1167" s="90" t="n">
        <f aca="false">2220*0.5</f>
        <v>1110</v>
      </c>
      <c r="D1167" s="90" t="s">
        <v>1378</v>
      </c>
    </row>
    <row r="1168" customFormat="false" ht="17.6" hidden="false" customHeight="false" outlineLevel="0" collapsed="false">
      <c r="A1168" s="91" t="s">
        <v>1384</v>
      </c>
      <c r="B1168" s="90" t="s">
        <v>40</v>
      </c>
      <c r="C1168" s="90" t="n">
        <f aca="false">350*0.5</f>
        <v>175</v>
      </c>
      <c r="D1168" s="90" t="s">
        <v>1378</v>
      </c>
    </row>
    <row r="1169" customFormat="false" ht="17.6" hidden="false" customHeight="false" outlineLevel="0" collapsed="false">
      <c r="A1169" s="91" t="s">
        <v>1385</v>
      </c>
      <c r="B1169" s="90" t="s">
        <v>57</v>
      </c>
      <c r="C1169" s="90" t="n">
        <f aca="false">1800*0.6</f>
        <v>1080</v>
      </c>
      <c r="D1169" s="90" t="s">
        <v>1374</v>
      </c>
    </row>
    <row r="1170" customFormat="false" ht="17.6" hidden="false" customHeight="false" outlineLevel="0" collapsed="false">
      <c r="A1170" s="91" t="s">
        <v>1386</v>
      </c>
      <c r="B1170" s="90" t="s">
        <v>57</v>
      </c>
      <c r="C1170" s="90" t="n">
        <f aca="false">850</f>
        <v>850</v>
      </c>
      <c r="D1170" s="90" t="s">
        <v>1374</v>
      </c>
    </row>
    <row r="1171" customFormat="false" ht="17.6" hidden="false" customHeight="false" outlineLevel="0" collapsed="false">
      <c r="A1171" s="92" t="s">
        <v>1387</v>
      </c>
      <c r="B1171" s="90" t="s">
        <v>57</v>
      </c>
      <c r="C1171" s="90" t="n">
        <v>1100</v>
      </c>
      <c r="D1171" s="90" t="s">
        <v>1374</v>
      </c>
    </row>
    <row r="1172" customFormat="false" ht="17.6" hidden="false" customHeight="false" outlineLevel="0" collapsed="false">
      <c r="A1172" s="92" t="s">
        <v>1388</v>
      </c>
      <c r="B1172" s="90" t="s">
        <v>57</v>
      </c>
      <c r="C1172" s="90" t="n">
        <v>990</v>
      </c>
      <c r="D1172" s="90" t="s">
        <v>1374</v>
      </c>
    </row>
    <row r="1173" customFormat="false" ht="17.6" hidden="false" customHeight="false" outlineLevel="0" collapsed="false">
      <c r="A1173" s="91" t="s">
        <v>1389</v>
      </c>
      <c r="B1173" s="90" t="s">
        <v>57</v>
      </c>
      <c r="C1173" s="90" t="n">
        <f aca="false">4000*0.6</f>
        <v>2400</v>
      </c>
      <c r="D1173" s="90" t="s">
        <v>1374</v>
      </c>
    </row>
    <row r="1174" customFormat="false" ht="17.6" hidden="false" customHeight="false" outlineLevel="0" collapsed="false">
      <c r="A1174" s="91" t="s">
        <v>1390</v>
      </c>
      <c r="B1174" s="90" t="s">
        <v>904</v>
      </c>
      <c r="C1174" s="90" t="n">
        <v>2200</v>
      </c>
      <c r="D1174" s="90" t="s">
        <v>1133</v>
      </c>
    </row>
    <row r="1175" customFormat="false" ht="17.6" hidden="false" customHeight="false" outlineLevel="0" collapsed="false">
      <c r="A1175" s="91" t="s">
        <v>1391</v>
      </c>
      <c r="B1175" s="90" t="s">
        <v>230</v>
      </c>
      <c r="C1175" s="90" t="n">
        <v>8000</v>
      </c>
      <c r="D1175" s="90" t="s">
        <v>1392</v>
      </c>
    </row>
    <row r="1176" customFormat="false" ht="17.6" hidden="false" customHeight="false" outlineLevel="0" collapsed="false">
      <c r="A1176" s="91" t="s">
        <v>1393</v>
      </c>
      <c r="B1176" s="90" t="s">
        <v>230</v>
      </c>
      <c r="C1176" s="90" t="n">
        <v>8000</v>
      </c>
      <c r="D1176" s="90" t="s">
        <v>1392</v>
      </c>
    </row>
    <row r="1177" customFormat="false" ht="17.6" hidden="false" customHeight="false" outlineLevel="0" collapsed="false">
      <c r="A1177" s="91" t="s">
        <v>1394</v>
      </c>
      <c r="B1177" s="90" t="s">
        <v>873</v>
      </c>
      <c r="C1177" s="90" t="n">
        <f aca="false">3550*0.8</f>
        <v>2840</v>
      </c>
      <c r="D1177" s="90" t="s">
        <v>1395</v>
      </c>
    </row>
    <row r="1178" customFormat="false" ht="17.6" hidden="false" customHeight="false" outlineLevel="0" collapsed="false">
      <c r="A1178" s="91" t="s">
        <v>1396</v>
      </c>
      <c r="B1178" s="90" t="s">
        <v>873</v>
      </c>
      <c r="C1178" s="90" t="n">
        <v>1330</v>
      </c>
      <c r="D1178" s="90" t="s">
        <v>1395</v>
      </c>
    </row>
    <row r="1179" customFormat="false" ht="17.6" hidden="false" customHeight="false" outlineLevel="0" collapsed="false">
      <c r="A1179" s="91" t="s">
        <v>1397</v>
      </c>
      <c r="B1179" s="90" t="s">
        <v>873</v>
      </c>
      <c r="C1179" s="90" t="n">
        <v>8500</v>
      </c>
      <c r="D1179" s="92" t="s">
        <v>1398</v>
      </c>
    </row>
    <row r="1180" customFormat="false" ht="17.6" hidden="false" customHeight="false" outlineLevel="0" collapsed="false">
      <c r="A1180" s="91" t="s">
        <v>1399</v>
      </c>
      <c r="B1180" s="90" t="s">
        <v>988</v>
      </c>
      <c r="C1180" s="90" t="n">
        <f aca="false">1680*0.6</f>
        <v>1008</v>
      </c>
      <c r="D1180" s="90" t="s">
        <v>1400</v>
      </c>
    </row>
    <row r="1181" customFormat="false" ht="17.6" hidden="false" customHeight="false" outlineLevel="0" collapsed="false">
      <c r="A1181" s="91" t="s">
        <v>1401</v>
      </c>
      <c r="B1181" s="90" t="s">
        <v>988</v>
      </c>
      <c r="C1181" s="90" t="n">
        <f aca="false">2880*0.6</f>
        <v>1728</v>
      </c>
      <c r="D1181" s="90" t="s">
        <v>1400</v>
      </c>
    </row>
    <row r="1182" customFormat="false" ht="17.6" hidden="false" customHeight="false" outlineLevel="0" collapsed="false">
      <c r="A1182" s="91" t="s">
        <v>1402</v>
      </c>
      <c r="B1182" s="90" t="s">
        <v>988</v>
      </c>
      <c r="C1182" s="90" t="n">
        <v>2100</v>
      </c>
      <c r="D1182" s="90" t="s">
        <v>1403</v>
      </c>
    </row>
    <row r="1183" customFormat="false" ht="17.6" hidden="false" customHeight="false" outlineLevel="0" collapsed="false">
      <c r="A1183" s="91" t="s">
        <v>1404</v>
      </c>
      <c r="B1183" s="90" t="s">
        <v>230</v>
      </c>
      <c r="C1183" s="90" t="n">
        <v>7500</v>
      </c>
      <c r="D1183" s="90" t="s">
        <v>1403</v>
      </c>
    </row>
    <row r="1184" customFormat="false" ht="17.6" hidden="false" customHeight="false" outlineLevel="0" collapsed="false">
      <c r="A1184" s="91" t="s">
        <v>1405</v>
      </c>
      <c r="B1184" s="90" t="s">
        <v>230</v>
      </c>
      <c r="C1184" s="90" t="n">
        <v>7500</v>
      </c>
      <c r="D1184" s="90" t="s">
        <v>1403</v>
      </c>
    </row>
    <row r="1185" customFormat="false" ht="17.6" hidden="false" customHeight="false" outlineLevel="0" collapsed="false">
      <c r="A1185" s="91" t="s">
        <v>1406</v>
      </c>
      <c r="B1185" s="90" t="s">
        <v>230</v>
      </c>
      <c r="C1185" s="90" t="n">
        <v>7500</v>
      </c>
      <c r="D1185" s="90" t="s">
        <v>1403</v>
      </c>
    </row>
    <row r="1186" customFormat="false" ht="17.6" hidden="false" customHeight="false" outlineLevel="0" collapsed="false">
      <c r="A1186" s="100" t="s">
        <v>1407</v>
      </c>
      <c r="B1186" s="89" t="s">
        <v>40</v>
      </c>
      <c r="C1186" s="93" t="n">
        <v>998</v>
      </c>
      <c r="D1186" s="94" t="s">
        <v>1408</v>
      </c>
    </row>
    <row r="1187" customFormat="false" ht="17.6" hidden="false" customHeight="false" outlineLevel="0" collapsed="false">
      <c r="A1187" s="100" t="s">
        <v>1409</v>
      </c>
      <c r="B1187" s="89" t="s">
        <v>40</v>
      </c>
      <c r="C1187" s="93" t="n">
        <v>998</v>
      </c>
      <c r="D1187" s="94" t="s">
        <v>1408</v>
      </c>
    </row>
    <row r="1188" customFormat="false" ht="17.6" hidden="false" customHeight="false" outlineLevel="0" collapsed="false">
      <c r="A1188" s="100" t="s">
        <v>1410</v>
      </c>
      <c r="B1188" s="89" t="s">
        <v>40</v>
      </c>
      <c r="C1188" s="93" t="n">
        <v>1022</v>
      </c>
      <c r="D1188" s="94" t="s">
        <v>1408</v>
      </c>
    </row>
    <row r="1189" customFormat="false" ht="17.6" hidden="false" customHeight="false" outlineLevel="0" collapsed="false">
      <c r="A1189" s="100" t="s">
        <v>1411</v>
      </c>
      <c r="B1189" s="89" t="s">
        <v>40</v>
      </c>
      <c r="C1189" s="93" t="n">
        <v>1645</v>
      </c>
      <c r="D1189" s="94" t="s">
        <v>1408</v>
      </c>
    </row>
    <row r="1190" customFormat="false" ht="17.6" hidden="false" customHeight="false" outlineLevel="0" collapsed="false">
      <c r="A1190" s="100" t="s">
        <v>1412</v>
      </c>
      <c r="B1190" s="89" t="s">
        <v>40</v>
      </c>
      <c r="C1190" s="93" t="n">
        <v>2280</v>
      </c>
      <c r="D1190" s="94" t="s">
        <v>1408</v>
      </c>
    </row>
    <row r="1191" customFormat="false" ht="17.6" hidden="false" customHeight="false" outlineLevel="0" collapsed="false">
      <c r="A1191" s="100" t="s">
        <v>1413</v>
      </c>
      <c r="B1191" s="89" t="s">
        <v>40</v>
      </c>
      <c r="C1191" s="93" t="n">
        <v>2525</v>
      </c>
      <c r="D1191" s="94" t="s">
        <v>1408</v>
      </c>
    </row>
    <row r="1192" customFormat="false" ht="17.6" hidden="false" customHeight="false" outlineLevel="0" collapsed="false">
      <c r="A1192" s="100" t="s">
        <v>1414</v>
      </c>
      <c r="B1192" s="89" t="s">
        <v>40</v>
      </c>
      <c r="C1192" s="93" t="n">
        <v>4315</v>
      </c>
      <c r="D1192" s="94" t="s">
        <v>1408</v>
      </c>
    </row>
    <row r="1193" customFormat="false" ht="17.6" hidden="false" customHeight="false" outlineLevel="0" collapsed="false">
      <c r="A1193" s="100" t="s">
        <v>1415</v>
      </c>
      <c r="B1193" s="89" t="s">
        <v>49</v>
      </c>
      <c r="C1193" s="93" t="n">
        <f aca="false">18750*0.7</f>
        <v>13125</v>
      </c>
      <c r="D1193" s="94" t="s">
        <v>1408</v>
      </c>
    </row>
    <row r="1194" customFormat="false" ht="17.6" hidden="false" customHeight="false" outlineLevel="0" collapsed="false">
      <c r="A1194" s="100" t="s">
        <v>1416</v>
      </c>
      <c r="B1194" s="89" t="s">
        <v>49</v>
      </c>
      <c r="C1194" s="93" t="n">
        <v>15750</v>
      </c>
      <c r="D1194" s="94" t="s">
        <v>1408</v>
      </c>
    </row>
    <row r="1195" customFormat="false" ht="17.6" hidden="false" customHeight="false" outlineLevel="0" collapsed="false">
      <c r="A1195" s="100" t="s">
        <v>1417</v>
      </c>
      <c r="B1195" s="89" t="s">
        <v>49</v>
      </c>
      <c r="C1195" s="93" t="n">
        <v>32445</v>
      </c>
      <c r="D1195" s="94" t="s">
        <v>1408</v>
      </c>
    </row>
    <row r="1196" customFormat="false" ht="17.6" hidden="false" customHeight="false" outlineLevel="0" collapsed="false">
      <c r="A1196" s="91" t="s">
        <v>1418</v>
      </c>
      <c r="B1196" s="92" t="s">
        <v>1419</v>
      </c>
      <c r="C1196" s="90" t="n">
        <v>2000</v>
      </c>
      <c r="D1196" s="90" t="s">
        <v>1420</v>
      </c>
    </row>
    <row r="1197" customFormat="false" ht="17.6" hidden="false" customHeight="false" outlineLevel="0" collapsed="false">
      <c r="A1197" s="91" t="s">
        <v>1421</v>
      </c>
      <c r="B1197" s="90" t="s">
        <v>1422</v>
      </c>
      <c r="C1197" s="90" t="n">
        <f aca="false">700*0.6</f>
        <v>420</v>
      </c>
      <c r="D1197" s="90" t="s">
        <v>123</v>
      </c>
    </row>
    <row r="1198" customFormat="false" ht="17.6" hidden="false" customHeight="false" outlineLevel="0" collapsed="false">
      <c r="A1198" s="91" t="s">
        <v>1423</v>
      </c>
      <c r="B1198" s="90" t="s">
        <v>984</v>
      </c>
      <c r="C1198" s="90" t="n">
        <f aca="false">920*0.6</f>
        <v>552</v>
      </c>
      <c r="D1198" s="90" t="s">
        <v>123</v>
      </c>
    </row>
    <row r="1199" customFormat="false" ht="17.6" hidden="false" customHeight="false" outlineLevel="0" collapsed="false">
      <c r="A1199" s="91" t="s">
        <v>1424</v>
      </c>
      <c r="B1199" s="90" t="s">
        <v>984</v>
      </c>
      <c r="C1199" s="90" t="n">
        <f aca="false">920*0.6+400</f>
        <v>952</v>
      </c>
      <c r="D1199" s="90" t="s">
        <v>123</v>
      </c>
    </row>
    <row r="1200" customFormat="false" ht="17.6" hidden="false" customHeight="false" outlineLevel="0" collapsed="false">
      <c r="A1200" s="91" t="s">
        <v>1425</v>
      </c>
      <c r="B1200" s="90" t="s">
        <v>1068</v>
      </c>
      <c r="C1200" s="90" t="n">
        <f aca="false">ROUND(1558*0.65+364*3*0.75,)</f>
        <v>1832</v>
      </c>
      <c r="D1200" s="90" t="s">
        <v>1024</v>
      </c>
    </row>
    <row r="1201" customFormat="false" ht="17.6" hidden="false" customHeight="false" outlineLevel="0" collapsed="false">
      <c r="A1201" s="91" t="s">
        <v>1426</v>
      </c>
      <c r="B1201" s="90" t="s">
        <v>1068</v>
      </c>
      <c r="C1201" s="90" t="n">
        <f aca="false">ROUND(1395*0.65+254*3*0.75,)</f>
        <v>1478</v>
      </c>
      <c r="D1201" s="90" t="s">
        <v>1024</v>
      </c>
    </row>
    <row r="1202" customFormat="false" ht="17.6" hidden="false" customHeight="false" outlineLevel="0" collapsed="false">
      <c r="A1202" s="91" t="s">
        <v>1427</v>
      </c>
      <c r="B1202" s="90" t="s">
        <v>1068</v>
      </c>
      <c r="C1202" s="90" t="n">
        <f aca="false">ROUND(688*0.65+19*3*0.75,)</f>
        <v>490</v>
      </c>
      <c r="D1202" s="90" t="s">
        <v>1024</v>
      </c>
    </row>
    <row r="1203" customFormat="false" ht="17.6" hidden="false" customHeight="false" outlineLevel="0" collapsed="false">
      <c r="A1203" s="91" t="s">
        <v>1428</v>
      </c>
      <c r="B1203" s="90" t="s">
        <v>1068</v>
      </c>
      <c r="C1203" s="90" t="n">
        <f aca="false">ROUND(796*0.65+50*3*0.75,)</f>
        <v>630</v>
      </c>
      <c r="D1203" s="90" t="s">
        <v>1024</v>
      </c>
    </row>
    <row r="1204" customFormat="false" ht="17.6" hidden="false" customHeight="false" outlineLevel="0" collapsed="false">
      <c r="A1204" s="91" t="s">
        <v>1429</v>
      </c>
      <c r="B1204" s="90" t="s">
        <v>1068</v>
      </c>
      <c r="C1204" s="90" t="n">
        <f aca="false">ROUND(1665*0.65+98*3*0.75,)</f>
        <v>1303</v>
      </c>
      <c r="D1204" s="90" t="s">
        <v>1024</v>
      </c>
    </row>
    <row r="1205" customFormat="false" ht="17.6" hidden="false" customHeight="false" outlineLevel="0" collapsed="false">
      <c r="A1205" s="91" t="s">
        <v>1430</v>
      </c>
      <c r="B1205" s="90" t="s">
        <v>1068</v>
      </c>
      <c r="C1205" s="90" t="n">
        <f aca="false">ROUND(1830*0.65+300*3*0.75,)</f>
        <v>1865</v>
      </c>
      <c r="D1205" s="90" t="s">
        <v>1024</v>
      </c>
    </row>
    <row r="1206" customFormat="false" ht="17.6" hidden="false" customHeight="false" outlineLevel="0" collapsed="false">
      <c r="A1206" s="91" t="s">
        <v>1431</v>
      </c>
      <c r="B1206" s="90" t="s">
        <v>1068</v>
      </c>
      <c r="C1206" s="90" t="n">
        <f aca="false">ROUND(4545*0.65+300*3*0.75,)</f>
        <v>3629</v>
      </c>
      <c r="D1206" s="90" t="s">
        <v>1024</v>
      </c>
    </row>
    <row r="1207" customFormat="false" ht="17.6" hidden="false" customHeight="false" outlineLevel="0" collapsed="false">
      <c r="A1207" s="91" t="s">
        <v>1432</v>
      </c>
      <c r="B1207" s="90" t="s">
        <v>40</v>
      </c>
      <c r="C1207" s="90" t="n">
        <f aca="false">300*0.7</f>
        <v>210</v>
      </c>
      <c r="D1207" s="90" t="s">
        <v>1433</v>
      </c>
    </row>
    <row r="1208" customFormat="false" ht="17.6" hidden="false" customHeight="false" outlineLevel="0" collapsed="false">
      <c r="A1208" s="91" t="s">
        <v>1434</v>
      </c>
      <c r="B1208" s="90" t="s">
        <v>40</v>
      </c>
      <c r="C1208" s="90" t="n">
        <f aca="false">280*0.7</f>
        <v>196</v>
      </c>
      <c r="D1208" s="90" t="s">
        <v>1433</v>
      </c>
    </row>
    <row r="1209" customFormat="false" ht="17.6" hidden="false" customHeight="false" outlineLevel="0" collapsed="false">
      <c r="A1209" s="91" t="s">
        <v>1435</v>
      </c>
      <c r="B1209" s="90" t="s">
        <v>40</v>
      </c>
      <c r="C1209" s="90" t="n">
        <f aca="false">600*0.7+80+36+45</f>
        <v>581</v>
      </c>
      <c r="D1209" s="90" t="s">
        <v>1433</v>
      </c>
    </row>
    <row r="1210" customFormat="false" ht="17.6" hidden="false" customHeight="false" outlineLevel="0" collapsed="false">
      <c r="A1210" s="91" t="s">
        <v>1436</v>
      </c>
      <c r="B1210" s="90" t="s">
        <v>40</v>
      </c>
      <c r="C1210" s="90" t="n">
        <f aca="false">(850*0.7)+130+50+80</f>
        <v>855</v>
      </c>
      <c r="D1210" s="90" t="s">
        <v>1433</v>
      </c>
    </row>
    <row r="1211" customFormat="false" ht="17.6" hidden="false" customHeight="false" outlineLevel="0" collapsed="false">
      <c r="A1211" s="91" t="s">
        <v>1437</v>
      </c>
      <c r="B1211" s="90" t="s">
        <v>49</v>
      </c>
      <c r="C1211" s="90" t="n">
        <f aca="false">(8500+3300+500+800+100+100)*0.7</f>
        <v>9310</v>
      </c>
      <c r="D1211" s="90" t="s">
        <v>1433</v>
      </c>
    </row>
    <row r="1212" customFormat="false" ht="17.6" hidden="false" customHeight="false" outlineLevel="0" collapsed="false">
      <c r="A1212" s="91" t="s">
        <v>1438</v>
      </c>
      <c r="B1212" s="90" t="s">
        <v>49</v>
      </c>
      <c r="C1212" s="90" t="n">
        <f aca="false">(12500+3300+500+800+100+100)*0.7</f>
        <v>12110</v>
      </c>
      <c r="D1212" s="90" t="s">
        <v>1433</v>
      </c>
    </row>
    <row r="1213" customFormat="false" ht="17.6" hidden="false" customHeight="false" outlineLevel="0" collapsed="false">
      <c r="A1213" s="91" t="s">
        <v>1439</v>
      </c>
      <c r="B1213" s="90" t="s">
        <v>49</v>
      </c>
      <c r="C1213" s="90" t="n">
        <f aca="false">(17500+3300+500+800+100+100)*0.7</f>
        <v>15610</v>
      </c>
      <c r="D1213" s="90" t="s">
        <v>1433</v>
      </c>
    </row>
    <row r="1214" customFormat="false" ht="17.6" hidden="false" customHeight="false" outlineLevel="0" collapsed="false">
      <c r="A1214" s="91" t="s">
        <v>1440</v>
      </c>
      <c r="B1214" s="90" t="s">
        <v>49</v>
      </c>
      <c r="C1214" s="90" t="n">
        <f aca="false">(23400+4000+500+800+100+100)*0.7</f>
        <v>20230</v>
      </c>
      <c r="D1214" s="90" t="s">
        <v>1433</v>
      </c>
    </row>
    <row r="1215" customFormat="false" ht="17.6" hidden="false" customHeight="false" outlineLevel="0" collapsed="false">
      <c r="A1215" s="91" t="s">
        <v>1441</v>
      </c>
      <c r="B1215" s="90" t="s">
        <v>49</v>
      </c>
      <c r="C1215" s="90" t="n">
        <f aca="false">(6500+3300+800+100+100)*0.7</f>
        <v>7560</v>
      </c>
      <c r="D1215" s="90" t="s">
        <v>1433</v>
      </c>
    </row>
    <row r="1216" customFormat="false" ht="17.6" hidden="false" customHeight="false" outlineLevel="0" collapsed="false">
      <c r="A1216" s="91" t="s">
        <v>1442</v>
      </c>
      <c r="B1216" s="90" t="s">
        <v>230</v>
      </c>
      <c r="C1216" s="90" t="n">
        <v>12000</v>
      </c>
      <c r="D1216" s="90" t="s">
        <v>1443</v>
      </c>
    </row>
    <row r="1217" customFormat="false" ht="17.6" hidden="false" customHeight="false" outlineLevel="0" collapsed="false">
      <c r="A1217" s="91" t="s">
        <v>1444</v>
      </c>
      <c r="B1217" s="90" t="s">
        <v>230</v>
      </c>
      <c r="C1217" s="90" t="n">
        <v>6000</v>
      </c>
      <c r="D1217" s="90" t="s">
        <v>1289</v>
      </c>
    </row>
    <row r="1218" customFormat="false" ht="17.6" hidden="false" customHeight="false" outlineLevel="0" collapsed="false">
      <c r="A1218" s="91" t="s">
        <v>1445</v>
      </c>
      <c r="B1218" s="90" t="s">
        <v>237</v>
      </c>
      <c r="C1218" s="90" t="n">
        <v>37</v>
      </c>
      <c r="D1218" s="90" t="s">
        <v>163</v>
      </c>
    </row>
    <row r="1219" customFormat="false" ht="17.6" hidden="false" customHeight="false" outlineLevel="0" collapsed="false">
      <c r="A1219" s="91" t="s">
        <v>1446</v>
      </c>
      <c r="B1219" s="90" t="s">
        <v>237</v>
      </c>
      <c r="C1219" s="90" t="n">
        <v>62</v>
      </c>
      <c r="D1219" s="90" t="s">
        <v>163</v>
      </c>
    </row>
    <row r="1220" customFormat="false" ht="17.6" hidden="false" customHeight="false" outlineLevel="0" collapsed="false">
      <c r="A1220" s="91" t="s">
        <v>1447</v>
      </c>
      <c r="B1220" s="90" t="s">
        <v>237</v>
      </c>
      <c r="C1220" s="90" t="n">
        <f aca="false">23*0.6</f>
        <v>13.8</v>
      </c>
      <c r="D1220" s="90" t="s">
        <v>163</v>
      </c>
    </row>
    <row r="1221" customFormat="false" ht="17.6" hidden="false" customHeight="false" outlineLevel="0" collapsed="false">
      <c r="A1221" s="91" t="s">
        <v>1448</v>
      </c>
      <c r="B1221" s="90" t="s">
        <v>237</v>
      </c>
      <c r="C1221" s="90" t="n">
        <f aca="false">28*0.6</f>
        <v>16.8</v>
      </c>
      <c r="D1221" s="90" t="s">
        <v>163</v>
      </c>
    </row>
    <row r="1222" customFormat="false" ht="17.6" hidden="false" customHeight="false" outlineLevel="0" collapsed="false">
      <c r="A1222" s="91" t="s">
        <v>1449</v>
      </c>
      <c r="B1222" s="90" t="s">
        <v>237</v>
      </c>
      <c r="C1222" s="90" t="n">
        <f aca="false">88*0.6</f>
        <v>52.8</v>
      </c>
      <c r="D1222" s="90" t="s">
        <v>163</v>
      </c>
      <c r="F1222" s="90" t="n">
        <f aca="false">254-195</f>
        <v>59</v>
      </c>
    </row>
    <row r="1223" customFormat="false" ht="17.6" hidden="false" customHeight="false" outlineLevel="0" collapsed="false">
      <c r="A1223" s="91" t="s">
        <v>1450</v>
      </c>
      <c r="B1223" s="90" t="s">
        <v>237</v>
      </c>
      <c r="C1223" s="90" t="n">
        <f aca="false">102*0.6</f>
        <v>61.2</v>
      </c>
      <c r="D1223" s="90" t="s">
        <v>163</v>
      </c>
    </row>
    <row r="1224" customFormat="false" ht="17.6" hidden="false" customHeight="false" outlineLevel="0" collapsed="false">
      <c r="A1224" s="91" t="s">
        <v>1451</v>
      </c>
      <c r="B1224" s="90" t="s">
        <v>237</v>
      </c>
      <c r="C1224" s="90" t="n">
        <f aca="false">138*0.6</f>
        <v>82.8</v>
      </c>
      <c r="D1224" s="90" t="s">
        <v>163</v>
      </c>
    </row>
    <row r="1225" customFormat="false" ht="17.6" hidden="false" customHeight="false" outlineLevel="0" collapsed="false">
      <c r="A1225" s="91" t="s">
        <v>1452</v>
      </c>
      <c r="B1225" s="90" t="s">
        <v>237</v>
      </c>
      <c r="C1225" s="90" t="n">
        <f aca="false">88*0.6</f>
        <v>52.8</v>
      </c>
      <c r="D1225" s="90" t="s">
        <v>163</v>
      </c>
    </row>
    <row r="1226" customFormat="false" ht="17.6" hidden="false" customHeight="false" outlineLevel="0" collapsed="false">
      <c r="A1226" s="91" t="s">
        <v>1453</v>
      </c>
      <c r="B1226" s="90" t="s">
        <v>237</v>
      </c>
      <c r="C1226" s="90" t="n">
        <f aca="false">98*0.6</f>
        <v>58.8</v>
      </c>
      <c r="D1226" s="90" t="s">
        <v>163</v>
      </c>
    </row>
    <row r="1227" customFormat="false" ht="17.6" hidden="false" customHeight="false" outlineLevel="0" collapsed="false">
      <c r="A1227" s="91" t="s">
        <v>1454</v>
      </c>
      <c r="B1227" s="90" t="s">
        <v>237</v>
      </c>
      <c r="C1227" s="90" t="n">
        <f aca="false">98*0.6</f>
        <v>58.8</v>
      </c>
      <c r="D1227" s="90" t="s">
        <v>163</v>
      </c>
    </row>
    <row r="1228" customFormat="false" ht="17.6" hidden="false" customHeight="false" outlineLevel="0" collapsed="false">
      <c r="A1228" s="91" t="s">
        <v>1455</v>
      </c>
      <c r="B1228" s="90" t="s">
        <v>237</v>
      </c>
      <c r="C1228" s="90" t="n">
        <f aca="false">35*0.6</f>
        <v>21</v>
      </c>
      <c r="D1228" s="90" t="s">
        <v>163</v>
      </c>
    </row>
    <row r="1229" customFormat="false" ht="17.6" hidden="false" customHeight="false" outlineLevel="0" collapsed="false">
      <c r="A1229" s="91" t="s">
        <v>1456</v>
      </c>
      <c r="B1229" s="90" t="s">
        <v>162</v>
      </c>
      <c r="C1229" s="90" t="n">
        <f aca="false">800*0.63</f>
        <v>504</v>
      </c>
      <c r="D1229" s="90" t="s">
        <v>163</v>
      </c>
    </row>
    <row r="1230" customFormat="false" ht="17.6" hidden="false" customHeight="false" outlineLevel="0" collapsed="false">
      <c r="A1230" s="91" t="s">
        <v>1457</v>
      </c>
      <c r="B1230" s="90" t="s">
        <v>162</v>
      </c>
      <c r="C1230" s="90" t="n">
        <f aca="false">86*0.63</f>
        <v>54.18</v>
      </c>
      <c r="D1230" s="90" t="s">
        <v>163</v>
      </c>
    </row>
    <row r="1231" customFormat="false" ht="17.6" hidden="false" customHeight="false" outlineLevel="0" collapsed="false">
      <c r="A1231" s="91" t="s">
        <v>1458</v>
      </c>
      <c r="B1231" s="90" t="s">
        <v>162</v>
      </c>
      <c r="C1231" s="90" t="n">
        <f aca="false">86*0.63</f>
        <v>54.18</v>
      </c>
      <c r="D1231" s="90" t="s">
        <v>163</v>
      </c>
    </row>
    <row r="1232" customFormat="false" ht="17.6" hidden="false" customHeight="false" outlineLevel="0" collapsed="false">
      <c r="A1232" s="91" t="s">
        <v>1459</v>
      </c>
      <c r="B1232" s="90" t="s">
        <v>162</v>
      </c>
      <c r="C1232" s="90" t="n">
        <f aca="false">131*0.63</f>
        <v>82.53</v>
      </c>
      <c r="D1232" s="90" t="s">
        <v>163</v>
      </c>
    </row>
    <row r="1233" customFormat="false" ht="17.6" hidden="false" customHeight="false" outlineLevel="0" collapsed="false">
      <c r="A1233" s="91" t="s">
        <v>1460</v>
      </c>
      <c r="B1233" s="90" t="s">
        <v>162</v>
      </c>
      <c r="C1233" s="90" t="n">
        <f aca="false">131*0.63</f>
        <v>82.53</v>
      </c>
      <c r="D1233" s="90" t="s">
        <v>163</v>
      </c>
    </row>
    <row r="1234" customFormat="false" ht="17.6" hidden="false" customHeight="false" outlineLevel="0" collapsed="false">
      <c r="A1234" s="91" t="s">
        <v>1461</v>
      </c>
      <c r="B1234" s="90" t="s">
        <v>162</v>
      </c>
      <c r="C1234" s="90" t="n">
        <f aca="false">2400*0.63</f>
        <v>1512</v>
      </c>
      <c r="D1234" s="90" t="s">
        <v>163</v>
      </c>
    </row>
    <row r="1235" customFormat="false" ht="17.6" hidden="false" customHeight="false" outlineLevel="0" collapsed="false">
      <c r="A1235" s="91" t="s">
        <v>1462</v>
      </c>
      <c r="B1235" s="90" t="s">
        <v>162</v>
      </c>
      <c r="C1235" s="90" t="n">
        <f aca="false">3000*0.63</f>
        <v>1890</v>
      </c>
      <c r="D1235" s="90" t="s">
        <v>163</v>
      </c>
    </row>
    <row r="1236" customFormat="false" ht="17.6" hidden="false" customHeight="false" outlineLevel="0" collapsed="false">
      <c r="A1236" s="91" t="s">
        <v>1463</v>
      </c>
      <c r="B1236" s="90" t="s">
        <v>162</v>
      </c>
      <c r="C1236" s="90" t="n">
        <f aca="false">152*0.63</f>
        <v>95.76</v>
      </c>
      <c r="D1236" s="90" t="s">
        <v>163</v>
      </c>
    </row>
    <row r="1237" customFormat="false" ht="17.6" hidden="false" customHeight="false" outlineLevel="0" collapsed="false">
      <c r="A1237" s="91" t="s">
        <v>1464</v>
      </c>
      <c r="B1237" s="90" t="s">
        <v>162</v>
      </c>
      <c r="C1237" s="90" t="n">
        <f aca="false">184*0.63</f>
        <v>115.92</v>
      </c>
      <c r="D1237" s="90" t="s">
        <v>163</v>
      </c>
    </row>
    <row r="1238" customFormat="false" ht="17.6" hidden="false" customHeight="false" outlineLevel="0" collapsed="false">
      <c r="A1238" s="91" t="s">
        <v>1465</v>
      </c>
      <c r="B1238" s="90" t="s">
        <v>162</v>
      </c>
      <c r="C1238" s="90" t="n">
        <f aca="false">4400*0.63</f>
        <v>2772</v>
      </c>
      <c r="D1238" s="90" t="s">
        <v>163</v>
      </c>
    </row>
    <row r="1239" customFormat="false" ht="17.6" hidden="false" customHeight="false" outlineLevel="0" collapsed="false">
      <c r="A1239" s="91" t="s">
        <v>1466</v>
      </c>
      <c r="B1239" s="90" t="s">
        <v>162</v>
      </c>
      <c r="C1239" s="90" t="n">
        <f aca="false">270*0.63</f>
        <v>170.1</v>
      </c>
      <c r="D1239" s="90" t="s">
        <v>163</v>
      </c>
    </row>
    <row r="1240" customFormat="false" ht="17.6" hidden="false" customHeight="false" outlineLevel="0" collapsed="false">
      <c r="A1240" s="91" t="s">
        <v>1467</v>
      </c>
      <c r="B1240" s="90" t="s">
        <v>162</v>
      </c>
      <c r="C1240" s="90" t="n">
        <f aca="false">360*0.63</f>
        <v>226.8</v>
      </c>
      <c r="D1240" s="90" t="s">
        <v>163</v>
      </c>
    </row>
    <row r="1241" customFormat="false" ht="17.6" hidden="false" customHeight="false" outlineLevel="0" collapsed="false">
      <c r="A1241" s="91" t="s">
        <v>1468</v>
      </c>
      <c r="B1241" s="90" t="s">
        <v>162</v>
      </c>
      <c r="C1241" s="90" t="n">
        <f aca="false">500*0.63</f>
        <v>315</v>
      </c>
      <c r="D1241" s="90" t="s">
        <v>163</v>
      </c>
    </row>
    <row r="1242" customFormat="false" ht="17.6" hidden="false" customHeight="false" outlineLevel="0" collapsed="false">
      <c r="A1242" s="91" t="s">
        <v>1469</v>
      </c>
      <c r="B1242" s="90" t="s">
        <v>40</v>
      </c>
      <c r="C1242" s="90" t="n">
        <f aca="false">ROUND(E1242*G1242+F1242,0)</f>
        <v>185</v>
      </c>
      <c r="D1242" s="90" t="s">
        <v>163</v>
      </c>
      <c r="E1242" s="90" t="n">
        <v>250</v>
      </c>
      <c r="F1242" s="90" t="n">
        <f aca="false">H1242+I1242+J1242+K1242+L1242+M1242</f>
        <v>22</v>
      </c>
      <c r="G1242" s="90" t="n">
        <v>0.65</v>
      </c>
      <c r="H1242" s="90" t="n">
        <v>22</v>
      </c>
    </row>
    <row r="1243" customFormat="false" ht="17.6" hidden="false" customHeight="false" outlineLevel="0" collapsed="false">
      <c r="A1243" s="91" t="s">
        <v>1470</v>
      </c>
      <c r="B1243" s="90" t="s">
        <v>40</v>
      </c>
      <c r="C1243" s="90" t="n">
        <f aca="false">ROUND(E1243*G1243+F1243,0)</f>
        <v>163</v>
      </c>
      <c r="D1243" s="90" t="s">
        <v>163</v>
      </c>
      <c r="E1243" s="90" t="n">
        <v>250</v>
      </c>
      <c r="F1243" s="90" t="n">
        <f aca="false">H1243+I1243+J1243+K1243+L1243+M1243</f>
        <v>0</v>
      </c>
      <c r="G1243" s="90" t="n">
        <v>0.65</v>
      </c>
    </row>
    <row r="1244" customFormat="false" ht="17.6" hidden="false" customHeight="false" outlineLevel="0" collapsed="false">
      <c r="A1244" s="91" t="s">
        <v>1471</v>
      </c>
      <c r="B1244" s="90" t="s">
        <v>40</v>
      </c>
      <c r="C1244" s="90" t="n">
        <f aca="false">ROUND(E1244*G1244+F1244,0)</f>
        <v>215</v>
      </c>
      <c r="D1244" s="90" t="s">
        <v>163</v>
      </c>
      <c r="E1244" s="90" t="n">
        <v>250</v>
      </c>
      <c r="F1244" s="90" t="n">
        <f aca="false">H1244+I1244+J1244+K1244+L1244+M1244</f>
        <v>52</v>
      </c>
      <c r="G1244" s="90" t="n">
        <v>0.65</v>
      </c>
      <c r="H1244" s="90" t="n">
        <v>22</v>
      </c>
      <c r="L1244" s="90" t="n">
        <v>30</v>
      </c>
    </row>
    <row r="1245" customFormat="false" ht="17.6" hidden="false" customHeight="false" outlineLevel="0" collapsed="false">
      <c r="A1245" s="91" t="s">
        <v>1472</v>
      </c>
      <c r="B1245" s="90" t="s">
        <v>40</v>
      </c>
      <c r="C1245" s="90" t="n">
        <f aca="false">ROUND(E1245*G1245+F1245,0)</f>
        <v>193</v>
      </c>
      <c r="D1245" s="90" t="s">
        <v>163</v>
      </c>
      <c r="E1245" s="90" t="n">
        <v>250</v>
      </c>
      <c r="F1245" s="90" t="n">
        <f aca="false">H1245+I1245+J1245+K1245+L1245+M1245</f>
        <v>30</v>
      </c>
      <c r="G1245" s="90" t="n">
        <v>0.65</v>
      </c>
      <c r="L1245" s="90" t="n">
        <v>30</v>
      </c>
    </row>
    <row r="1246" customFormat="false" ht="17.6" hidden="false" customHeight="false" outlineLevel="0" collapsed="false">
      <c r="A1246" s="91" t="s">
        <v>1473</v>
      </c>
      <c r="B1246" s="90" t="s">
        <v>40</v>
      </c>
      <c r="C1246" s="90" t="n">
        <f aca="false">ROUND(E1246*G1246+F1246,0)</f>
        <v>368</v>
      </c>
      <c r="D1246" s="90" t="s">
        <v>163</v>
      </c>
      <c r="E1246" s="90" t="n">
        <v>250</v>
      </c>
      <c r="F1246" s="90" t="n">
        <f aca="false">H1246+I1246+J1246+K1246+L1246+M1246</f>
        <v>205</v>
      </c>
      <c r="G1246" s="90" t="n">
        <v>0.65</v>
      </c>
      <c r="L1246" s="90" t="n">
        <v>30</v>
      </c>
      <c r="M1246" s="90" t="n">
        <v>175</v>
      </c>
    </row>
    <row r="1247" customFormat="false" ht="17.6" hidden="false" customHeight="false" outlineLevel="0" collapsed="false">
      <c r="A1247" s="91" t="s">
        <v>1474</v>
      </c>
      <c r="B1247" s="90" t="s">
        <v>40</v>
      </c>
      <c r="C1247" s="90" t="n">
        <f aca="false">ROUND(E1247*G1247+F1247,0)</f>
        <v>215</v>
      </c>
      <c r="D1247" s="90" t="s">
        <v>163</v>
      </c>
      <c r="E1247" s="90" t="n">
        <v>250</v>
      </c>
      <c r="F1247" s="90" t="n">
        <f aca="false">H1247+I1247+J1247+K1247+L1247+M1247</f>
        <v>52</v>
      </c>
      <c r="G1247" s="90" t="n">
        <v>0.65</v>
      </c>
      <c r="H1247" s="90" t="n">
        <v>22</v>
      </c>
      <c r="K1247" s="90" t="n">
        <v>30</v>
      </c>
    </row>
    <row r="1248" customFormat="false" ht="17.6" hidden="false" customHeight="false" outlineLevel="0" collapsed="false">
      <c r="A1248" s="91" t="s">
        <v>1475</v>
      </c>
      <c r="B1248" s="90" t="s">
        <v>40</v>
      </c>
      <c r="C1248" s="90" t="n">
        <f aca="false">ROUND(E1248*G1248+F1248,0)</f>
        <v>193</v>
      </c>
      <c r="D1248" s="90" t="s">
        <v>163</v>
      </c>
      <c r="E1248" s="90" t="n">
        <v>250</v>
      </c>
      <c r="F1248" s="90" t="n">
        <f aca="false">H1248+I1248+J1248+K1248+L1248+M1248</f>
        <v>30</v>
      </c>
      <c r="G1248" s="90" t="n">
        <v>0.65</v>
      </c>
      <c r="K1248" s="90" t="n">
        <v>30</v>
      </c>
    </row>
    <row r="1249" customFormat="false" ht="17.6" hidden="false" customHeight="false" outlineLevel="0" collapsed="false">
      <c r="A1249" s="91" t="s">
        <v>1476</v>
      </c>
      <c r="B1249" s="90" t="s">
        <v>40</v>
      </c>
      <c r="C1249" s="90" t="n">
        <f aca="false">ROUND(E1249*G1249+F1249,0)</f>
        <v>368</v>
      </c>
      <c r="D1249" s="90" t="s">
        <v>163</v>
      </c>
      <c r="E1249" s="90" t="n">
        <v>250</v>
      </c>
      <c r="F1249" s="90" t="n">
        <f aca="false">H1249+I1249+J1249+K1249+L1249+M1249</f>
        <v>205</v>
      </c>
      <c r="G1249" s="90" t="n">
        <v>0.65</v>
      </c>
      <c r="K1249" s="90" t="n">
        <v>30</v>
      </c>
      <c r="M1249" s="90" t="n">
        <v>175</v>
      </c>
    </row>
    <row r="1250" customFormat="false" ht="17.6" hidden="false" customHeight="false" outlineLevel="0" collapsed="false">
      <c r="A1250" s="91" t="s">
        <v>1477</v>
      </c>
      <c r="B1250" s="90" t="s">
        <v>40</v>
      </c>
      <c r="C1250" s="90" t="n">
        <f aca="false">ROUND(E1250*G1250+F1250,0)</f>
        <v>338</v>
      </c>
      <c r="D1250" s="90" t="s">
        <v>163</v>
      </c>
      <c r="E1250" s="90" t="n">
        <v>250</v>
      </c>
      <c r="F1250" s="90" t="n">
        <f aca="false">H1250+I1250+J1250+K1250+L1250+M1250</f>
        <v>175</v>
      </c>
      <c r="G1250" s="90" t="n">
        <v>0.65</v>
      </c>
      <c r="M1250" s="90" t="n">
        <v>175</v>
      </c>
    </row>
    <row r="1251" customFormat="false" ht="17.6" hidden="false" customHeight="false" outlineLevel="0" collapsed="false">
      <c r="A1251" s="91" t="s">
        <v>1478</v>
      </c>
      <c r="B1251" s="90" t="s">
        <v>40</v>
      </c>
      <c r="C1251" s="90" t="n">
        <f aca="false">ROUND(E1251*G1251+F1251,0)</f>
        <v>217</v>
      </c>
      <c r="D1251" s="90" t="s">
        <v>163</v>
      </c>
      <c r="E1251" s="90" t="n">
        <v>250</v>
      </c>
      <c r="F1251" s="90" t="n">
        <f aca="false">H1251+I1251+J1251+K1251+L1251+M1251</f>
        <v>54</v>
      </c>
      <c r="G1251" s="90" t="n">
        <v>0.65</v>
      </c>
      <c r="H1251" s="90" t="n">
        <v>22</v>
      </c>
      <c r="J1251" s="90" t="n">
        <v>32</v>
      </c>
    </row>
    <row r="1252" customFormat="false" ht="17.6" hidden="false" customHeight="false" outlineLevel="0" collapsed="false">
      <c r="A1252" s="91" t="s">
        <v>1479</v>
      </c>
      <c r="B1252" s="90" t="s">
        <v>40</v>
      </c>
      <c r="C1252" s="90" t="n">
        <f aca="false">ROUND(E1252*G1252+F1252,0)</f>
        <v>195</v>
      </c>
      <c r="D1252" s="90" t="s">
        <v>163</v>
      </c>
      <c r="E1252" s="90" t="n">
        <v>250</v>
      </c>
      <c r="F1252" s="90" t="n">
        <f aca="false">H1252+I1252+J1252+K1252+L1252+M1252</f>
        <v>32</v>
      </c>
      <c r="G1252" s="90" t="n">
        <v>0.65</v>
      </c>
      <c r="J1252" s="90" t="n">
        <v>32</v>
      </c>
    </row>
    <row r="1253" customFormat="false" ht="17.6" hidden="false" customHeight="false" outlineLevel="0" collapsed="false">
      <c r="A1253" s="91" t="s">
        <v>1480</v>
      </c>
      <c r="B1253" s="90" t="s">
        <v>40</v>
      </c>
      <c r="C1253" s="90" t="n">
        <f aca="false">ROUND(E1253*G1253+F1253,0)</f>
        <v>370</v>
      </c>
      <c r="D1253" s="90" t="s">
        <v>163</v>
      </c>
      <c r="E1253" s="90" t="n">
        <v>250</v>
      </c>
      <c r="F1253" s="90" t="n">
        <f aca="false">H1253+I1253+J1253+K1253+L1253+M1253</f>
        <v>207</v>
      </c>
      <c r="G1253" s="90" t="n">
        <v>0.65</v>
      </c>
      <c r="J1253" s="90" t="n">
        <v>32</v>
      </c>
      <c r="M1253" s="90" t="n">
        <v>175</v>
      </c>
    </row>
    <row r="1254" customFormat="false" ht="17.6" hidden="false" customHeight="false" outlineLevel="0" collapsed="false">
      <c r="A1254" s="91" t="s">
        <v>1481</v>
      </c>
      <c r="B1254" s="90" t="s">
        <v>40</v>
      </c>
      <c r="C1254" s="90" t="n">
        <f aca="false">ROUND(E1254*G1254+F1254,0)</f>
        <v>287</v>
      </c>
      <c r="D1254" s="90" t="s">
        <v>163</v>
      </c>
      <c r="E1254" s="90" t="n">
        <v>250</v>
      </c>
      <c r="F1254" s="90" t="n">
        <f aca="false">H1254+I1254+J1254+K1254+L1254+M1254</f>
        <v>124</v>
      </c>
      <c r="G1254" s="90" t="n">
        <v>0.65</v>
      </c>
      <c r="H1254" s="90" t="n">
        <v>22</v>
      </c>
      <c r="I1254" s="90" t="n">
        <v>70</v>
      </c>
      <c r="J1254" s="90" t="n">
        <v>32</v>
      </c>
    </row>
    <row r="1255" customFormat="false" ht="17.6" hidden="false" customHeight="false" outlineLevel="0" collapsed="false">
      <c r="A1255" s="91" t="s">
        <v>1482</v>
      </c>
      <c r="B1255" s="90" t="s">
        <v>40</v>
      </c>
      <c r="C1255" s="90" t="n">
        <f aca="false">ROUND(E1255*G1255+F1255,0)</f>
        <v>265</v>
      </c>
      <c r="D1255" s="90" t="s">
        <v>163</v>
      </c>
      <c r="E1255" s="90" t="n">
        <v>250</v>
      </c>
      <c r="F1255" s="90" t="n">
        <f aca="false">H1255+I1255+J1255+K1255+L1255+M1255</f>
        <v>102</v>
      </c>
      <c r="G1255" s="90" t="n">
        <v>0.65</v>
      </c>
      <c r="I1255" s="90" t="n">
        <v>70</v>
      </c>
      <c r="J1255" s="90" t="n">
        <v>32</v>
      </c>
    </row>
    <row r="1256" customFormat="false" ht="17.6" hidden="false" customHeight="false" outlineLevel="0" collapsed="false">
      <c r="A1256" s="91" t="s">
        <v>1483</v>
      </c>
      <c r="B1256" s="90" t="s">
        <v>40</v>
      </c>
      <c r="C1256" s="90" t="n">
        <f aca="false">ROUND(E1256*G1256+F1256,0)</f>
        <v>440</v>
      </c>
      <c r="D1256" s="90" t="s">
        <v>163</v>
      </c>
      <c r="E1256" s="90" t="n">
        <v>250</v>
      </c>
      <c r="F1256" s="90" t="n">
        <f aca="false">H1256+I1256+J1256+K1256+L1256+M1256</f>
        <v>277</v>
      </c>
      <c r="G1256" s="90" t="n">
        <v>0.65</v>
      </c>
      <c r="I1256" s="90" t="n">
        <v>70</v>
      </c>
      <c r="J1256" s="90" t="n">
        <v>32</v>
      </c>
      <c r="M1256" s="90" t="n">
        <v>175</v>
      </c>
    </row>
    <row r="1257" customFormat="false" ht="17.6" hidden="false" customHeight="false" outlineLevel="0" collapsed="false">
      <c r="A1257" s="91" t="s">
        <v>1484</v>
      </c>
      <c r="B1257" s="90" t="s">
        <v>40</v>
      </c>
      <c r="C1257" s="90" t="n">
        <f aca="false">ROUND(430*0.65+25,)</f>
        <v>305</v>
      </c>
      <c r="D1257" s="90" t="s">
        <v>163</v>
      </c>
    </row>
    <row r="1258" customFormat="false" ht="17.6" hidden="false" customHeight="false" outlineLevel="0" collapsed="false">
      <c r="A1258" s="91" t="s">
        <v>1485</v>
      </c>
      <c r="B1258" s="90" t="s">
        <v>40</v>
      </c>
      <c r="C1258" s="90" t="n">
        <f aca="false">430*0.65+25</f>
        <v>304.5</v>
      </c>
      <c r="D1258" s="90" t="s">
        <v>163</v>
      </c>
    </row>
    <row r="1259" customFormat="false" ht="17.6" hidden="false" customHeight="false" outlineLevel="0" collapsed="false">
      <c r="A1259" s="91" t="s">
        <v>1486</v>
      </c>
      <c r="B1259" s="90" t="s">
        <v>40</v>
      </c>
      <c r="C1259" s="90" t="n">
        <f aca="false">430*0.65+25</f>
        <v>304.5</v>
      </c>
      <c r="D1259" s="90" t="s">
        <v>163</v>
      </c>
    </row>
    <row r="1260" customFormat="false" ht="17.6" hidden="false" customHeight="false" outlineLevel="0" collapsed="false">
      <c r="A1260" s="91" t="s">
        <v>1487</v>
      </c>
      <c r="B1260" s="90" t="s">
        <v>40</v>
      </c>
      <c r="C1260" s="90" t="n">
        <f aca="false">ROUND(E1260*G1260+F1260,0)</f>
        <v>305</v>
      </c>
      <c r="D1260" s="90" t="s">
        <v>163</v>
      </c>
      <c r="E1260" s="90" t="n">
        <v>430</v>
      </c>
      <c r="F1260" s="90" t="n">
        <f aca="false">H1260+I1260+J1260+K1260+L1260+M1260</f>
        <v>25</v>
      </c>
      <c r="G1260" s="90" t="n">
        <v>0.65</v>
      </c>
      <c r="H1260" s="90" t="n">
        <v>25</v>
      </c>
    </row>
    <row r="1261" customFormat="false" ht="17.6" hidden="false" customHeight="false" outlineLevel="0" collapsed="false">
      <c r="A1261" s="91" t="s">
        <v>1488</v>
      </c>
      <c r="B1261" s="90" t="s">
        <v>40</v>
      </c>
      <c r="C1261" s="90" t="n">
        <f aca="false">ROUND(E1261*G1261+F1261,0)</f>
        <v>280</v>
      </c>
      <c r="D1261" s="90" t="s">
        <v>163</v>
      </c>
      <c r="E1261" s="90" t="n">
        <v>430</v>
      </c>
      <c r="F1261" s="90" t="n">
        <f aca="false">H1261+I1261+J1261+K1261+L1261+M1261</f>
        <v>0</v>
      </c>
      <c r="G1261" s="90" t="n">
        <v>0.65</v>
      </c>
    </row>
    <row r="1262" customFormat="false" ht="17.6" hidden="false" customHeight="false" outlineLevel="0" collapsed="false">
      <c r="A1262" s="91" t="s">
        <v>1488</v>
      </c>
      <c r="B1262" s="90" t="s">
        <v>40</v>
      </c>
      <c r="C1262" s="90" t="n">
        <f aca="false">ROUND(430*0.65,)</f>
        <v>280</v>
      </c>
      <c r="D1262" s="90" t="s">
        <v>163</v>
      </c>
    </row>
    <row r="1263" customFormat="false" ht="17.6" hidden="false" customHeight="false" outlineLevel="0" collapsed="false">
      <c r="A1263" s="91" t="s">
        <v>1489</v>
      </c>
      <c r="B1263" s="90" t="s">
        <v>40</v>
      </c>
      <c r="C1263" s="90" t="n">
        <f aca="false">ROUND(430*0.65+32+30,)</f>
        <v>342</v>
      </c>
      <c r="D1263" s="90" t="s">
        <v>163</v>
      </c>
    </row>
    <row r="1264" customFormat="false" ht="17.6" hidden="false" customHeight="false" outlineLevel="0" collapsed="false">
      <c r="A1264" s="91" t="s">
        <v>1490</v>
      </c>
      <c r="B1264" s="90" t="s">
        <v>40</v>
      </c>
      <c r="C1264" s="90" t="n">
        <f aca="false">ROUND(E1264*G1264+F1264,0)</f>
        <v>335</v>
      </c>
      <c r="D1264" s="90" t="s">
        <v>163</v>
      </c>
      <c r="E1264" s="90" t="n">
        <v>430</v>
      </c>
      <c r="F1264" s="90" t="n">
        <f aca="false">H1264+I1264+J1264+K1264+L1264+M1264</f>
        <v>55</v>
      </c>
      <c r="G1264" s="90" t="n">
        <v>0.65</v>
      </c>
      <c r="H1264" s="90" t="n">
        <v>25</v>
      </c>
      <c r="L1264" s="90" t="n">
        <v>30</v>
      </c>
    </row>
    <row r="1265" customFormat="false" ht="17.6" hidden="false" customHeight="false" outlineLevel="0" collapsed="false">
      <c r="A1265" s="91" t="s">
        <v>1491</v>
      </c>
      <c r="B1265" s="90" t="s">
        <v>40</v>
      </c>
      <c r="C1265" s="90" t="n">
        <f aca="false">ROUND(E1265*G1265+F1265,0)</f>
        <v>310</v>
      </c>
      <c r="D1265" s="90" t="s">
        <v>163</v>
      </c>
      <c r="E1265" s="90" t="n">
        <v>430</v>
      </c>
      <c r="F1265" s="90" t="n">
        <f aca="false">H1265+I1265+J1265+K1265+L1265+M1265</f>
        <v>30</v>
      </c>
      <c r="G1265" s="90" t="n">
        <v>0.65</v>
      </c>
      <c r="L1265" s="90" t="n">
        <v>30</v>
      </c>
    </row>
    <row r="1266" customFormat="false" ht="17.6" hidden="false" customHeight="false" outlineLevel="0" collapsed="false">
      <c r="A1266" s="91" t="s">
        <v>1492</v>
      </c>
      <c r="B1266" s="90" t="s">
        <v>40</v>
      </c>
      <c r="C1266" s="90" t="n">
        <f aca="false">ROUND(E1266*G1266+F1266,0)</f>
        <v>485</v>
      </c>
      <c r="D1266" s="90" t="s">
        <v>163</v>
      </c>
      <c r="E1266" s="90" t="n">
        <v>430</v>
      </c>
      <c r="F1266" s="90" t="n">
        <f aca="false">H1266+I1266+J1266+K1266+L1266+M1266</f>
        <v>205</v>
      </c>
      <c r="G1266" s="90" t="n">
        <v>0.65</v>
      </c>
      <c r="L1266" s="90" t="n">
        <v>30</v>
      </c>
      <c r="M1266" s="90" t="n">
        <v>175</v>
      </c>
    </row>
    <row r="1267" customFormat="false" ht="17.6" hidden="false" customHeight="false" outlineLevel="0" collapsed="false">
      <c r="A1267" s="91" t="s">
        <v>1493</v>
      </c>
      <c r="B1267" s="90" t="s">
        <v>40</v>
      </c>
      <c r="C1267" s="90" t="n">
        <f aca="false">ROUND(E1267*G1267+F1267,0)</f>
        <v>335</v>
      </c>
      <c r="D1267" s="90" t="s">
        <v>163</v>
      </c>
      <c r="E1267" s="90" t="n">
        <v>430</v>
      </c>
      <c r="F1267" s="90" t="n">
        <f aca="false">H1267+I1267+J1267+K1267+L1267+M1267</f>
        <v>55</v>
      </c>
      <c r="G1267" s="90" t="n">
        <v>0.65</v>
      </c>
      <c r="H1267" s="90" t="n">
        <v>25</v>
      </c>
      <c r="K1267" s="90" t="n">
        <v>30</v>
      </c>
    </row>
    <row r="1268" customFormat="false" ht="17.6" hidden="false" customHeight="false" outlineLevel="0" collapsed="false">
      <c r="A1268" s="91" t="s">
        <v>1494</v>
      </c>
      <c r="B1268" s="90" t="s">
        <v>40</v>
      </c>
      <c r="C1268" s="90" t="n">
        <f aca="false">ROUND(E1268*G1268+F1268,0)</f>
        <v>310</v>
      </c>
      <c r="D1268" s="90" t="s">
        <v>163</v>
      </c>
      <c r="E1268" s="90" t="n">
        <v>430</v>
      </c>
      <c r="F1268" s="90" t="n">
        <f aca="false">H1268+I1268+J1268+K1268+L1268+M1268</f>
        <v>30</v>
      </c>
      <c r="G1268" s="90" t="n">
        <v>0.65</v>
      </c>
      <c r="K1268" s="90" t="n">
        <v>30</v>
      </c>
    </row>
    <row r="1269" customFormat="false" ht="17.6" hidden="false" customHeight="false" outlineLevel="0" collapsed="false">
      <c r="A1269" s="91" t="s">
        <v>1495</v>
      </c>
      <c r="B1269" s="90" t="s">
        <v>40</v>
      </c>
      <c r="C1269" s="90" t="n">
        <f aca="false">ROUND(E1269*G1269+F1269,0)</f>
        <v>485</v>
      </c>
      <c r="D1269" s="90" t="s">
        <v>163</v>
      </c>
      <c r="E1269" s="90" t="n">
        <v>430</v>
      </c>
      <c r="F1269" s="90" t="n">
        <f aca="false">H1269+I1269+J1269+K1269+L1269+M1269</f>
        <v>205</v>
      </c>
      <c r="G1269" s="90" t="n">
        <v>0.65</v>
      </c>
      <c r="K1269" s="90" t="n">
        <v>30</v>
      </c>
      <c r="M1269" s="90" t="n">
        <v>175</v>
      </c>
    </row>
    <row r="1270" customFormat="false" ht="17.6" hidden="false" customHeight="false" outlineLevel="0" collapsed="false">
      <c r="A1270" s="91" t="s">
        <v>1496</v>
      </c>
      <c r="B1270" s="90" t="s">
        <v>40</v>
      </c>
      <c r="C1270" s="90" t="n">
        <f aca="false">ROUND(430*0.65+175,)</f>
        <v>455</v>
      </c>
      <c r="D1270" s="90" t="s">
        <v>163</v>
      </c>
    </row>
    <row r="1271" customFormat="false" ht="17.6" hidden="false" customHeight="false" outlineLevel="0" collapsed="false">
      <c r="A1271" s="91" t="s">
        <v>1497</v>
      </c>
      <c r="B1271" s="90" t="s">
        <v>40</v>
      </c>
      <c r="C1271" s="90" t="n">
        <f aca="false">ROUND(E1271*G1271+F1271,0)</f>
        <v>455</v>
      </c>
      <c r="D1271" s="90" t="s">
        <v>163</v>
      </c>
      <c r="E1271" s="90" t="n">
        <v>430</v>
      </c>
      <c r="F1271" s="90" t="n">
        <f aca="false">H1271+I1271+J1271+K1271+L1271+M1271</f>
        <v>175</v>
      </c>
      <c r="G1271" s="90" t="n">
        <v>0.65</v>
      </c>
      <c r="M1271" s="90" t="n">
        <v>175</v>
      </c>
    </row>
    <row r="1272" customFormat="false" ht="17.6" hidden="false" customHeight="false" outlineLevel="0" collapsed="false">
      <c r="A1272" s="91" t="s">
        <v>1498</v>
      </c>
      <c r="B1272" s="90" t="s">
        <v>40</v>
      </c>
      <c r="C1272" s="90" t="n">
        <f aca="false">ROUND(E1272*G1272+F1272,0)</f>
        <v>337</v>
      </c>
      <c r="D1272" s="90" t="s">
        <v>163</v>
      </c>
      <c r="E1272" s="90" t="n">
        <v>430</v>
      </c>
      <c r="F1272" s="90" t="n">
        <f aca="false">H1272+I1272+J1272+K1272+L1272+M1272</f>
        <v>57</v>
      </c>
      <c r="G1272" s="90" t="n">
        <v>0.65</v>
      </c>
      <c r="H1272" s="90" t="n">
        <v>25</v>
      </c>
      <c r="J1272" s="90" t="n">
        <v>32</v>
      </c>
    </row>
    <row r="1273" customFormat="false" ht="17.6" hidden="false" customHeight="false" outlineLevel="0" collapsed="false">
      <c r="A1273" s="91" t="s">
        <v>1499</v>
      </c>
      <c r="B1273" s="90" t="s">
        <v>40</v>
      </c>
      <c r="C1273" s="90" t="n">
        <f aca="false">ROUND(E1273*G1273+F1273,0)</f>
        <v>312</v>
      </c>
      <c r="D1273" s="90" t="s">
        <v>163</v>
      </c>
      <c r="E1273" s="90" t="n">
        <v>430</v>
      </c>
      <c r="F1273" s="90" t="n">
        <f aca="false">H1273+I1273+J1273+K1273+L1273+M1273</f>
        <v>32</v>
      </c>
      <c r="G1273" s="90" t="n">
        <v>0.65</v>
      </c>
      <c r="J1273" s="90" t="n">
        <v>32</v>
      </c>
    </row>
    <row r="1274" customFormat="false" ht="17.6" hidden="false" customHeight="false" outlineLevel="0" collapsed="false">
      <c r="A1274" s="91" t="s">
        <v>1500</v>
      </c>
      <c r="B1274" s="90" t="s">
        <v>40</v>
      </c>
      <c r="C1274" s="90" t="n">
        <f aca="false">ROUND(E1274*G1274+F1274,0)</f>
        <v>487</v>
      </c>
      <c r="D1274" s="90" t="s">
        <v>163</v>
      </c>
      <c r="E1274" s="90" t="n">
        <v>430</v>
      </c>
      <c r="F1274" s="90" t="n">
        <f aca="false">H1274+I1274+J1274+K1274+L1274+M1274</f>
        <v>207</v>
      </c>
      <c r="G1274" s="90" t="n">
        <v>0.65</v>
      </c>
      <c r="J1274" s="90" t="n">
        <v>32</v>
      </c>
      <c r="M1274" s="90" t="n">
        <v>175</v>
      </c>
    </row>
    <row r="1275" customFormat="false" ht="17.6" hidden="false" customHeight="false" outlineLevel="0" collapsed="false">
      <c r="A1275" s="91" t="s">
        <v>1501</v>
      </c>
      <c r="B1275" s="90" t="s">
        <v>40</v>
      </c>
      <c r="C1275" s="90" t="n">
        <f aca="false">ROUND(430*0.65+100,)</f>
        <v>380</v>
      </c>
      <c r="D1275" s="90" t="s">
        <v>163</v>
      </c>
    </row>
    <row r="1276" customFormat="false" ht="17.6" hidden="false" customHeight="false" outlineLevel="0" collapsed="false">
      <c r="A1276" s="91" t="s">
        <v>1502</v>
      </c>
      <c r="B1276" s="90" t="s">
        <v>40</v>
      </c>
      <c r="C1276" s="90" t="n">
        <f aca="false">ROUND(E1276*G1276+F1276,0)</f>
        <v>407</v>
      </c>
      <c r="D1276" s="90" t="s">
        <v>163</v>
      </c>
      <c r="E1276" s="90" t="n">
        <v>430</v>
      </c>
      <c r="F1276" s="90" t="n">
        <f aca="false">H1276+I1276+J1276+K1276+L1276+M1276</f>
        <v>127</v>
      </c>
      <c r="G1276" s="90" t="n">
        <v>0.65</v>
      </c>
      <c r="H1276" s="90" t="n">
        <v>25</v>
      </c>
      <c r="I1276" s="90" t="n">
        <v>70</v>
      </c>
      <c r="J1276" s="90" t="n">
        <v>32</v>
      </c>
    </row>
    <row r="1277" customFormat="false" ht="17.6" hidden="false" customHeight="false" outlineLevel="0" collapsed="false">
      <c r="A1277" s="91" t="s">
        <v>1503</v>
      </c>
      <c r="B1277" s="90" t="s">
        <v>40</v>
      </c>
      <c r="C1277" s="90" t="n">
        <f aca="false">ROUND(E1277*G1277+F1277,0)</f>
        <v>382</v>
      </c>
      <c r="D1277" s="90" t="s">
        <v>163</v>
      </c>
      <c r="E1277" s="90" t="n">
        <v>430</v>
      </c>
      <c r="F1277" s="90" t="n">
        <f aca="false">H1277+I1277+J1277+K1277+L1277+M1277</f>
        <v>102</v>
      </c>
      <c r="G1277" s="90" t="n">
        <v>0.65</v>
      </c>
      <c r="I1277" s="90" t="n">
        <v>70</v>
      </c>
      <c r="J1277" s="90" t="n">
        <v>32</v>
      </c>
    </row>
    <row r="1278" customFormat="false" ht="17.6" hidden="false" customHeight="false" outlineLevel="0" collapsed="false">
      <c r="A1278" s="91" t="s">
        <v>1504</v>
      </c>
      <c r="B1278" s="90" t="s">
        <v>40</v>
      </c>
      <c r="C1278" s="90" t="n">
        <f aca="false">ROUND(430*0.65+175+70+32,)</f>
        <v>557</v>
      </c>
      <c r="D1278" s="90" t="s">
        <v>163</v>
      </c>
    </row>
    <row r="1279" customFormat="false" ht="17.6" hidden="false" customHeight="false" outlineLevel="0" collapsed="false">
      <c r="A1279" s="91" t="s">
        <v>1505</v>
      </c>
      <c r="B1279" s="90" t="s">
        <v>40</v>
      </c>
      <c r="C1279" s="90" t="n">
        <f aca="false">ROUND(E1279*G1279+F1279,0)</f>
        <v>557</v>
      </c>
      <c r="D1279" s="90" t="s">
        <v>163</v>
      </c>
      <c r="E1279" s="90" t="n">
        <v>430</v>
      </c>
      <c r="F1279" s="90" t="n">
        <f aca="false">H1279+I1279+J1279+K1279+L1279+M1279</f>
        <v>277</v>
      </c>
      <c r="G1279" s="90" t="n">
        <v>0.65</v>
      </c>
      <c r="I1279" s="90" t="n">
        <v>70</v>
      </c>
      <c r="J1279" s="90" t="n">
        <v>32</v>
      </c>
      <c r="M1279" s="90" t="n">
        <v>175</v>
      </c>
    </row>
    <row r="1280" customFormat="false" ht="17.6" hidden="false" customHeight="false" outlineLevel="0" collapsed="false">
      <c r="A1280" s="91" t="s">
        <v>1506</v>
      </c>
      <c r="B1280" s="90" t="s">
        <v>40</v>
      </c>
      <c r="C1280" s="90" t="n">
        <f aca="false">ROUND(290*0.65+25,)</f>
        <v>214</v>
      </c>
      <c r="D1280" s="90" t="s">
        <v>163</v>
      </c>
    </row>
    <row r="1281" customFormat="false" ht="17.6" hidden="false" customHeight="false" outlineLevel="0" collapsed="false">
      <c r="A1281" s="91" t="s">
        <v>1507</v>
      </c>
      <c r="B1281" s="90" t="s">
        <v>40</v>
      </c>
      <c r="C1281" s="90" t="n">
        <f aca="false">ROUND(E1281*G1281+F1281,0)</f>
        <v>214</v>
      </c>
      <c r="D1281" s="90" t="s">
        <v>163</v>
      </c>
      <c r="E1281" s="90" t="n">
        <v>290</v>
      </c>
      <c r="F1281" s="90" t="n">
        <f aca="false">H1281+I1281+J1281+K1281+L1281+M1281</f>
        <v>25</v>
      </c>
      <c r="G1281" s="90" t="n">
        <v>0.65</v>
      </c>
      <c r="H1281" s="90" t="n">
        <v>25</v>
      </c>
    </row>
    <row r="1282" customFormat="false" ht="17.6" hidden="false" customHeight="false" outlineLevel="0" collapsed="false">
      <c r="A1282" s="91" t="s">
        <v>1508</v>
      </c>
      <c r="B1282" s="90" t="s">
        <v>40</v>
      </c>
      <c r="C1282" s="90" t="n">
        <f aca="false">ROUND(E1282*G1282+F1282,0)</f>
        <v>189</v>
      </c>
      <c r="D1282" s="90" t="s">
        <v>163</v>
      </c>
      <c r="E1282" s="90" t="n">
        <v>290</v>
      </c>
      <c r="F1282" s="90" t="n">
        <f aca="false">H1282+I1282+J1282+K1282+L1282+M1282</f>
        <v>0</v>
      </c>
      <c r="G1282" s="90" t="n">
        <v>0.65</v>
      </c>
    </row>
    <row r="1283" customFormat="false" ht="17.6" hidden="false" customHeight="false" outlineLevel="0" collapsed="false">
      <c r="A1283" s="91" t="s">
        <v>1508</v>
      </c>
      <c r="B1283" s="90" t="s">
        <v>40</v>
      </c>
      <c r="C1283" s="90" t="n">
        <f aca="false">ROUND(290*0.65,)</f>
        <v>189</v>
      </c>
      <c r="D1283" s="90" t="s">
        <v>163</v>
      </c>
    </row>
    <row r="1284" customFormat="false" ht="17.6" hidden="false" customHeight="false" outlineLevel="0" collapsed="false">
      <c r="A1284" s="91" t="s">
        <v>1509</v>
      </c>
      <c r="B1284" s="90" t="s">
        <v>40</v>
      </c>
      <c r="C1284" s="90" t="n">
        <f aca="false">ROUND(E1284*G1284+F1284,0)</f>
        <v>244</v>
      </c>
      <c r="D1284" s="90" t="s">
        <v>163</v>
      </c>
      <c r="E1284" s="90" t="n">
        <v>290</v>
      </c>
      <c r="F1284" s="90" t="n">
        <f aca="false">H1284+I1284+J1284+K1284+L1284+M1284</f>
        <v>55</v>
      </c>
      <c r="G1284" s="90" t="n">
        <v>0.65</v>
      </c>
      <c r="H1284" s="90" t="n">
        <v>25</v>
      </c>
      <c r="L1284" s="90" t="n">
        <v>30</v>
      </c>
    </row>
    <row r="1285" customFormat="false" ht="17.6" hidden="false" customHeight="false" outlineLevel="0" collapsed="false">
      <c r="A1285" s="91" t="s">
        <v>1510</v>
      </c>
      <c r="B1285" s="90" t="s">
        <v>40</v>
      </c>
      <c r="C1285" s="90" t="n">
        <f aca="false">ROUND(E1285*G1285+F1285,0)</f>
        <v>219</v>
      </c>
      <c r="D1285" s="90" t="s">
        <v>163</v>
      </c>
      <c r="E1285" s="90" t="n">
        <v>290</v>
      </c>
      <c r="F1285" s="90" t="n">
        <f aca="false">H1285+I1285+J1285+K1285+L1285+M1285</f>
        <v>30</v>
      </c>
      <c r="G1285" s="90" t="n">
        <v>0.65</v>
      </c>
      <c r="L1285" s="90" t="n">
        <v>30</v>
      </c>
    </row>
    <row r="1286" customFormat="false" ht="17.6" hidden="false" customHeight="false" outlineLevel="0" collapsed="false">
      <c r="A1286" s="91" t="s">
        <v>1511</v>
      </c>
      <c r="B1286" s="90" t="s">
        <v>40</v>
      </c>
      <c r="C1286" s="90" t="n">
        <f aca="false">ROUND(E1286*G1286+F1286,0)</f>
        <v>394</v>
      </c>
      <c r="D1286" s="90" t="s">
        <v>163</v>
      </c>
      <c r="E1286" s="90" t="n">
        <v>290</v>
      </c>
      <c r="F1286" s="90" t="n">
        <f aca="false">H1286+I1286+J1286+K1286+L1286+M1286</f>
        <v>205</v>
      </c>
      <c r="G1286" s="90" t="n">
        <v>0.65</v>
      </c>
      <c r="L1286" s="90" t="n">
        <v>30</v>
      </c>
      <c r="M1286" s="90" t="n">
        <v>175</v>
      </c>
    </row>
    <row r="1287" customFormat="false" ht="17.6" hidden="false" customHeight="false" outlineLevel="0" collapsed="false">
      <c r="A1287" s="91" t="s">
        <v>1512</v>
      </c>
      <c r="B1287" s="90" t="s">
        <v>40</v>
      </c>
      <c r="C1287" s="90" t="n">
        <f aca="false">ROUND(E1287*G1287+F1287,0)</f>
        <v>244</v>
      </c>
      <c r="D1287" s="90" t="s">
        <v>163</v>
      </c>
      <c r="E1287" s="90" t="n">
        <v>290</v>
      </c>
      <c r="F1287" s="90" t="n">
        <f aca="false">H1287+I1287+J1287+K1287+L1287+M1287</f>
        <v>55</v>
      </c>
      <c r="G1287" s="90" t="n">
        <v>0.65</v>
      </c>
      <c r="H1287" s="90" t="n">
        <v>25</v>
      </c>
      <c r="K1287" s="90" t="n">
        <v>30</v>
      </c>
    </row>
    <row r="1288" customFormat="false" ht="17.6" hidden="false" customHeight="false" outlineLevel="0" collapsed="false">
      <c r="A1288" s="91" t="s">
        <v>1513</v>
      </c>
      <c r="B1288" s="90" t="s">
        <v>40</v>
      </c>
      <c r="C1288" s="90" t="n">
        <f aca="false">ROUND(E1288*G1288+F1288,0)</f>
        <v>219</v>
      </c>
      <c r="D1288" s="90" t="s">
        <v>163</v>
      </c>
      <c r="E1288" s="90" t="n">
        <v>290</v>
      </c>
      <c r="F1288" s="90" t="n">
        <f aca="false">H1288+I1288+J1288+K1288+L1288+M1288</f>
        <v>30</v>
      </c>
      <c r="G1288" s="90" t="n">
        <v>0.65</v>
      </c>
      <c r="K1288" s="90" t="n">
        <v>30</v>
      </c>
    </row>
    <row r="1289" customFormat="false" ht="17.6" hidden="false" customHeight="false" outlineLevel="0" collapsed="false">
      <c r="A1289" s="91" t="s">
        <v>1514</v>
      </c>
      <c r="B1289" s="90" t="s">
        <v>40</v>
      </c>
      <c r="C1289" s="90" t="n">
        <f aca="false">ROUND(E1289*G1289+F1289,0)</f>
        <v>394</v>
      </c>
      <c r="D1289" s="90" t="s">
        <v>163</v>
      </c>
      <c r="E1289" s="90" t="n">
        <v>290</v>
      </c>
      <c r="F1289" s="90" t="n">
        <f aca="false">H1289+I1289+J1289+K1289+L1289+M1289</f>
        <v>205</v>
      </c>
      <c r="G1289" s="90" t="n">
        <v>0.65</v>
      </c>
      <c r="K1289" s="90" t="n">
        <v>30</v>
      </c>
      <c r="M1289" s="90" t="n">
        <v>175</v>
      </c>
    </row>
    <row r="1290" customFormat="false" ht="17.6" hidden="false" customHeight="false" outlineLevel="0" collapsed="false">
      <c r="A1290" s="91" t="s">
        <v>1515</v>
      </c>
      <c r="B1290" s="90" t="s">
        <v>40</v>
      </c>
      <c r="C1290" s="90" t="n">
        <f aca="false">ROUND(290*0.65+175,)</f>
        <v>364</v>
      </c>
      <c r="D1290" s="90" t="s">
        <v>163</v>
      </c>
    </row>
    <row r="1291" customFormat="false" ht="17.6" hidden="false" customHeight="false" outlineLevel="0" collapsed="false">
      <c r="A1291" s="91" t="s">
        <v>1516</v>
      </c>
      <c r="B1291" s="90" t="s">
        <v>40</v>
      </c>
      <c r="C1291" s="90" t="n">
        <f aca="false">ROUND(E1291*G1291+F1291,0)</f>
        <v>364</v>
      </c>
      <c r="D1291" s="90" t="s">
        <v>163</v>
      </c>
      <c r="E1291" s="90" t="n">
        <v>290</v>
      </c>
      <c r="F1291" s="90" t="n">
        <f aca="false">H1291+I1291+J1291+K1291+L1291+M1291</f>
        <v>175</v>
      </c>
      <c r="G1291" s="90" t="n">
        <v>0.65</v>
      </c>
      <c r="M1291" s="90" t="n">
        <v>175</v>
      </c>
    </row>
    <row r="1292" customFormat="false" ht="17.6" hidden="false" customHeight="false" outlineLevel="0" collapsed="false">
      <c r="A1292" s="91" t="s">
        <v>1517</v>
      </c>
      <c r="B1292" s="90" t="s">
        <v>40</v>
      </c>
      <c r="C1292" s="90" t="n">
        <f aca="false">ROUND(290*0.65+25+32,)</f>
        <v>246</v>
      </c>
      <c r="D1292" s="90" t="s">
        <v>163</v>
      </c>
    </row>
    <row r="1293" customFormat="false" ht="17.6" hidden="false" customHeight="false" outlineLevel="0" collapsed="false">
      <c r="A1293" s="91" t="s">
        <v>1518</v>
      </c>
      <c r="B1293" s="90" t="s">
        <v>40</v>
      </c>
      <c r="C1293" s="90" t="n">
        <f aca="false">ROUND(E1293*G1293+F1293,0)</f>
        <v>246</v>
      </c>
      <c r="D1293" s="90" t="s">
        <v>163</v>
      </c>
      <c r="E1293" s="90" t="n">
        <v>290</v>
      </c>
      <c r="F1293" s="90" t="n">
        <f aca="false">H1293+I1293+J1293+K1293+L1293+M1293</f>
        <v>57</v>
      </c>
      <c r="G1293" s="90" t="n">
        <v>0.65</v>
      </c>
      <c r="H1293" s="90" t="n">
        <v>25</v>
      </c>
      <c r="J1293" s="90" t="n">
        <v>32</v>
      </c>
    </row>
    <row r="1294" customFormat="false" ht="17.6" hidden="false" customHeight="false" outlineLevel="0" collapsed="false">
      <c r="A1294" s="91" t="s">
        <v>1519</v>
      </c>
      <c r="B1294" s="90" t="s">
        <v>40</v>
      </c>
      <c r="C1294" s="90" t="n">
        <f aca="false">ROUND(E1294*G1294+F1294,0)</f>
        <v>221</v>
      </c>
      <c r="D1294" s="90" t="s">
        <v>163</v>
      </c>
      <c r="E1294" s="90" t="n">
        <v>290</v>
      </c>
      <c r="F1294" s="90" t="n">
        <f aca="false">H1294+I1294+J1294+K1294+L1294+M1294</f>
        <v>32</v>
      </c>
      <c r="G1294" s="90" t="n">
        <v>0.65</v>
      </c>
      <c r="J1294" s="90" t="n">
        <v>32</v>
      </c>
    </row>
    <row r="1295" customFormat="false" ht="17.6" hidden="false" customHeight="false" outlineLevel="0" collapsed="false">
      <c r="A1295" s="91" t="s">
        <v>1520</v>
      </c>
      <c r="B1295" s="90" t="s">
        <v>40</v>
      </c>
      <c r="C1295" s="90" t="n">
        <f aca="false">ROUND(E1295*G1295+F1295,0)</f>
        <v>396</v>
      </c>
      <c r="D1295" s="90" t="s">
        <v>163</v>
      </c>
      <c r="E1295" s="90" t="n">
        <v>290</v>
      </c>
      <c r="F1295" s="90" t="n">
        <f aca="false">H1295+I1295+J1295+K1295+L1295+M1295</f>
        <v>207</v>
      </c>
      <c r="G1295" s="90" t="n">
        <v>0.65</v>
      </c>
      <c r="J1295" s="90" t="n">
        <v>32</v>
      </c>
      <c r="M1295" s="90" t="n">
        <v>175</v>
      </c>
    </row>
    <row r="1296" customFormat="false" ht="17.6" hidden="false" customHeight="false" outlineLevel="0" collapsed="false">
      <c r="A1296" s="91" t="s">
        <v>1521</v>
      </c>
      <c r="B1296" s="90" t="s">
        <v>40</v>
      </c>
      <c r="C1296" s="90" t="n">
        <f aca="false">ROUND(E1296*G1296+F1296,0)</f>
        <v>316</v>
      </c>
      <c r="D1296" s="90" t="s">
        <v>163</v>
      </c>
      <c r="E1296" s="90" t="n">
        <v>290</v>
      </c>
      <c r="F1296" s="90" t="n">
        <f aca="false">H1296+I1296+J1296+K1296+L1296+M1296</f>
        <v>127</v>
      </c>
      <c r="G1296" s="90" t="n">
        <v>0.65</v>
      </c>
      <c r="H1296" s="90" t="n">
        <v>25</v>
      </c>
      <c r="I1296" s="90" t="n">
        <v>70</v>
      </c>
      <c r="J1296" s="90" t="n">
        <v>32</v>
      </c>
    </row>
    <row r="1297" customFormat="false" ht="17.6" hidden="false" customHeight="false" outlineLevel="0" collapsed="false">
      <c r="A1297" s="91" t="s">
        <v>1522</v>
      </c>
      <c r="B1297" s="90" t="s">
        <v>40</v>
      </c>
      <c r="C1297" s="90" t="n">
        <f aca="false">ROUND(E1297*G1297+F1297,0)</f>
        <v>291</v>
      </c>
      <c r="D1297" s="90" t="s">
        <v>163</v>
      </c>
      <c r="E1297" s="90" t="n">
        <v>290</v>
      </c>
      <c r="F1297" s="90" t="n">
        <f aca="false">H1297+I1297+J1297+K1297+L1297+M1297</f>
        <v>102</v>
      </c>
      <c r="G1297" s="90" t="n">
        <v>0.65</v>
      </c>
      <c r="I1297" s="90" t="n">
        <v>70</v>
      </c>
      <c r="J1297" s="90" t="n">
        <v>32</v>
      </c>
    </row>
    <row r="1298" customFormat="false" ht="17.6" hidden="false" customHeight="false" outlineLevel="0" collapsed="false">
      <c r="A1298" s="91" t="s">
        <v>1523</v>
      </c>
      <c r="B1298" s="90" t="s">
        <v>40</v>
      </c>
      <c r="C1298" s="90" t="n">
        <f aca="false">ROUND(290*0.65+175+70+32,)</f>
        <v>466</v>
      </c>
      <c r="D1298" s="90" t="s">
        <v>163</v>
      </c>
    </row>
    <row r="1299" customFormat="false" ht="17.6" hidden="false" customHeight="false" outlineLevel="0" collapsed="false">
      <c r="A1299" s="91" t="s">
        <v>1524</v>
      </c>
      <c r="B1299" s="90" t="s">
        <v>40</v>
      </c>
      <c r="C1299" s="90" t="n">
        <f aca="false">ROUND(E1299*G1299+F1299,0)</f>
        <v>466</v>
      </c>
      <c r="D1299" s="90" t="s">
        <v>163</v>
      </c>
      <c r="E1299" s="90" t="n">
        <v>290</v>
      </c>
      <c r="F1299" s="90" t="n">
        <f aca="false">H1299+I1299+J1299+K1299+L1299+M1299</f>
        <v>277</v>
      </c>
      <c r="G1299" s="90" t="n">
        <v>0.65</v>
      </c>
      <c r="I1299" s="90" t="n">
        <v>70</v>
      </c>
      <c r="J1299" s="90" t="n">
        <v>32</v>
      </c>
      <c r="M1299" s="90" t="n">
        <v>175</v>
      </c>
    </row>
    <row r="1300" customFormat="false" ht="17.6" hidden="false" customHeight="false" outlineLevel="0" collapsed="false">
      <c r="A1300" s="91" t="s">
        <v>1525</v>
      </c>
      <c r="B1300" s="90" t="s">
        <v>40</v>
      </c>
      <c r="C1300" s="90" t="n">
        <f aca="false">ROUND(630*0.65+35,)</f>
        <v>445</v>
      </c>
      <c r="D1300" s="90" t="s">
        <v>163</v>
      </c>
    </row>
    <row r="1301" customFormat="false" ht="17.6" hidden="false" customHeight="false" outlineLevel="0" collapsed="false">
      <c r="A1301" s="91" t="s">
        <v>1526</v>
      </c>
      <c r="B1301" s="90" t="s">
        <v>40</v>
      </c>
      <c r="C1301" s="90" t="n">
        <f aca="false">630*0.65+35</f>
        <v>444.5</v>
      </c>
      <c r="D1301" s="90" t="s">
        <v>163</v>
      </c>
    </row>
    <row r="1302" customFormat="false" ht="17.6" hidden="false" customHeight="false" outlineLevel="0" collapsed="false">
      <c r="A1302" s="91" t="s">
        <v>1527</v>
      </c>
      <c r="B1302" s="90" t="s">
        <v>40</v>
      </c>
      <c r="C1302" s="90" t="n">
        <f aca="false">ROUND(E1302*G1302+F1302,0)</f>
        <v>445</v>
      </c>
      <c r="D1302" s="90" t="s">
        <v>163</v>
      </c>
      <c r="E1302" s="90" t="n">
        <v>630</v>
      </c>
      <c r="F1302" s="90" t="n">
        <f aca="false">H1302+I1302+J1302+K1302+L1302+M1302</f>
        <v>35</v>
      </c>
      <c r="G1302" s="90" t="n">
        <v>0.65</v>
      </c>
      <c r="H1302" s="90" t="n">
        <v>35</v>
      </c>
    </row>
    <row r="1303" customFormat="false" ht="17.6" hidden="false" customHeight="false" outlineLevel="0" collapsed="false">
      <c r="A1303" s="91" t="s">
        <v>1528</v>
      </c>
      <c r="B1303" s="90" t="s">
        <v>40</v>
      </c>
      <c r="C1303" s="90" t="n">
        <f aca="false">ROUND(E1303*G1303+F1303,0)</f>
        <v>410</v>
      </c>
      <c r="D1303" s="90" t="s">
        <v>163</v>
      </c>
      <c r="E1303" s="90" t="n">
        <v>630</v>
      </c>
      <c r="F1303" s="90" t="n">
        <f aca="false">H1303+I1303+J1303+K1303+L1303+M1303</f>
        <v>0</v>
      </c>
      <c r="G1303" s="90" t="n">
        <v>0.65</v>
      </c>
    </row>
    <row r="1304" customFormat="false" ht="17.6" hidden="false" customHeight="false" outlineLevel="0" collapsed="false">
      <c r="A1304" s="91" t="s">
        <v>1528</v>
      </c>
      <c r="B1304" s="90" t="s">
        <v>40</v>
      </c>
      <c r="C1304" s="90" t="n">
        <f aca="false">ROUND(630*0.65,)</f>
        <v>410</v>
      </c>
      <c r="D1304" s="90" t="s">
        <v>163</v>
      </c>
    </row>
    <row r="1305" customFormat="false" ht="17.6" hidden="false" customHeight="false" outlineLevel="0" collapsed="false">
      <c r="A1305" s="91" t="s">
        <v>1529</v>
      </c>
      <c r="B1305" s="90" t="s">
        <v>40</v>
      </c>
      <c r="C1305" s="90" t="n">
        <f aca="false">ROUND(E1305*G1305+F1305,0)</f>
        <v>475</v>
      </c>
      <c r="D1305" s="90" t="s">
        <v>163</v>
      </c>
      <c r="E1305" s="90" t="n">
        <v>630</v>
      </c>
      <c r="F1305" s="90" t="n">
        <f aca="false">H1305+I1305+J1305+K1305+L1305+M1305</f>
        <v>65</v>
      </c>
      <c r="G1305" s="90" t="n">
        <v>0.65</v>
      </c>
      <c r="H1305" s="90" t="n">
        <v>35</v>
      </c>
      <c r="L1305" s="90" t="n">
        <v>30</v>
      </c>
    </row>
    <row r="1306" customFormat="false" ht="17.6" hidden="false" customHeight="false" outlineLevel="0" collapsed="false">
      <c r="A1306" s="91" t="s">
        <v>1530</v>
      </c>
      <c r="B1306" s="90" t="s">
        <v>40</v>
      </c>
      <c r="C1306" s="90" t="n">
        <f aca="false">ROUND(E1306*G1306+F1306,0)</f>
        <v>440</v>
      </c>
      <c r="D1306" s="90" t="s">
        <v>163</v>
      </c>
      <c r="E1306" s="90" t="n">
        <v>630</v>
      </c>
      <c r="F1306" s="90" t="n">
        <f aca="false">H1306+I1306+J1306+K1306+L1306+M1306</f>
        <v>30</v>
      </c>
      <c r="G1306" s="90" t="n">
        <v>0.65</v>
      </c>
      <c r="L1306" s="90" t="n">
        <v>30</v>
      </c>
    </row>
    <row r="1307" customFormat="false" ht="17.6" hidden="false" customHeight="false" outlineLevel="0" collapsed="false">
      <c r="A1307" s="91" t="s">
        <v>1531</v>
      </c>
      <c r="B1307" s="90" t="s">
        <v>40</v>
      </c>
      <c r="C1307" s="90" t="n">
        <f aca="false">ROUND(E1307*G1307+F1307,0)</f>
        <v>636</v>
      </c>
      <c r="D1307" s="90" t="s">
        <v>163</v>
      </c>
      <c r="E1307" s="90" t="n">
        <v>630</v>
      </c>
      <c r="F1307" s="90" t="n">
        <f aca="false">H1307+I1307+J1307+K1307+L1307+M1307</f>
        <v>226</v>
      </c>
      <c r="G1307" s="90" t="n">
        <v>0.65</v>
      </c>
      <c r="L1307" s="90" t="n">
        <v>30</v>
      </c>
      <c r="M1307" s="90" t="n">
        <v>196</v>
      </c>
    </row>
    <row r="1308" customFormat="false" ht="17.6" hidden="false" customHeight="false" outlineLevel="0" collapsed="false">
      <c r="A1308" s="91" t="s">
        <v>1532</v>
      </c>
      <c r="B1308" s="90" t="s">
        <v>40</v>
      </c>
      <c r="C1308" s="90" t="n">
        <f aca="false">ROUND(E1308*G1308+F1308,0)</f>
        <v>477</v>
      </c>
      <c r="D1308" s="90" t="s">
        <v>163</v>
      </c>
      <c r="E1308" s="90" t="n">
        <v>630</v>
      </c>
      <c r="F1308" s="90" t="n">
        <f aca="false">H1308+I1308+J1308+K1308+L1308+M1308</f>
        <v>67</v>
      </c>
      <c r="G1308" s="90" t="n">
        <v>0.65</v>
      </c>
      <c r="H1308" s="90" t="n">
        <v>35</v>
      </c>
      <c r="K1308" s="90" t="n">
        <v>32</v>
      </c>
    </row>
    <row r="1309" customFormat="false" ht="17.6" hidden="false" customHeight="false" outlineLevel="0" collapsed="false">
      <c r="A1309" s="91" t="s">
        <v>1533</v>
      </c>
      <c r="B1309" s="90" t="s">
        <v>40</v>
      </c>
      <c r="C1309" s="90" t="n">
        <f aca="false">ROUND(E1309*G1309+F1309,0)</f>
        <v>442</v>
      </c>
      <c r="D1309" s="90" t="s">
        <v>163</v>
      </c>
      <c r="E1309" s="90" t="n">
        <v>630</v>
      </c>
      <c r="F1309" s="90" t="n">
        <f aca="false">H1309+I1309+J1309+K1309+L1309+M1309</f>
        <v>32</v>
      </c>
      <c r="G1309" s="90" t="n">
        <v>0.65</v>
      </c>
      <c r="K1309" s="90" t="n">
        <v>32</v>
      </c>
    </row>
    <row r="1310" customFormat="false" ht="17.6" hidden="false" customHeight="false" outlineLevel="0" collapsed="false">
      <c r="A1310" s="91" t="s">
        <v>1534</v>
      </c>
      <c r="B1310" s="90" t="s">
        <v>40</v>
      </c>
      <c r="C1310" s="90" t="n">
        <f aca="false">ROUND(E1310*G1310+F1310,0)</f>
        <v>638</v>
      </c>
      <c r="D1310" s="90" t="s">
        <v>163</v>
      </c>
      <c r="E1310" s="90" t="n">
        <v>630</v>
      </c>
      <c r="F1310" s="90" t="n">
        <f aca="false">H1310+I1310+J1310+K1310+L1310+M1310</f>
        <v>228</v>
      </c>
      <c r="G1310" s="90" t="n">
        <v>0.65</v>
      </c>
      <c r="K1310" s="90" t="n">
        <v>32</v>
      </c>
      <c r="M1310" s="90" t="n">
        <v>196</v>
      </c>
    </row>
    <row r="1311" customFormat="false" ht="17.6" hidden="false" customHeight="false" outlineLevel="0" collapsed="false">
      <c r="A1311" s="91" t="s">
        <v>1535</v>
      </c>
      <c r="B1311" s="90" t="s">
        <v>40</v>
      </c>
      <c r="C1311" s="90" t="n">
        <f aca="false">ROUND(630*0.65+196,)</f>
        <v>606</v>
      </c>
      <c r="D1311" s="90" t="s">
        <v>163</v>
      </c>
    </row>
    <row r="1312" customFormat="false" ht="17.6" hidden="false" customHeight="false" outlineLevel="0" collapsed="false">
      <c r="A1312" s="91" t="s">
        <v>1536</v>
      </c>
      <c r="B1312" s="90" t="s">
        <v>40</v>
      </c>
      <c r="C1312" s="90" t="n">
        <f aca="false">ROUND(E1312*G1312+F1312,0)</f>
        <v>606</v>
      </c>
      <c r="D1312" s="90" t="s">
        <v>163</v>
      </c>
      <c r="E1312" s="90" t="n">
        <v>630</v>
      </c>
      <c r="F1312" s="90" t="n">
        <f aca="false">H1312+I1312+J1312+K1312+L1312+M1312</f>
        <v>196</v>
      </c>
      <c r="G1312" s="90" t="n">
        <v>0.65</v>
      </c>
      <c r="M1312" s="90" t="n">
        <v>196</v>
      </c>
    </row>
    <row r="1313" customFormat="false" ht="17.6" hidden="false" customHeight="false" outlineLevel="0" collapsed="false">
      <c r="A1313" s="91" t="s">
        <v>1537</v>
      </c>
      <c r="B1313" s="90" t="s">
        <v>40</v>
      </c>
      <c r="C1313" s="90" t="n">
        <f aca="false">ROUND(E1313*G1313+F1313,0)</f>
        <v>481</v>
      </c>
      <c r="D1313" s="90" t="s">
        <v>163</v>
      </c>
      <c r="E1313" s="90" t="n">
        <v>630</v>
      </c>
      <c r="F1313" s="90" t="n">
        <f aca="false">H1313+I1313+J1313+K1313+L1313+M1313</f>
        <v>71</v>
      </c>
      <c r="G1313" s="90" t="n">
        <v>0.65</v>
      </c>
      <c r="H1313" s="90" t="n">
        <v>35</v>
      </c>
      <c r="J1313" s="90" t="n">
        <v>36</v>
      </c>
    </row>
    <row r="1314" customFormat="false" ht="17.6" hidden="false" customHeight="false" outlineLevel="0" collapsed="false">
      <c r="A1314" s="91" t="s">
        <v>1538</v>
      </c>
      <c r="B1314" s="90" t="s">
        <v>40</v>
      </c>
      <c r="C1314" s="90" t="n">
        <f aca="false">ROUND(E1314*G1314+F1314,0)</f>
        <v>446</v>
      </c>
      <c r="D1314" s="90" t="s">
        <v>163</v>
      </c>
      <c r="E1314" s="90" t="n">
        <v>630</v>
      </c>
      <c r="F1314" s="90" t="n">
        <f aca="false">H1314+I1314+J1314+K1314+L1314+M1314</f>
        <v>36</v>
      </c>
      <c r="G1314" s="90" t="n">
        <v>0.65</v>
      </c>
      <c r="J1314" s="90" t="n">
        <v>36</v>
      </c>
    </row>
    <row r="1315" customFormat="false" ht="17.6" hidden="false" customHeight="false" outlineLevel="0" collapsed="false">
      <c r="A1315" s="91" t="s">
        <v>1539</v>
      </c>
      <c r="B1315" s="90" t="s">
        <v>40</v>
      </c>
      <c r="C1315" s="90" t="n">
        <f aca="false">ROUND(E1315*G1315+F1315,0)</f>
        <v>642</v>
      </c>
      <c r="D1315" s="90" t="s">
        <v>163</v>
      </c>
      <c r="E1315" s="90" t="n">
        <v>630</v>
      </c>
      <c r="F1315" s="90" t="n">
        <f aca="false">H1315+I1315+J1315+K1315+L1315+M1315</f>
        <v>232</v>
      </c>
      <c r="G1315" s="90" t="n">
        <v>0.65</v>
      </c>
      <c r="J1315" s="90" t="n">
        <v>36</v>
      </c>
      <c r="M1315" s="90" t="n">
        <v>196</v>
      </c>
    </row>
    <row r="1316" customFormat="false" ht="17.6" hidden="false" customHeight="false" outlineLevel="0" collapsed="false">
      <c r="A1316" s="91" t="s">
        <v>1540</v>
      </c>
      <c r="B1316" s="90" t="s">
        <v>40</v>
      </c>
      <c r="C1316" s="90" t="n">
        <f aca="false">ROUND(630*0.65+110,)</f>
        <v>520</v>
      </c>
      <c r="D1316" s="90" t="s">
        <v>163</v>
      </c>
    </row>
    <row r="1317" customFormat="false" ht="17.6" hidden="false" customHeight="false" outlineLevel="0" collapsed="false">
      <c r="A1317" s="91" t="s">
        <v>1541</v>
      </c>
      <c r="B1317" s="90" t="s">
        <v>40</v>
      </c>
      <c r="C1317" s="90" t="n">
        <f aca="false">ROUND(E1317*G1317+F1317,0)</f>
        <v>561</v>
      </c>
      <c r="D1317" s="90" t="s">
        <v>163</v>
      </c>
      <c r="E1317" s="90" t="n">
        <v>630</v>
      </c>
      <c r="F1317" s="90" t="n">
        <f aca="false">H1317+I1317+J1317+K1317+L1317+M1317</f>
        <v>151</v>
      </c>
      <c r="G1317" s="90" t="n">
        <v>0.65</v>
      </c>
      <c r="H1317" s="90" t="n">
        <v>35</v>
      </c>
      <c r="I1317" s="90" t="n">
        <v>80</v>
      </c>
      <c r="J1317" s="90" t="n">
        <v>36</v>
      </c>
    </row>
    <row r="1318" customFormat="false" ht="17.6" hidden="false" customHeight="false" outlineLevel="0" collapsed="false">
      <c r="A1318" s="91" t="s">
        <v>1542</v>
      </c>
      <c r="B1318" s="90" t="s">
        <v>40</v>
      </c>
      <c r="C1318" s="90" t="n">
        <f aca="false">ROUND(E1318*G1318+F1318,0)</f>
        <v>526</v>
      </c>
      <c r="D1318" s="90" t="s">
        <v>163</v>
      </c>
      <c r="E1318" s="90" t="n">
        <v>630</v>
      </c>
      <c r="F1318" s="90" t="n">
        <f aca="false">H1318+I1318+J1318+K1318+L1318+M1318</f>
        <v>116</v>
      </c>
      <c r="G1318" s="90" t="n">
        <v>0.65</v>
      </c>
      <c r="I1318" s="90" t="n">
        <v>80</v>
      </c>
      <c r="J1318" s="90" t="n">
        <v>36</v>
      </c>
    </row>
    <row r="1319" customFormat="false" ht="17.6" hidden="false" customHeight="false" outlineLevel="0" collapsed="false">
      <c r="A1319" s="91" t="s">
        <v>1543</v>
      </c>
      <c r="B1319" s="90" t="s">
        <v>40</v>
      </c>
      <c r="C1319" s="90" t="n">
        <f aca="false">ROUND(630*0.65+196+80+36,)</f>
        <v>722</v>
      </c>
      <c r="D1319" s="90" t="s">
        <v>163</v>
      </c>
    </row>
    <row r="1320" customFormat="false" ht="17.6" hidden="false" customHeight="false" outlineLevel="0" collapsed="false">
      <c r="A1320" s="91" t="s">
        <v>1544</v>
      </c>
      <c r="B1320" s="90" t="s">
        <v>40</v>
      </c>
      <c r="C1320" s="90" t="n">
        <f aca="false">ROUND(E1320*G1320+F1320,0)</f>
        <v>722</v>
      </c>
      <c r="D1320" s="90" t="s">
        <v>163</v>
      </c>
      <c r="E1320" s="90" t="n">
        <v>630</v>
      </c>
      <c r="F1320" s="90" t="n">
        <f aca="false">H1320+I1320+J1320+K1320+L1320+M1320</f>
        <v>312</v>
      </c>
      <c r="G1320" s="90" t="n">
        <v>0.65</v>
      </c>
      <c r="I1320" s="90" t="n">
        <v>80</v>
      </c>
      <c r="J1320" s="90" t="n">
        <v>36</v>
      </c>
      <c r="M1320" s="90" t="n">
        <v>196</v>
      </c>
    </row>
    <row r="1321" customFormat="false" ht="17.6" hidden="false" customHeight="false" outlineLevel="0" collapsed="false">
      <c r="A1321" s="91" t="s">
        <v>1545</v>
      </c>
      <c r="B1321" s="90" t="s">
        <v>40</v>
      </c>
      <c r="C1321" s="90" t="n">
        <f aca="false">780*0.65+240+70+32</f>
        <v>849</v>
      </c>
      <c r="D1321" s="90" t="s">
        <v>163</v>
      </c>
    </row>
    <row r="1322" customFormat="false" ht="17.6" hidden="false" customHeight="false" outlineLevel="0" collapsed="false">
      <c r="A1322" s="91" t="s">
        <v>1546</v>
      </c>
      <c r="B1322" s="90" t="s">
        <v>40</v>
      </c>
      <c r="C1322" s="90" t="n">
        <f aca="false">ROUND(530*0.65+35,)</f>
        <v>380</v>
      </c>
      <c r="D1322" s="90" t="s">
        <v>163</v>
      </c>
    </row>
    <row r="1323" customFormat="false" ht="17.6" hidden="false" customHeight="false" outlineLevel="0" collapsed="false">
      <c r="A1323" s="91" t="s">
        <v>1547</v>
      </c>
      <c r="B1323" s="90" t="s">
        <v>40</v>
      </c>
      <c r="C1323" s="90" t="n">
        <f aca="false">ROUND(E1323*G1323+F1323,0)</f>
        <v>380</v>
      </c>
      <c r="D1323" s="90" t="s">
        <v>163</v>
      </c>
      <c r="E1323" s="90" t="n">
        <v>530</v>
      </c>
      <c r="F1323" s="90" t="n">
        <f aca="false">H1323+I1323+J1323+K1323+L1323+M1323</f>
        <v>35</v>
      </c>
      <c r="G1323" s="90" t="n">
        <v>0.65</v>
      </c>
      <c r="H1323" s="90" t="n">
        <v>35</v>
      </c>
    </row>
    <row r="1324" customFormat="false" ht="17.6" hidden="false" customHeight="false" outlineLevel="0" collapsed="false">
      <c r="A1324" s="91" t="s">
        <v>1548</v>
      </c>
      <c r="B1324" s="90" t="s">
        <v>40</v>
      </c>
      <c r="C1324" s="90" t="n">
        <f aca="false">ROUND(E1324*G1324+F1324,0)</f>
        <v>345</v>
      </c>
      <c r="D1324" s="90" t="s">
        <v>163</v>
      </c>
      <c r="E1324" s="90" t="n">
        <v>530</v>
      </c>
      <c r="F1324" s="90" t="n">
        <f aca="false">H1324+I1324+J1324+K1324+L1324+M1324</f>
        <v>0</v>
      </c>
      <c r="G1324" s="90" t="n">
        <v>0.65</v>
      </c>
    </row>
    <row r="1325" customFormat="false" ht="17.6" hidden="false" customHeight="false" outlineLevel="0" collapsed="false">
      <c r="A1325" s="91" t="s">
        <v>1548</v>
      </c>
      <c r="B1325" s="90" t="s">
        <v>40</v>
      </c>
      <c r="C1325" s="90" t="n">
        <f aca="false">ROUND(530*0.65,)</f>
        <v>345</v>
      </c>
      <c r="D1325" s="90" t="s">
        <v>163</v>
      </c>
    </row>
    <row r="1326" customFormat="false" ht="17.6" hidden="false" customHeight="false" outlineLevel="0" collapsed="false">
      <c r="A1326" s="91" t="s">
        <v>1549</v>
      </c>
      <c r="B1326" s="90" t="s">
        <v>40</v>
      </c>
      <c r="C1326" s="90" t="n">
        <f aca="false">ROUND(E1326*G1326+F1326,0)</f>
        <v>410</v>
      </c>
      <c r="D1326" s="90" t="s">
        <v>163</v>
      </c>
      <c r="E1326" s="90" t="n">
        <v>530</v>
      </c>
      <c r="F1326" s="90" t="n">
        <f aca="false">H1326+I1326+J1326+K1326+L1326+M1326</f>
        <v>65</v>
      </c>
      <c r="G1326" s="90" t="n">
        <v>0.65</v>
      </c>
      <c r="H1326" s="90" t="n">
        <v>35</v>
      </c>
      <c r="L1326" s="90" t="n">
        <v>30</v>
      </c>
    </row>
    <row r="1327" customFormat="false" ht="17.6" hidden="false" customHeight="false" outlineLevel="0" collapsed="false">
      <c r="A1327" s="91" t="s">
        <v>1550</v>
      </c>
      <c r="B1327" s="90" t="s">
        <v>40</v>
      </c>
      <c r="C1327" s="90" t="n">
        <f aca="false">ROUND(E1327*G1327+F1327,0)</f>
        <v>375</v>
      </c>
      <c r="D1327" s="90" t="s">
        <v>163</v>
      </c>
      <c r="E1327" s="90" t="n">
        <v>530</v>
      </c>
      <c r="F1327" s="90" t="n">
        <f aca="false">H1327+I1327+J1327+K1327+L1327+M1327</f>
        <v>30</v>
      </c>
      <c r="G1327" s="90" t="n">
        <v>0.65</v>
      </c>
      <c r="L1327" s="90" t="n">
        <v>30</v>
      </c>
    </row>
    <row r="1328" customFormat="false" ht="17.6" hidden="false" customHeight="false" outlineLevel="0" collapsed="false">
      <c r="A1328" s="91" t="s">
        <v>1551</v>
      </c>
      <c r="B1328" s="90" t="s">
        <v>40</v>
      </c>
      <c r="C1328" s="90" t="n">
        <f aca="false">ROUND(E1328*G1328+F1328,0)</f>
        <v>571</v>
      </c>
      <c r="D1328" s="90" t="s">
        <v>163</v>
      </c>
      <c r="E1328" s="90" t="n">
        <v>530</v>
      </c>
      <c r="F1328" s="90" t="n">
        <f aca="false">H1328+I1328+J1328+K1328+L1328+M1328</f>
        <v>226</v>
      </c>
      <c r="G1328" s="90" t="n">
        <v>0.65</v>
      </c>
      <c r="L1328" s="90" t="n">
        <v>30</v>
      </c>
      <c r="M1328" s="90" t="n">
        <v>196</v>
      </c>
    </row>
    <row r="1329" customFormat="false" ht="17.6" hidden="false" customHeight="false" outlineLevel="0" collapsed="false">
      <c r="A1329" s="91" t="s">
        <v>1552</v>
      </c>
      <c r="B1329" s="90" t="s">
        <v>40</v>
      </c>
      <c r="C1329" s="90" t="n">
        <f aca="false">ROUND(E1329*G1329+F1329,0)</f>
        <v>412</v>
      </c>
      <c r="D1329" s="90" t="s">
        <v>163</v>
      </c>
      <c r="E1329" s="90" t="n">
        <v>530</v>
      </c>
      <c r="F1329" s="90" t="n">
        <f aca="false">H1329+I1329+J1329+K1329+L1329+M1329</f>
        <v>67</v>
      </c>
      <c r="G1329" s="90" t="n">
        <v>0.65</v>
      </c>
      <c r="H1329" s="90" t="n">
        <v>35</v>
      </c>
      <c r="K1329" s="90" t="n">
        <v>32</v>
      </c>
    </row>
    <row r="1330" customFormat="false" ht="17.6" hidden="false" customHeight="false" outlineLevel="0" collapsed="false">
      <c r="A1330" s="91" t="s">
        <v>1553</v>
      </c>
      <c r="B1330" s="90" t="s">
        <v>40</v>
      </c>
      <c r="C1330" s="90" t="n">
        <f aca="false">ROUND(E1330*G1330+F1330,0)</f>
        <v>377</v>
      </c>
      <c r="D1330" s="90" t="s">
        <v>163</v>
      </c>
      <c r="E1330" s="90" t="n">
        <v>530</v>
      </c>
      <c r="F1330" s="90" t="n">
        <f aca="false">H1330+I1330+J1330+K1330+L1330+M1330</f>
        <v>32</v>
      </c>
      <c r="G1330" s="90" t="n">
        <v>0.65</v>
      </c>
      <c r="K1330" s="90" t="n">
        <v>32</v>
      </c>
    </row>
    <row r="1331" customFormat="false" ht="17.6" hidden="false" customHeight="false" outlineLevel="0" collapsed="false">
      <c r="A1331" s="91" t="s">
        <v>1554</v>
      </c>
      <c r="B1331" s="90" t="s">
        <v>40</v>
      </c>
      <c r="C1331" s="90" t="n">
        <f aca="false">ROUND(E1331*G1331+F1331,0)</f>
        <v>573</v>
      </c>
      <c r="D1331" s="90" t="s">
        <v>163</v>
      </c>
      <c r="E1331" s="90" t="n">
        <v>530</v>
      </c>
      <c r="F1331" s="90" t="n">
        <f aca="false">H1331+I1331+J1331+K1331+L1331+M1331</f>
        <v>228</v>
      </c>
      <c r="G1331" s="90" t="n">
        <v>0.65</v>
      </c>
      <c r="K1331" s="90" t="n">
        <v>32</v>
      </c>
      <c r="M1331" s="90" t="n">
        <v>196</v>
      </c>
    </row>
    <row r="1332" customFormat="false" ht="17.6" hidden="false" customHeight="false" outlineLevel="0" collapsed="false">
      <c r="A1332" s="91" t="s">
        <v>1555</v>
      </c>
      <c r="B1332" s="90" t="s">
        <v>40</v>
      </c>
      <c r="C1332" s="90" t="n">
        <f aca="false">ROUND(530*0.65+196,)</f>
        <v>541</v>
      </c>
      <c r="D1332" s="90" t="s">
        <v>163</v>
      </c>
    </row>
    <row r="1333" customFormat="false" ht="17.6" hidden="false" customHeight="false" outlineLevel="0" collapsed="false">
      <c r="A1333" s="91" t="s">
        <v>1556</v>
      </c>
      <c r="B1333" s="90" t="s">
        <v>40</v>
      </c>
      <c r="C1333" s="90" t="n">
        <f aca="false">ROUND(E1333*G1333+F1333,0)</f>
        <v>541</v>
      </c>
      <c r="D1333" s="90" t="s">
        <v>163</v>
      </c>
      <c r="E1333" s="90" t="n">
        <v>530</v>
      </c>
      <c r="F1333" s="90" t="n">
        <f aca="false">H1333+I1333+J1333+K1333+L1333+M1333</f>
        <v>196</v>
      </c>
      <c r="G1333" s="90" t="n">
        <v>0.65</v>
      </c>
      <c r="M1333" s="90" t="n">
        <v>196</v>
      </c>
    </row>
    <row r="1334" customFormat="false" ht="17.6" hidden="false" customHeight="false" outlineLevel="0" collapsed="false">
      <c r="A1334" s="91" t="s">
        <v>1557</v>
      </c>
      <c r="B1334" s="90" t="s">
        <v>40</v>
      </c>
      <c r="C1334" s="90" t="n">
        <f aca="false">ROUND(530*0.65+35+36,)</f>
        <v>416</v>
      </c>
      <c r="D1334" s="90" t="s">
        <v>163</v>
      </c>
    </row>
    <row r="1335" customFormat="false" ht="17.6" hidden="false" customHeight="false" outlineLevel="0" collapsed="false">
      <c r="A1335" s="91" t="s">
        <v>1558</v>
      </c>
      <c r="B1335" s="90" t="s">
        <v>40</v>
      </c>
      <c r="C1335" s="90" t="n">
        <f aca="false">ROUND(E1335*G1335+F1335,0)</f>
        <v>416</v>
      </c>
      <c r="D1335" s="90" t="s">
        <v>163</v>
      </c>
      <c r="E1335" s="90" t="n">
        <v>530</v>
      </c>
      <c r="F1335" s="90" t="n">
        <f aca="false">H1335+I1335+J1335+K1335+L1335+M1335</f>
        <v>71</v>
      </c>
      <c r="G1335" s="90" t="n">
        <v>0.65</v>
      </c>
      <c r="H1335" s="90" t="n">
        <v>35</v>
      </c>
      <c r="J1335" s="90" t="n">
        <v>36</v>
      </c>
    </row>
    <row r="1336" customFormat="false" ht="17.6" hidden="false" customHeight="false" outlineLevel="0" collapsed="false">
      <c r="A1336" s="91" t="s">
        <v>1559</v>
      </c>
      <c r="B1336" s="90" t="s">
        <v>40</v>
      </c>
      <c r="C1336" s="90" t="n">
        <f aca="false">ROUND(E1336*G1336+F1336,0)</f>
        <v>381</v>
      </c>
      <c r="D1336" s="90" t="s">
        <v>163</v>
      </c>
      <c r="E1336" s="90" t="n">
        <v>530</v>
      </c>
      <c r="F1336" s="90" t="n">
        <f aca="false">H1336+I1336+J1336+K1336+L1336+M1336</f>
        <v>36</v>
      </c>
      <c r="G1336" s="90" t="n">
        <v>0.65</v>
      </c>
      <c r="J1336" s="90" t="n">
        <v>36</v>
      </c>
    </row>
    <row r="1337" customFormat="false" ht="17.6" hidden="false" customHeight="false" outlineLevel="0" collapsed="false">
      <c r="A1337" s="91" t="s">
        <v>1560</v>
      </c>
      <c r="B1337" s="90" t="s">
        <v>40</v>
      </c>
      <c r="C1337" s="90" t="n">
        <f aca="false">ROUND(E1337*G1337+F1337,0)</f>
        <v>577</v>
      </c>
      <c r="D1337" s="90" t="s">
        <v>163</v>
      </c>
      <c r="E1337" s="90" t="n">
        <v>530</v>
      </c>
      <c r="F1337" s="90" t="n">
        <f aca="false">H1337+I1337+J1337+K1337+L1337+M1337</f>
        <v>232</v>
      </c>
      <c r="G1337" s="90" t="n">
        <v>0.65</v>
      </c>
      <c r="J1337" s="90" t="n">
        <v>36</v>
      </c>
      <c r="M1337" s="90" t="n">
        <v>196</v>
      </c>
    </row>
    <row r="1338" customFormat="false" ht="17.6" hidden="false" customHeight="false" outlineLevel="0" collapsed="false">
      <c r="A1338" s="91" t="s">
        <v>1561</v>
      </c>
      <c r="B1338" s="90" t="s">
        <v>40</v>
      </c>
      <c r="C1338" s="90" t="n">
        <f aca="false">ROUND(530*0.65+35+80+36,)</f>
        <v>496</v>
      </c>
      <c r="D1338" s="90" t="s">
        <v>163</v>
      </c>
    </row>
    <row r="1339" customFormat="false" ht="17.6" hidden="false" customHeight="false" outlineLevel="0" collapsed="false">
      <c r="A1339" s="91" t="s">
        <v>1562</v>
      </c>
      <c r="B1339" s="90" t="s">
        <v>40</v>
      </c>
      <c r="C1339" s="90" t="n">
        <f aca="false">ROUND(E1339*G1339+F1339,0)</f>
        <v>496</v>
      </c>
      <c r="D1339" s="90" t="s">
        <v>163</v>
      </c>
      <c r="E1339" s="90" t="n">
        <v>530</v>
      </c>
      <c r="F1339" s="90" t="n">
        <f aca="false">H1339+I1339+J1339+K1339+L1339+M1339</f>
        <v>151</v>
      </c>
      <c r="G1339" s="90" t="n">
        <v>0.65</v>
      </c>
      <c r="H1339" s="90" t="n">
        <v>35</v>
      </c>
      <c r="I1339" s="90" t="n">
        <v>80</v>
      </c>
      <c r="J1339" s="90" t="n">
        <v>36</v>
      </c>
    </row>
    <row r="1340" customFormat="false" ht="17.6" hidden="false" customHeight="false" outlineLevel="0" collapsed="false">
      <c r="A1340" s="91" t="s">
        <v>1563</v>
      </c>
      <c r="B1340" s="90" t="s">
        <v>40</v>
      </c>
      <c r="C1340" s="90" t="n">
        <f aca="false">ROUND(E1340*G1340+F1340,0)</f>
        <v>461</v>
      </c>
      <c r="D1340" s="90" t="s">
        <v>163</v>
      </c>
      <c r="E1340" s="90" t="n">
        <v>530</v>
      </c>
      <c r="F1340" s="90" t="n">
        <f aca="false">H1340+I1340+J1340+K1340+L1340+M1340</f>
        <v>116</v>
      </c>
      <c r="G1340" s="90" t="n">
        <v>0.65</v>
      </c>
      <c r="I1340" s="90" t="n">
        <v>80</v>
      </c>
      <c r="J1340" s="90" t="n">
        <v>36</v>
      </c>
    </row>
    <row r="1341" customFormat="false" ht="17.6" hidden="false" customHeight="false" outlineLevel="0" collapsed="false">
      <c r="A1341" s="91" t="s">
        <v>1564</v>
      </c>
      <c r="B1341" s="90" t="s">
        <v>40</v>
      </c>
      <c r="C1341" s="90" t="n">
        <f aca="false">ROUND(530*0.65+196+80+36,)</f>
        <v>657</v>
      </c>
      <c r="D1341" s="90" t="s">
        <v>163</v>
      </c>
    </row>
    <row r="1342" customFormat="false" ht="17.6" hidden="false" customHeight="false" outlineLevel="0" collapsed="false">
      <c r="A1342" s="91" t="s">
        <v>1565</v>
      </c>
      <c r="B1342" s="90" t="s">
        <v>40</v>
      </c>
      <c r="C1342" s="90" t="n">
        <f aca="false">ROUND(E1342*G1342+F1342,0)</f>
        <v>657</v>
      </c>
      <c r="D1342" s="90" t="s">
        <v>163</v>
      </c>
      <c r="E1342" s="90" t="n">
        <v>530</v>
      </c>
      <c r="F1342" s="90" t="n">
        <f aca="false">H1342+I1342+J1342+K1342+L1342+M1342</f>
        <v>312</v>
      </c>
      <c r="G1342" s="90" t="n">
        <v>0.65</v>
      </c>
      <c r="I1342" s="90" t="n">
        <v>80</v>
      </c>
      <c r="J1342" s="90" t="n">
        <v>36</v>
      </c>
      <c r="M1342" s="90" t="n">
        <v>196</v>
      </c>
    </row>
    <row r="1343" customFormat="false" ht="17.6" hidden="false" customHeight="false" outlineLevel="0" collapsed="false">
      <c r="A1343" s="91" t="s">
        <v>1566</v>
      </c>
      <c r="B1343" s="90" t="s">
        <v>40</v>
      </c>
      <c r="C1343" s="90" t="n">
        <f aca="false">ROUND(765*0.65+35,)</f>
        <v>532</v>
      </c>
      <c r="D1343" s="90" t="s">
        <v>163</v>
      </c>
    </row>
    <row r="1344" customFormat="false" ht="17.6" hidden="false" customHeight="false" outlineLevel="0" collapsed="false">
      <c r="A1344" s="91" t="s">
        <v>1567</v>
      </c>
      <c r="B1344" s="90" t="s">
        <v>40</v>
      </c>
      <c r="C1344" s="90" t="n">
        <f aca="false">ROUND(E1344*G1344+F1344,0)</f>
        <v>532</v>
      </c>
      <c r="D1344" s="90" t="s">
        <v>163</v>
      </c>
      <c r="E1344" s="90" t="n">
        <v>765</v>
      </c>
      <c r="F1344" s="90" t="n">
        <f aca="false">H1344+I1344+J1344+K1344+L1344+M1344</f>
        <v>35</v>
      </c>
      <c r="G1344" s="90" t="n">
        <v>0.65</v>
      </c>
      <c r="H1344" s="90" t="n">
        <v>35</v>
      </c>
    </row>
    <row r="1345" customFormat="false" ht="17.6" hidden="false" customHeight="false" outlineLevel="0" collapsed="false">
      <c r="A1345" s="91" t="s">
        <v>1568</v>
      </c>
      <c r="B1345" s="90" t="s">
        <v>40</v>
      </c>
      <c r="C1345" s="90" t="n">
        <f aca="false">ROUND(E1345*G1345+F1345,0)</f>
        <v>497</v>
      </c>
      <c r="D1345" s="90" t="s">
        <v>163</v>
      </c>
      <c r="E1345" s="90" t="n">
        <v>765</v>
      </c>
      <c r="F1345" s="90" t="n">
        <f aca="false">H1345+I1345+J1345+K1345+L1345+M1345</f>
        <v>0</v>
      </c>
      <c r="G1345" s="90" t="n">
        <v>0.65</v>
      </c>
    </row>
    <row r="1346" customFormat="false" ht="17.6" hidden="false" customHeight="false" outlineLevel="0" collapsed="false">
      <c r="A1346" s="91" t="s">
        <v>1568</v>
      </c>
      <c r="B1346" s="90" t="s">
        <v>40</v>
      </c>
      <c r="C1346" s="90" t="n">
        <f aca="false">ROUND(765*0.65,)</f>
        <v>497</v>
      </c>
      <c r="D1346" s="90" t="s">
        <v>163</v>
      </c>
    </row>
    <row r="1347" customFormat="false" ht="17.6" hidden="false" customHeight="false" outlineLevel="0" collapsed="false">
      <c r="A1347" s="91" t="s">
        <v>1569</v>
      </c>
      <c r="B1347" s="90" t="s">
        <v>40</v>
      </c>
      <c r="C1347" s="90" t="n">
        <f aca="false">ROUND(765*0.65+35+30,)</f>
        <v>562</v>
      </c>
      <c r="D1347" s="90" t="s">
        <v>163</v>
      </c>
    </row>
    <row r="1348" customFormat="false" ht="17.6" hidden="false" customHeight="false" outlineLevel="0" collapsed="false">
      <c r="A1348" s="91" t="s">
        <v>1570</v>
      </c>
      <c r="B1348" s="90" t="s">
        <v>40</v>
      </c>
      <c r="C1348" s="90" t="n">
        <f aca="false">ROUND(E1348*G1348+F1348,0)</f>
        <v>562</v>
      </c>
      <c r="D1348" s="90" t="s">
        <v>163</v>
      </c>
      <c r="E1348" s="90" t="n">
        <v>765</v>
      </c>
      <c r="F1348" s="90" t="n">
        <f aca="false">H1348+I1348+J1348+K1348+L1348+M1348</f>
        <v>65</v>
      </c>
      <c r="G1348" s="90" t="n">
        <v>0.65</v>
      </c>
      <c r="H1348" s="90" t="n">
        <v>35</v>
      </c>
      <c r="L1348" s="90" t="n">
        <v>30</v>
      </c>
    </row>
    <row r="1349" customFormat="false" ht="17.6" hidden="false" customHeight="false" outlineLevel="0" collapsed="false">
      <c r="A1349" s="91" t="s">
        <v>1571</v>
      </c>
      <c r="B1349" s="90" t="s">
        <v>40</v>
      </c>
      <c r="C1349" s="90" t="n">
        <f aca="false">ROUND(E1349*G1349+F1349,0)</f>
        <v>527</v>
      </c>
      <c r="D1349" s="90" t="s">
        <v>163</v>
      </c>
      <c r="E1349" s="90" t="n">
        <v>765</v>
      </c>
      <c r="F1349" s="90" t="n">
        <f aca="false">H1349+I1349+J1349+K1349+L1349+M1349</f>
        <v>30</v>
      </c>
      <c r="G1349" s="90" t="n">
        <v>0.65</v>
      </c>
      <c r="L1349" s="90" t="n">
        <v>30</v>
      </c>
    </row>
    <row r="1350" customFormat="false" ht="17.6" hidden="false" customHeight="false" outlineLevel="0" collapsed="false">
      <c r="A1350" s="91" t="s">
        <v>1572</v>
      </c>
      <c r="B1350" s="90" t="s">
        <v>40</v>
      </c>
      <c r="C1350" s="90" t="n">
        <f aca="false">ROUND(E1350*G1350+F1350,0)</f>
        <v>723</v>
      </c>
      <c r="D1350" s="90" t="s">
        <v>163</v>
      </c>
      <c r="E1350" s="90" t="n">
        <v>765</v>
      </c>
      <c r="F1350" s="90" t="n">
        <f aca="false">H1350+I1350+J1350+K1350+L1350+M1350</f>
        <v>226</v>
      </c>
      <c r="G1350" s="90" t="n">
        <v>0.65</v>
      </c>
      <c r="L1350" s="90" t="n">
        <v>30</v>
      </c>
      <c r="M1350" s="90" t="n">
        <v>196</v>
      </c>
    </row>
    <row r="1351" customFormat="false" ht="17.6" hidden="false" customHeight="false" outlineLevel="0" collapsed="false">
      <c r="A1351" s="91" t="s">
        <v>1573</v>
      </c>
      <c r="B1351" s="90" t="s">
        <v>40</v>
      </c>
      <c r="C1351" s="90" t="n">
        <f aca="false">ROUND(E1351*G1351+F1351,0)</f>
        <v>564</v>
      </c>
      <c r="D1351" s="90" t="s">
        <v>163</v>
      </c>
      <c r="E1351" s="90" t="n">
        <v>765</v>
      </c>
      <c r="F1351" s="90" t="n">
        <f aca="false">H1351+I1351+J1351+K1351+L1351+M1351</f>
        <v>67</v>
      </c>
      <c r="G1351" s="90" t="n">
        <v>0.65</v>
      </c>
      <c r="H1351" s="90" t="n">
        <v>35</v>
      </c>
      <c r="K1351" s="90" t="n">
        <v>32</v>
      </c>
    </row>
    <row r="1352" customFormat="false" ht="17.6" hidden="false" customHeight="false" outlineLevel="0" collapsed="false">
      <c r="A1352" s="91" t="s">
        <v>1574</v>
      </c>
      <c r="B1352" s="90" t="s">
        <v>40</v>
      </c>
      <c r="C1352" s="90" t="n">
        <f aca="false">ROUND(E1352*G1352+F1352,0)</f>
        <v>529</v>
      </c>
      <c r="D1352" s="90" t="s">
        <v>163</v>
      </c>
      <c r="E1352" s="90" t="n">
        <v>765</v>
      </c>
      <c r="F1352" s="90" t="n">
        <f aca="false">H1352+I1352+J1352+K1352+L1352+M1352</f>
        <v>32</v>
      </c>
      <c r="G1352" s="90" t="n">
        <v>0.65</v>
      </c>
      <c r="K1352" s="90" t="n">
        <v>32</v>
      </c>
    </row>
    <row r="1353" customFormat="false" ht="17.6" hidden="false" customHeight="false" outlineLevel="0" collapsed="false">
      <c r="A1353" s="91" t="s">
        <v>1575</v>
      </c>
      <c r="B1353" s="90" t="s">
        <v>40</v>
      </c>
      <c r="C1353" s="90" t="n">
        <f aca="false">ROUND(E1353*G1353+F1353,0)</f>
        <v>725</v>
      </c>
      <c r="D1353" s="90" t="s">
        <v>163</v>
      </c>
      <c r="E1353" s="90" t="n">
        <v>765</v>
      </c>
      <c r="F1353" s="90" t="n">
        <f aca="false">H1353+I1353+J1353+K1353+L1353+M1353</f>
        <v>228</v>
      </c>
      <c r="G1353" s="90" t="n">
        <v>0.65</v>
      </c>
      <c r="K1353" s="90" t="n">
        <v>32</v>
      </c>
      <c r="M1353" s="90" t="n">
        <v>196</v>
      </c>
    </row>
    <row r="1354" customFormat="false" ht="17.6" hidden="false" customHeight="false" outlineLevel="0" collapsed="false">
      <c r="A1354" s="91" t="s">
        <v>1576</v>
      </c>
      <c r="B1354" s="90" t="s">
        <v>40</v>
      </c>
      <c r="C1354" s="90" t="n">
        <f aca="false">ROUND(765*0.65+196,)</f>
        <v>693</v>
      </c>
      <c r="D1354" s="90" t="s">
        <v>163</v>
      </c>
    </row>
    <row r="1355" customFormat="false" ht="17.6" hidden="false" customHeight="false" outlineLevel="0" collapsed="false">
      <c r="A1355" s="91" t="s">
        <v>1577</v>
      </c>
      <c r="B1355" s="90" t="s">
        <v>40</v>
      </c>
      <c r="C1355" s="90" t="n">
        <f aca="false">ROUND(E1355*G1355+F1355,0)</f>
        <v>693</v>
      </c>
      <c r="D1355" s="90" t="s">
        <v>163</v>
      </c>
      <c r="E1355" s="90" t="n">
        <v>765</v>
      </c>
      <c r="F1355" s="90" t="n">
        <f aca="false">H1355+I1355+J1355+K1355+L1355+M1355</f>
        <v>196</v>
      </c>
      <c r="G1355" s="90" t="n">
        <v>0.65</v>
      </c>
      <c r="M1355" s="90" t="n">
        <v>196</v>
      </c>
    </row>
    <row r="1356" customFormat="false" ht="17.6" hidden="false" customHeight="false" outlineLevel="0" collapsed="false">
      <c r="A1356" s="91" t="s">
        <v>1578</v>
      </c>
      <c r="B1356" s="90" t="s">
        <v>40</v>
      </c>
      <c r="C1356" s="90" t="n">
        <f aca="false">ROUND(E1356*G1356+F1356,0)</f>
        <v>568</v>
      </c>
      <c r="D1356" s="90" t="s">
        <v>163</v>
      </c>
      <c r="E1356" s="90" t="n">
        <v>765</v>
      </c>
      <c r="F1356" s="90" t="n">
        <f aca="false">H1356+I1356+J1356+K1356+L1356+M1356</f>
        <v>71</v>
      </c>
      <c r="G1356" s="90" t="n">
        <v>0.65</v>
      </c>
      <c r="H1356" s="90" t="n">
        <v>35</v>
      </c>
      <c r="J1356" s="90" t="n">
        <v>36</v>
      </c>
    </row>
    <row r="1357" customFormat="false" ht="17.6" hidden="false" customHeight="false" outlineLevel="0" collapsed="false">
      <c r="A1357" s="91" t="s">
        <v>1579</v>
      </c>
      <c r="B1357" s="90" t="s">
        <v>40</v>
      </c>
      <c r="C1357" s="90" t="n">
        <f aca="false">ROUND(E1357*G1357+F1357,0)</f>
        <v>533</v>
      </c>
      <c r="D1357" s="90" t="s">
        <v>163</v>
      </c>
      <c r="E1357" s="90" t="n">
        <v>765</v>
      </c>
      <c r="F1357" s="90" t="n">
        <f aca="false">H1357+I1357+J1357+K1357+L1357+M1357</f>
        <v>36</v>
      </c>
      <c r="G1357" s="90" t="n">
        <v>0.65</v>
      </c>
      <c r="J1357" s="90" t="n">
        <v>36</v>
      </c>
    </row>
    <row r="1358" customFormat="false" ht="17.6" hidden="false" customHeight="false" outlineLevel="0" collapsed="false">
      <c r="A1358" s="91" t="s">
        <v>1580</v>
      </c>
      <c r="B1358" s="90" t="s">
        <v>40</v>
      </c>
      <c r="C1358" s="90" t="n">
        <f aca="false">ROUND(E1358*G1358+F1358,0)</f>
        <v>729</v>
      </c>
      <c r="D1358" s="90" t="s">
        <v>163</v>
      </c>
      <c r="E1358" s="90" t="n">
        <v>765</v>
      </c>
      <c r="F1358" s="90" t="n">
        <f aca="false">H1358+I1358+J1358+K1358+L1358+M1358</f>
        <v>232</v>
      </c>
      <c r="G1358" s="90" t="n">
        <v>0.65</v>
      </c>
      <c r="J1358" s="90" t="n">
        <v>36</v>
      </c>
      <c r="M1358" s="90" t="n">
        <v>196</v>
      </c>
    </row>
    <row r="1359" customFormat="false" ht="17.6" hidden="false" customHeight="false" outlineLevel="0" collapsed="false">
      <c r="A1359" s="91" t="s">
        <v>1581</v>
      </c>
      <c r="B1359" s="90" t="s">
        <v>40</v>
      </c>
      <c r="C1359" s="90" t="n">
        <f aca="false">ROUND(765*0.65+110,)</f>
        <v>607</v>
      </c>
      <c r="D1359" s="90" t="s">
        <v>163</v>
      </c>
    </row>
    <row r="1360" customFormat="false" ht="17.6" hidden="false" customHeight="false" outlineLevel="0" collapsed="false">
      <c r="A1360" s="91" t="s">
        <v>1582</v>
      </c>
      <c r="B1360" s="90" t="s">
        <v>40</v>
      </c>
      <c r="C1360" s="90" t="n">
        <f aca="false">ROUND(E1360*G1360+F1360,0)</f>
        <v>648</v>
      </c>
      <c r="D1360" s="90" t="s">
        <v>163</v>
      </c>
      <c r="E1360" s="90" t="n">
        <v>765</v>
      </c>
      <c r="F1360" s="90" t="n">
        <f aca="false">H1360+I1360+J1360+K1360+L1360+M1360</f>
        <v>151</v>
      </c>
      <c r="G1360" s="90" t="n">
        <v>0.65</v>
      </c>
      <c r="H1360" s="90" t="n">
        <v>35</v>
      </c>
      <c r="I1360" s="90" t="n">
        <v>80</v>
      </c>
      <c r="J1360" s="90" t="n">
        <v>36</v>
      </c>
    </row>
    <row r="1361" customFormat="false" ht="17.6" hidden="false" customHeight="false" outlineLevel="0" collapsed="false">
      <c r="A1361" s="91" t="s">
        <v>1583</v>
      </c>
      <c r="B1361" s="90" t="s">
        <v>40</v>
      </c>
      <c r="C1361" s="90" t="n">
        <f aca="false">ROUND(E1361*G1361+F1361,0)</f>
        <v>613</v>
      </c>
      <c r="D1361" s="90" t="s">
        <v>163</v>
      </c>
      <c r="E1361" s="90" t="n">
        <v>765</v>
      </c>
      <c r="F1361" s="90" t="n">
        <f aca="false">H1361+I1361+J1361+K1361+L1361+M1361</f>
        <v>116</v>
      </c>
      <c r="G1361" s="90" t="n">
        <v>0.65</v>
      </c>
      <c r="I1361" s="90" t="n">
        <v>80</v>
      </c>
      <c r="J1361" s="90" t="n">
        <v>36</v>
      </c>
    </row>
    <row r="1362" customFormat="false" ht="17.6" hidden="false" customHeight="false" outlineLevel="0" collapsed="false">
      <c r="A1362" s="91" t="s">
        <v>1584</v>
      </c>
      <c r="B1362" s="90" t="s">
        <v>40</v>
      </c>
      <c r="C1362" s="90" t="n">
        <f aca="false">ROUND(765*0.65+196+80+36,)</f>
        <v>809</v>
      </c>
      <c r="D1362" s="90" t="s">
        <v>163</v>
      </c>
    </row>
    <row r="1363" customFormat="false" ht="17.6" hidden="false" customHeight="false" outlineLevel="0" collapsed="false">
      <c r="A1363" s="91" t="s">
        <v>1585</v>
      </c>
      <c r="B1363" s="90" t="s">
        <v>40</v>
      </c>
      <c r="C1363" s="90" t="n">
        <f aca="false">ROUND(E1363*G1363+F1363,0)</f>
        <v>809</v>
      </c>
      <c r="D1363" s="90" t="s">
        <v>163</v>
      </c>
      <c r="E1363" s="90" t="n">
        <v>765</v>
      </c>
      <c r="F1363" s="90" t="n">
        <f aca="false">H1363+I1363+J1363+K1363+L1363+M1363</f>
        <v>312</v>
      </c>
      <c r="G1363" s="90" t="n">
        <v>0.65</v>
      </c>
      <c r="I1363" s="90" t="n">
        <v>80</v>
      </c>
      <c r="J1363" s="90" t="n">
        <v>36</v>
      </c>
      <c r="M1363" s="90" t="n">
        <v>196</v>
      </c>
    </row>
    <row r="1364" customFormat="false" ht="17.6" hidden="false" customHeight="false" outlineLevel="0" collapsed="false">
      <c r="A1364" s="91" t="s">
        <v>1586</v>
      </c>
      <c r="B1364" s="90" t="s">
        <v>40</v>
      </c>
      <c r="C1364" s="90" t="n">
        <f aca="false">ROUND(565*0.65+35,)</f>
        <v>402</v>
      </c>
      <c r="D1364" s="90" t="s">
        <v>163</v>
      </c>
    </row>
    <row r="1365" customFormat="false" ht="17.6" hidden="false" customHeight="false" outlineLevel="0" collapsed="false">
      <c r="A1365" s="91" t="s">
        <v>1587</v>
      </c>
      <c r="B1365" s="90" t="s">
        <v>40</v>
      </c>
      <c r="C1365" s="90" t="n">
        <f aca="false">ROUND(E1365*G1365+F1365,0)</f>
        <v>402</v>
      </c>
      <c r="D1365" s="90" t="s">
        <v>163</v>
      </c>
      <c r="E1365" s="90" t="n">
        <v>565</v>
      </c>
      <c r="F1365" s="90" t="n">
        <f aca="false">H1365+I1365+J1365+K1365+L1365+M1365</f>
        <v>35</v>
      </c>
      <c r="G1365" s="90" t="n">
        <v>0.65</v>
      </c>
      <c r="H1365" s="90" t="n">
        <v>35</v>
      </c>
    </row>
    <row r="1366" customFormat="false" ht="17.6" hidden="false" customHeight="false" outlineLevel="0" collapsed="false">
      <c r="A1366" s="91" t="s">
        <v>1588</v>
      </c>
      <c r="B1366" s="90" t="s">
        <v>40</v>
      </c>
      <c r="C1366" s="90" t="n">
        <f aca="false">ROUND(E1366*G1366+F1366,0)</f>
        <v>367</v>
      </c>
      <c r="D1366" s="90" t="s">
        <v>163</v>
      </c>
      <c r="E1366" s="90" t="n">
        <v>565</v>
      </c>
      <c r="F1366" s="90" t="n">
        <f aca="false">H1366+I1366+J1366+K1366+L1366+M1366</f>
        <v>0</v>
      </c>
      <c r="G1366" s="90" t="n">
        <v>0.65</v>
      </c>
    </row>
    <row r="1367" customFormat="false" ht="17.6" hidden="false" customHeight="false" outlineLevel="0" collapsed="false">
      <c r="A1367" s="91" t="s">
        <v>1588</v>
      </c>
      <c r="B1367" s="90" t="s">
        <v>40</v>
      </c>
      <c r="C1367" s="90" t="n">
        <f aca="false">ROUND(565*0.65,)</f>
        <v>367</v>
      </c>
      <c r="D1367" s="90" t="s">
        <v>163</v>
      </c>
    </row>
    <row r="1368" customFormat="false" ht="17.6" hidden="false" customHeight="false" outlineLevel="0" collapsed="false">
      <c r="A1368" s="91" t="s">
        <v>1589</v>
      </c>
      <c r="B1368" s="90" t="s">
        <v>40</v>
      </c>
      <c r="C1368" s="90" t="n">
        <f aca="false">ROUND(E1368*G1368+F1368,0)</f>
        <v>432</v>
      </c>
      <c r="D1368" s="90" t="s">
        <v>163</v>
      </c>
      <c r="E1368" s="90" t="n">
        <v>565</v>
      </c>
      <c r="F1368" s="90" t="n">
        <f aca="false">H1368+I1368+J1368+K1368+L1368+M1368</f>
        <v>65</v>
      </c>
      <c r="G1368" s="90" t="n">
        <v>0.65</v>
      </c>
      <c r="H1368" s="90" t="n">
        <v>35</v>
      </c>
      <c r="L1368" s="90" t="n">
        <v>30</v>
      </c>
    </row>
    <row r="1369" customFormat="false" ht="17.6" hidden="false" customHeight="false" outlineLevel="0" collapsed="false">
      <c r="A1369" s="91" t="s">
        <v>1590</v>
      </c>
      <c r="B1369" s="90" t="s">
        <v>40</v>
      </c>
      <c r="C1369" s="90" t="n">
        <f aca="false">ROUND(E1369*G1369+F1369,0)</f>
        <v>397</v>
      </c>
      <c r="D1369" s="90" t="s">
        <v>163</v>
      </c>
      <c r="E1369" s="90" t="n">
        <v>565</v>
      </c>
      <c r="F1369" s="90" t="n">
        <f aca="false">H1369+I1369+J1369+K1369+L1369+M1369</f>
        <v>30</v>
      </c>
      <c r="G1369" s="90" t="n">
        <v>0.65</v>
      </c>
      <c r="L1369" s="90" t="n">
        <v>30</v>
      </c>
    </row>
    <row r="1370" customFormat="false" ht="17.6" hidden="false" customHeight="false" outlineLevel="0" collapsed="false">
      <c r="A1370" s="91" t="s">
        <v>1591</v>
      </c>
      <c r="B1370" s="90" t="s">
        <v>40</v>
      </c>
      <c r="C1370" s="90" t="n">
        <f aca="false">ROUND(E1370*G1370+F1370,0)</f>
        <v>593</v>
      </c>
      <c r="D1370" s="90" t="s">
        <v>163</v>
      </c>
      <c r="E1370" s="90" t="n">
        <v>565</v>
      </c>
      <c r="F1370" s="90" t="n">
        <f aca="false">H1370+I1370+J1370+K1370+L1370+M1370</f>
        <v>226</v>
      </c>
      <c r="G1370" s="90" t="n">
        <v>0.65</v>
      </c>
      <c r="L1370" s="90" t="n">
        <v>30</v>
      </c>
      <c r="M1370" s="90" t="n">
        <v>196</v>
      </c>
    </row>
    <row r="1371" customFormat="false" ht="17.6" hidden="false" customHeight="false" outlineLevel="0" collapsed="false">
      <c r="A1371" s="91" t="s">
        <v>1592</v>
      </c>
      <c r="B1371" s="90" t="s">
        <v>40</v>
      </c>
      <c r="C1371" s="90" t="n">
        <f aca="false">ROUND(E1371*G1371+F1371,0)</f>
        <v>434</v>
      </c>
      <c r="D1371" s="90" t="s">
        <v>163</v>
      </c>
      <c r="E1371" s="90" t="n">
        <v>565</v>
      </c>
      <c r="F1371" s="90" t="n">
        <f aca="false">H1371+I1371+J1371+K1371+L1371+M1371</f>
        <v>67</v>
      </c>
      <c r="G1371" s="90" t="n">
        <v>0.65</v>
      </c>
      <c r="H1371" s="90" t="n">
        <v>35</v>
      </c>
      <c r="K1371" s="90" t="n">
        <v>32</v>
      </c>
    </row>
    <row r="1372" customFormat="false" ht="17.6" hidden="false" customHeight="false" outlineLevel="0" collapsed="false">
      <c r="A1372" s="91" t="s">
        <v>1593</v>
      </c>
      <c r="B1372" s="90" t="s">
        <v>40</v>
      </c>
      <c r="C1372" s="90" t="n">
        <f aca="false">ROUND(E1372*G1372+F1372,0)</f>
        <v>399</v>
      </c>
      <c r="D1372" s="90" t="s">
        <v>163</v>
      </c>
      <c r="E1372" s="90" t="n">
        <v>565</v>
      </c>
      <c r="F1372" s="90" t="n">
        <f aca="false">H1372+I1372+J1372+K1372+L1372+M1372</f>
        <v>32</v>
      </c>
      <c r="G1372" s="90" t="n">
        <v>0.65</v>
      </c>
      <c r="K1372" s="90" t="n">
        <v>32</v>
      </c>
    </row>
    <row r="1373" customFormat="false" ht="17.6" hidden="false" customHeight="false" outlineLevel="0" collapsed="false">
      <c r="A1373" s="91" t="s">
        <v>1594</v>
      </c>
      <c r="B1373" s="90" t="s">
        <v>40</v>
      </c>
      <c r="C1373" s="90" t="n">
        <f aca="false">ROUND(E1373*G1373+F1373,0)</f>
        <v>595</v>
      </c>
      <c r="D1373" s="90" t="s">
        <v>163</v>
      </c>
      <c r="E1373" s="90" t="n">
        <v>565</v>
      </c>
      <c r="F1373" s="90" t="n">
        <f aca="false">H1373+I1373+J1373+K1373+L1373+M1373</f>
        <v>228</v>
      </c>
      <c r="G1373" s="90" t="n">
        <v>0.65</v>
      </c>
      <c r="K1373" s="90" t="n">
        <v>32</v>
      </c>
      <c r="M1373" s="90" t="n">
        <v>196</v>
      </c>
    </row>
    <row r="1374" customFormat="false" ht="17.6" hidden="false" customHeight="false" outlineLevel="0" collapsed="false">
      <c r="A1374" s="91" t="s">
        <v>1595</v>
      </c>
      <c r="B1374" s="90" t="s">
        <v>40</v>
      </c>
      <c r="C1374" s="90" t="n">
        <f aca="false">ROUND(565*0.65+196,)</f>
        <v>563</v>
      </c>
      <c r="D1374" s="90" t="s">
        <v>163</v>
      </c>
    </row>
    <row r="1375" customFormat="false" ht="17.6" hidden="false" customHeight="false" outlineLevel="0" collapsed="false">
      <c r="A1375" s="91" t="s">
        <v>1596</v>
      </c>
      <c r="B1375" s="90" t="s">
        <v>40</v>
      </c>
      <c r="C1375" s="90" t="n">
        <f aca="false">ROUND(E1375*G1375+F1375,0)</f>
        <v>563</v>
      </c>
      <c r="D1375" s="90" t="s">
        <v>163</v>
      </c>
      <c r="E1375" s="90" t="n">
        <v>565</v>
      </c>
      <c r="F1375" s="90" t="n">
        <f aca="false">H1375+I1375+J1375+K1375+L1375+M1375</f>
        <v>196</v>
      </c>
      <c r="G1375" s="90" t="n">
        <v>0.65</v>
      </c>
      <c r="M1375" s="90" t="n">
        <v>196</v>
      </c>
    </row>
    <row r="1376" customFormat="false" ht="17.6" hidden="false" customHeight="false" outlineLevel="0" collapsed="false">
      <c r="A1376" s="91" t="s">
        <v>1597</v>
      </c>
      <c r="B1376" s="90" t="s">
        <v>40</v>
      </c>
      <c r="C1376" s="90" t="n">
        <f aca="false">ROUND(565*0.65+35+36,)</f>
        <v>438</v>
      </c>
      <c r="D1376" s="90" t="s">
        <v>163</v>
      </c>
    </row>
    <row r="1377" customFormat="false" ht="17.6" hidden="false" customHeight="false" outlineLevel="0" collapsed="false">
      <c r="A1377" s="91" t="s">
        <v>1598</v>
      </c>
      <c r="B1377" s="90" t="s">
        <v>40</v>
      </c>
      <c r="C1377" s="90" t="n">
        <f aca="false">ROUND(E1377*G1377+F1377,0)</f>
        <v>438</v>
      </c>
      <c r="D1377" s="90" t="s">
        <v>163</v>
      </c>
      <c r="E1377" s="90" t="n">
        <v>565</v>
      </c>
      <c r="F1377" s="90" t="n">
        <f aca="false">H1377+I1377+J1377+K1377+L1377+M1377</f>
        <v>71</v>
      </c>
      <c r="G1377" s="90" t="n">
        <v>0.65</v>
      </c>
      <c r="H1377" s="90" t="n">
        <v>35</v>
      </c>
      <c r="J1377" s="90" t="n">
        <v>36</v>
      </c>
    </row>
    <row r="1378" customFormat="false" ht="17.6" hidden="false" customHeight="false" outlineLevel="0" collapsed="false">
      <c r="A1378" s="91" t="s">
        <v>1599</v>
      </c>
      <c r="B1378" s="90" t="s">
        <v>40</v>
      </c>
      <c r="C1378" s="90" t="n">
        <f aca="false">ROUND(E1378*G1378+F1378,0)</f>
        <v>403</v>
      </c>
      <c r="D1378" s="90" t="s">
        <v>163</v>
      </c>
      <c r="E1378" s="90" t="n">
        <v>565</v>
      </c>
      <c r="F1378" s="90" t="n">
        <f aca="false">H1378+I1378+J1378+K1378+L1378+M1378</f>
        <v>36</v>
      </c>
      <c r="G1378" s="90" t="n">
        <v>0.65</v>
      </c>
      <c r="J1378" s="90" t="n">
        <v>36</v>
      </c>
    </row>
    <row r="1379" customFormat="false" ht="17.6" hidden="false" customHeight="false" outlineLevel="0" collapsed="false">
      <c r="A1379" s="91" t="s">
        <v>1600</v>
      </c>
      <c r="B1379" s="90" t="s">
        <v>40</v>
      </c>
      <c r="C1379" s="90" t="n">
        <f aca="false">ROUND(E1379*G1379+F1379,0)</f>
        <v>599</v>
      </c>
      <c r="D1379" s="90" t="s">
        <v>163</v>
      </c>
      <c r="E1379" s="90" t="n">
        <v>565</v>
      </c>
      <c r="F1379" s="90" t="n">
        <f aca="false">H1379+I1379+J1379+K1379+L1379+M1379</f>
        <v>232</v>
      </c>
      <c r="G1379" s="90" t="n">
        <v>0.65</v>
      </c>
      <c r="J1379" s="90" t="n">
        <v>36</v>
      </c>
      <c r="M1379" s="90" t="n">
        <v>196</v>
      </c>
    </row>
    <row r="1380" customFormat="false" ht="17.6" hidden="false" customHeight="false" outlineLevel="0" collapsed="false">
      <c r="A1380" s="91" t="s">
        <v>1601</v>
      </c>
      <c r="B1380" s="90" t="s">
        <v>40</v>
      </c>
      <c r="C1380" s="90" t="n">
        <f aca="false">ROUND(565*0.65+35+80+36,)</f>
        <v>518</v>
      </c>
      <c r="D1380" s="90" t="s">
        <v>163</v>
      </c>
    </row>
    <row r="1381" customFormat="false" ht="17.6" hidden="false" customHeight="false" outlineLevel="0" collapsed="false">
      <c r="A1381" s="91" t="s">
        <v>1602</v>
      </c>
      <c r="B1381" s="90" t="s">
        <v>40</v>
      </c>
      <c r="C1381" s="90" t="n">
        <f aca="false">ROUND(E1381*G1381+F1381,0)</f>
        <v>518</v>
      </c>
      <c r="D1381" s="90" t="s">
        <v>163</v>
      </c>
      <c r="E1381" s="90" t="n">
        <v>565</v>
      </c>
      <c r="F1381" s="90" t="n">
        <f aca="false">H1381+I1381+J1381+K1381+L1381+M1381</f>
        <v>151</v>
      </c>
      <c r="G1381" s="90" t="n">
        <v>0.65</v>
      </c>
      <c r="H1381" s="90" t="n">
        <v>35</v>
      </c>
      <c r="I1381" s="90" t="n">
        <v>80</v>
      </c>
      <c r="J1381" s="90" t="n">
        <v>36</v>
      </c>
    </row>
    <row r="1382" customFormat="false" ht="17.6" hidden="false" customHeight="false" outlineLevel="0" collapsed="false">
      <c r="A1382" s="91" t="s">
        <v>1603</v>
      </c>
      <c r="B1382" s="90" t="s">
        <v>40</v>
      </c>
      <c r="C1382" s="90" t="n">
        <f aca="false">ROUND(E1382*G1382+F1382,0)</f>
        <v>483</v>
      </c>
      <c r="D1382" s="90" t="s">
        <v>163</v>
      </c>
      <c r="E1382" s="90" t="n">
        <v>565</v>
      </c>
      <c r="F1382" s="90" t="n">
        <f aca="false">H1382+I1382+J1382+K1382+L1382+M1382</f>
        <v>116</v>
      </c>
      <c r="G1382" s="90" t="n">
        <v>0.65</v>
      </c>
      <c r="I1382" s="90" t="n">
        <v>80</v>
      </c>
      <c r="J1382" s="90" t="n">
        <v>36</v>
      </c>
    </row>
    <row r="1383" customFormat="false" ht="17.6" hidden="false" customHeight="false" outlineLevel="0" collapsed="false">
      <c r="A1383" s="91" t="s">
        <v>1604</v>
      </c>
      <c r="B1383" s="90" t="s">
        <v>40</v>
      </c>
      <c r="C1383" s="90" t="n">
        <f aca="false">ROUND(565*0.65+196+80+36,)</f>
        <v>679</v>
      </c>
      <c r="D1383" s="90" t="s">
        <v>163</v>
      </c>
    </row>
    <row r="1384" customFormat="false" ht="17.6" hidden="false" customHeight="false" outlineLevel="0" collapsed="false">
      <c r="A1384" s="91" t="s">
        <v>1605</v>
      </c>
      <c r="B1384" s="90" t="s">
        <v>40</v>
      </c>
      <c r="C1384" s="90" t="n">
        <f aca="false">ROUND(E1384*G1384+F1384,0)</f>
        <v>679</v>
      </c>
      <c r="D1384" s="90" t="s">
        <v>163</v>
      </c>
      <c r="E1384" s="90" t="n">
        <v>565</v>
      </c>
      <c r="F1384" s="90" t="n">
        <f aca="false">H1384+I1384+J1384+K1384+L1384+M1384</f>
        <v>312</v>
      </c>
      <c r="G1384" s="90" t="n">
        <v>0.65</v>
      </c>
      <c r="I1384" s="90" t="n">
        <v>80</v>
      </c>
      <c r="J1384" s="90" t="n">
        <v>36</v>
      </c>
      <c r="M1384" s="90" t="n">
        <v>196</v>
      </c>
    </row>
    <row r="1385" customFormat="false" ht="17.6" hidden="false" customHeight="false" outlineLevel="0" collapsed="false">
      <c r="A1385" s="91" t="s">
        <v>1606</v>
      </c>
      <c r="B1385" s="90" t="s">
        <v>40</v>
      </c>
      <c r="C1385" s="90" t="n">
        <f aca="false">ROUND(1140*0.65+60,)</f>
        <v>801</v>
      </c>
      <c r="D1385" s="90" t="s">
        <v>163</v>
      </c>
    </row>
    <row r="1386" customFormat="false" ht="17.6" hidden="false" customHeight="false" outlineLevel="0" collapsed="false">
      <c r="A1386" s="91" t="s">
        <v>1607</v>
      </c>
      <c r="B1386" s="90" t="s">
        <v>40</v>
      </c>
      <c r="C1386" s="90" t="n">
        <f aca="false">1140*0.65+60</f>
        <v>801</v>
      </c>
      <c r="D1386" s="90" t="s">
        <v>163</v>
      </c>
    </row>
    <row r="1387" customFormat="false" ht="17.6" hidden="false" customHeight="false" outlineLevel="0" collapsed="false">
      <c r="A1387" s="91" t="s">
        <v>1608</v>
      </c>
      <c r="B1387" s="90" t="s">
        <v>40</v>
      </c>
      <c r="C1387" s="90" t="n">
        <f aca="false">ROUND(E1387*G1387+F1387,0)</f>
        <v>801</v>
      </c>
      <c r="D1387" s="90" t="s">
        <v>163</v>
      </c>
      <c r="E1387" s="90" t="n">
        <v>1140</v>
      </c>
      <c r="F1387" s="90" t="n">
        <f aca="false">H1387+I1387+J1387+K1387+L1387+M1387</f>
        <v>60</v>
      </c>
      <c r="G1387" s="90" t="n">
        <v>0.65</v>
      </c>
      <c r="H1387" s="90" t="n">
        <v>60</v>
      </c>
    </row>
    <row r="1388" customFormat="false" ht="17.6" hidden="false" customHeight="false" outlineLevel="0" collapsed="false">
      <c r="A1388" s="91" t="s">
        <v>1609</v>
      </c>
      <c r="B1388" s="90" t="s">
        <v>40</v>
      </c>
      <c r="C1388" s="90" t="n">
        <f aca="false">ROUND(E1388*G1388+F1388,0)</f>
        <v>741</v>
      </c>
      <c r="D1388" s="90" t="s">
        <v>163</v>
      </c>
      <c r="E1388" s="90" t="n">
        <v>1140</v>
      </c>
      <c r="F1388" s="90" t="n">
        <f aca="false">H1388+I1388+J1388+K1388+L1388+M1388</f>
        <v>0</v>
      </c>
      <c r="G1388" s="90" t="n">
        <v>0.65</v>
      </c>
    </row>
    <row r="1389" customFormat="false" ht="17.6" hidden="false" customHeight="false" outlineLevel="0" collapsed="false">
      <c r="A1389" s="91" t="s">
        <v>1609</v>
      </c>
      <c r="B1389" s="90" t="s">
        <v>40</v>
      </c>
      <c r="C1389" s="90" t="n">
        <f aca="false">ROUND(1140*0.65,)</f>
        <v>741</v>
      </c>
      <c r="D1389" s="90" t="s">
        <v>163</v>
      </c>
    </row>
    <row r="1390" customFormat="false" ht="17.6" hidden="false" customHeight="false" outlineLevel="0" collapsed="false">
      <c r="A1390" s="91" t="s">
        <v>1610</v>
      </c>
      <c r="B1390" s="90" t="s">
        <v>40</v>
      </c>
      <c r="C1390" s="90" t="n">
        <f aca="false">ROUND(1140*0.65+60+30,)</f>
        <v>831</v>
      </c>
      <c r="D1390" s="90" t="s">
        <v>163</v>
      </c>
    </row>
    <row r="1391" customFormat="false" ht="17.6" hidden="false" customHeight="false" outlineLevel="0" collapsed="false">
      <c r="A1391" s="91" t="s">
        <v>1611</v>
      </c>
      <c r="B1391" s="90" t="s">
        <v>40</v>
      </c>
      <c r="C1391" s="90" t="n">
        <f aca="false">ROUND(E1391*G1391+F1391,0)</f>
        <v>831</v>
      </c>
      <c r="D1391" s="90" t="s">
        <v>163</v>
      </c>
      <c r="E1391" s="90" t="n">
        <v>1140</v>
      </c>
      <c r="F1391" s="90" t="n">
        <f aca="false">H1391+I1391+J1391+K1391+L1391+M1391</f>
        <v>90</v>
      </c>
      <c r="G1391" s="90" t="n">
        <v>0.65</v>
      </c>
      <c r="H1391" s="90" t="n">
        <v>60</v>
      </c>
      <c r="L1391" s="90" t="n">
        <v>30</v>
      </c>
    </row>
    <row r="1392" customFormat="false" ht="17.6" hidden="false" customHeight="false" outlineLevel="0" collapsed="false">
      <c r="A1392" s="91" t="s">
        <v>1612</v>
      </c>
      <c r="B1392" s="90" t="s">
        <v>40</v>
      </c>
      <c r="C1392" s="90" t="n">
        <f aca="false">ROUND(E1392*G1392+F1392,0)</f>
        <v>771</v>
      </c>
      <c r="D1392" s="90" t="s">
        <v>163</v>
      </c>
      <c r="E1392" s="90" t="n">
        <v>1140</v>
      </c>
      <c r="F1392" s="90" t="n">
        <f aca="false">H1392+I1392+J1392+K1392+L1392+M1392</f>
        <v>30</v>
      </c>
      <c r="G1392" s="90" t="n">
        <v>0.65</v>
      </c>
      <c r="L1392" s="90" t="n">
        <v>30</v>
      </c>
    </row>
    <row r="1393" customFormat="false" ht="17.6" hidden="false" customHeight="false" outlineLevel="0" collapsed="false">
      <c r="A1393" s="91" t="s">
        <v>1613</v>
      </c>
      <c r="B1393" s="90" t="s">
        <v>40</v>
      </c>
      <c r="C1393" s="90" t="n">
        <f aca="false">ROUND(E1393*G1393+F1393,0)</f>
        <v>1171</v>
      </c>
      <c r="D1393" s="90" t="s">
        <v>163</v>
      </c>
      <c r="E1393" s="90" t="n">
        <v>1140</v>
      </c>
      <c r="F1393" s="90" t="n">
        <f aca="false">H1393+I1393+J1393+K1393+L1393+M1393</f>
        <v>430</v>
      </c>
      <c r="G1393" s="90" t="n">
        <v>0.65</v>
      </c>
      <c r="L1393" s="90" t="n">
        <v>30</v>
      </c>
      <c r="M1393" s="90" t="n">
        <v>400</v>
      </c>
    </row>
    <row r="1394" customFormat="false" ht="17.6" hidden="false" customHeight="false" outlineLevel="0" collapsed="false">
      <c r="A1394" s="91" t="s">
        <v>1614</v>
      </c>
      <c r="B1394" s="90" t="s">
        <v>40</v>
      </c>
      <c r="C1394" s="90" t="n">
        <f aca="false">ROUND(E1394*G1394+F1394,0)</f>
        <v>851</v>
      </c>
      <c r="D1394" s="90" t="s">
        <v>163</v>
      </c>
      <c r="E1394" s="90" t="n">
        <v>1140</v>
      </c>
      <c r="F1394" s="90" t="n">
        <f aca="false">H1394+I1394+J1394+K1394+L1394+M1394</f>
        <v>110</v>
      </c>
      <c r="G1394" s="90" t="n">
        <v>0.65</v>
      </c>
      <c r="H1394" s="90" t="n">
        <v>60</v>
      </c>
      <c r="K1394" s="90" t="n">
        <v>50</v>
      </c>
    </row>
    <row r="1395" customFormat="false" ht="17.6" hidden="false" customHeight="false" outlineLevel="0" collapsed="false">
      <c r="A1395" s="91" t="s">
        <v>1615</v>
      </c>
      <c r="B1395" s="90" t="s">
        <v>40</v>
      </c>
      <c r="C1395" s="90" t="n">
        <f aca="false">ROUND(E1395*G1395+F1395,0)</f>
        <v>791</v>
      </c>
      <c r="D1395" s="90" t="s">
        <v>163</v>
      </c>
      <c r="E1395" s="90" t="n">
        <v>1140</v>
      </c>
      <c r="F1395" s="90" t="n">
        <f aca="false">H1395+I1395+J1395+K1395+L1395+M1395</f>
        <v>50</v>
      </c>
      <c r="G1395" s="90" t="n">
        <v>0.65</v>
      </c>
      <c r="K1395" s="90" t="n">
        <v>50</v>
      </c>
    </row>
    <row r="1396" customFormat="false" ht="17.6" hidden="false" customHeight="false" outlineLevel="0" collapsed="false">
      <c r="A1396" s="91" t="s">
        <v>1616</v>
      </c>
      <c r="B1396" s="90" t="s">
        <v>40</v>
      </c>
      <c r="C1396" s="90" t="n">
        <f aca="false">ROUND(E1396*G1396+F1396,0)</f>
        <v>1191</v>
      </c>
      <c r="D1396" s="90" t="s">
        <v>163</v>
      </c>
      <c r="E1396" s="90" t="n">
        <v>1140</v>
      </c>
      <c r="F1396" s="90" t="n">
        <f aca="false">H1396+I1396+J1396+K1396+L1396+M1396</f>
        <v>450</v>
      </c>
      <c r="G1396" s="90" t="n">
        <v>0.65</v>
      </c>
      <c r="K1396" s="90" t="n">
        <v>50</v>
      </c>
      <c r="M1396" s="90" t="n">
        <v>400</v>
      </c>
    </row>
    <row r="1397" customFormat="false" ht="17.6" hidden="false" customHeight="false" outlineLevel="0" collapsed="false">
      <c r="A1397" s="91" t="s">
        <v>1617</v>
      </c>
      <c r="B1397" s="90" t="s">
        <v>40</v>
      </c>
      <c r="C1397" s="90" t="n">
        <f aca="false">ROUND(1140*0.65+400,)</f>
        <v>1141</v>
      </c>
      <c r="D1397" s="90" t="s">
        <v>163</v>
      </c>
    </row>
    <row r="1398" customFormat="false" ht="17.6" hidden="false" customHeight="false" outlineLevel="0" collapsed="false">
      <c r="A1398" s="91" t="s">
        <v>1618</v>
      </c>
      <c r="B1398" s="90" t="s">
        <v>40</v>
      </c>
      <c r="C1398" s="90" t="n">
        <f aca="false">ROUND(E1398*G1398+F1398,0)</f>
        <v>1141</v>
      </c>
      <c r="D1398" s="90" t="s">
        <v>163</v>
      </c>
      <c r="E1398" s="90" t="n">
        <v>1140</v>
      </c>
      <c r="F1398" s="90" t="n">
        <f aca="false">H1398+I1398+J1398+K1398+L1398+M1398</f>
        <v>400</v>
      </c>
      <c r="G1398" s="90" t="n">
        <v>0.65</v>
      </c>
      <c r="M1398" s="90" t="n">
        <v>400</v>
      </c>
    </row>
    <row r="1399" customFormat="false" ht="17.6" hidden="false" customHeight="false" outlineLevel="0" collapsed="false">
      <c r="A1399" s="91" t="s">
        <v>1619</v>
      </c>
      <c r="B1399" s="90" t="s">
        <v>40</v>
      </c>
      <c r="C1399" s="90" t="n">
        <f aca="false">ROUND(E1399*G1399+F1399,0)</f>
        <v>851</v>
      </c>
      <c r="D1399" s="90" t="s">
        <v>163</v>
      </c>
      <c r="E1399" s="90" t="n">
        <v>1140</v>
      </c>
      <c r="F1399" s="90" t="n">
        <f aca="false">H1399+I1399+J1399+K1399+L1399+M1399</f>
        <v>110</v>
      </c>
      <c r="G1399" s="90" t="n">
        <v>0.65</v>
      </c>
      <c r="H1399" s="90" t="n">
        <v>60</v>
      </c>
      <c r="J1399" s="90" t="n">
        <v>50</v>
      </c>
    </row>
    <row r="1400" customFormat="false" ht="17.6" hidden="false" customHeight="false" outlineLevel="0" collapsed="false">
      <c r="A1400" s="91" t="s">
        <v>1620</v>
      </c>
      <c r="B1400" s="90" t="s">
        <v>40</v>
      </c>
      <c r="C1400" s="90" t="n">
        <f aca="false">ROUND(E1400*G1400+F1400,0)</f>
        <v>791</v>
      </c>
      <c r="D1400" s="90" t="s">
        <v>163</v>
      </c>
      <c r="E1400" s="90" t="n">
        <v>1140</v>
      </c>
      <c r="F1400" s="90" t="n">
        <f aca="false">H1400+I1400+J1400+K1400+L1400+M1400</f>
        <v>50</v>
      </c>
      <c r="G1400" s="90" t="n">
        <v>0.65</v>
      </c>
      <c r="J1400" s="90" t="n">
        <v>50</v>
      </c>
    </row>
    <row r="1401" customFormat="false" ht="17.6" hidden="false" customHeight="false" outlineLevel="0" collapsed="false">
      <c r="A1401" s="91" t="s">
        <v>1621</v>
      </c>
      <c r="B1401" s="90" t="s">
        <v>40</v>
      </c>
      <c r="C1401" s="90" t="n">
        <f aca="false">ROUND(E1401*G1401+F1401,0)</f>
        <v>1191</v>
      </c>
      <c r="D1401" s="90" t="s">
        <v>163</v>
      </c>
      <c r="E1401" s="90" t="n">
        <v>1140</v>
      </c>
      <c r="F1401" s="90" t="n">
        <f aca="false">H1401+I1401+J1401+K1401+L1401+M1401</f>
        <v>450</v>
      </c>
      <c r="G1401" s="90" t="n">
        <v>0.65</v>
      </c>
      <c r="J1401" s="90" t="n">
        <v>50</v>
      </c>
      <c r="M1401" s="90" t="n">
        <v>400</v>
      </c>
    </row>
    <row r="1402" customFormat="false" ht="17.6" hidden="false" customHeight="false" outlineLevel="0" collapsed="false">
      <c r="A1402" s="91" t="s">
        <v>1622</v>
      </c>
      <c r="B1402" s="90" t="s">
        <v>40</v>
      </c>
      <c r="C1402" s="90" t="n">
        <f aca="false">ROUND(E1402*G1402+F1402,0)</f>
        <v>981</v>
      </c>
      <c r="D1402" s="90" t="s">
        <v>163</v>
      </c>
      <c r="E1402" s="90" t="n">
        <v>1140</v>
      </c>
      <c r="F1402" s="90" t="n">
        <f aca="false">H1402+I1402+J1402+K1402+L1402+M1402</f>
        <v>240</v>
      </c>
      <c r="G1402" s="90" t="n">
        <v>0.65</v>
      </c>
      <c r="H1402" s="90" t="n">
        <v>60</v>
      </c>
      <c r="I1402" s="90" t="n">
        <v>130</v>
      </c>
      <c r="J1402" s="90" t="n">
        <v>50</v>
      </c>
    </row>
    <row r="1403" customFormat="false" ht="17.6" hidden="false" customHeight="false" outlineLevel="0" collapsed="false">
      <c r="A1403" s="91" t="s">
        <v>1623</v>
      </c>
      <c r="B1403" s="90" t="s">
        <v>40</v>
      </c>
      <c r="C1403" s="90" t="n">
        <f aca="false">ROUND(E1403*G1403+F1403,0)</f>
        <v>921</v>
      </c>
      <c r="D1403" s="90" t="s">
        <v>163</v>
      </c>
      <c r="E1403" s="90" t="n">
        <v>1140</v>
      </c>
      <c r="F1403" s="90" t="n">
        <f aca="false">H1403+I1403+J1403+K1403+L1403+M1403</f>
        <v>180</v>
      </c>
      <c r="G1403" s="90" t="n">
        <v>0.65</v>
      </c>
      <c r="I1403" s="90" t="n">
        <v>130</v>
      </c>
      <c r="J1403" s="90" t="n">
        <v>50</v>
      </c>
    </row>
    <row r="1404" customFormat="false" ht="17.6" hidden="false" customHeight="false" outlineLevel="0" collapsed="false">
      <c r="A1404" s="91" t="s">
        <v>1624</v>
      </c>
      <c r="B1404" s="90" t="s">
        <v>40</v>
      </c>
      <c r="C1404" s="90" t="n">
        <f aca="false">ROUND(1140*0.65+400+130+50,)</f>
        <v>1321</v>
      </c>
      <c r="D1404" s="90" t="s">
        <v>163</v>
      </c>
    </row>
    <row r="1405" customFormat="false" ht="17.6" hidden="false" customHeight="false" outlineLevel="0" collapsed="false">
      <c r="A1405" s="91" t="s">
        <v>1625</v>
      </c>
      <c r="B1405" s="90" t="s">
        <v>40</v>
      </c>
      <c r="C1405" s="90" t="n">
        <f aca="false">ROUND(E1405*G1405+F1405,0)</f>
        <v>1321</v>
      </c>
      <c r="D1405" s="90" t="s">
        <v>163</v>
      </c>
      <c r="E1405" s="90" t="n">
        <v>1140</v>
      </c>
      <c r="F1405" s="90" t="n">
        <f aca="false">H1405+I1405+J1405+K1405+L1405+M1405</f>
        <v>580</v>
      </c>
      <c r="G1405" s="90" t="n">
        <v>0.65</v>
      </c>
      <c r="I1405" s="90" t="n">
        <v>130</v>
      </c>
      <c r="J1405" s="90" t="n">
        <v>50</v>
      </c>
      <c r="M1405" s="90" t="n">
        <v>400</v>
      </c>
    </row>
    <row r="1406" customFormat="false" ht="17.6" hidden="false" customHeight="false" outlineLevel="0" collapsed="false">
      <c r="A1406" s="91" t="s">
        <v>1626</v>
      </c>
      <c r="B1406" s="90" t="s">
        <v>40</v>
      </c>
      <c r="C1406" s="90" t="n">
        <f aca="false">ROUND(940*0.65+60,)</f>
        <v>671</v>
      </c>
      <c r="D1406" s="90" t="s">
        <v>163</v>
      </c>
    </row>
    <row r="1407" customFormat="false" ht="17.6" hidden="false" customHeight="false" outlineLevel="0" collapsed="false">
      <c r="A1407" s="91" t="s">
        <v>1627</v>
      </c>
      <c r="B1407" s="90" t="s">
        <v>40</v>
      </c>
      <c r="C1407" s="90" t="n">
        <f aca="false">ROUND(E1407*G1407+F1407,0)</f>
        <v>671</v>
      </c>
      <c r="D1407" s="90" t="s">
        <v>163</v>
      </c>
      <c r="E1407" s="90" t="n">
        <v>940</v>
      </c>
      <c r="F1407" s="90" t="n">
        <f aca="false">H1407+I1407+J1407+K1407+L1407+M1407</f>
        <v>60</v>
      </c>
      <c r="G1407" s="90" t="n">
        <v>0.65</v>
      </c>
      <c r="H1407" s="90" t="n">
        <v>60</v>
      </c>
    </row>
    <row r="1408" customFormat="false" ht="17.6" hidden="false" customHeight="false" outlineLevel="0" collapsed="false">
      <c r="A1408" s="91" t="s">
        <v>1628</v>
      </c>
      <c r="B1408" s="90" t="s">
        <v>40</v>
      </c>
      <c r="C1408" s="90" t="n">
        <f aca="false">ROUND(E1408*G1408+F1408,0)</f>
        <v>611</v>
      </c>
      <c r="D1408" s="90" t="s">
        <v>163</v>
      </c>
      <c r="E1408" s="90" t="n">
        <v>940</v>
      </c>
      <c r="F1408" s="90" t="n">
        <f aca="false">H1408+I1408+J1408+K1408+L1408+M1408</f>
        <v>0</v>
      </c>
      <c r="G1408" s="90" t="n">
        <v>0.65</v>
      </c>
    </row>
    <row r="1409" customFormat="false" ht="17.6" hidden="false" customHeight="false" outlineLevel="0" collapsed="false">
      <c r="A1409" s="91" t="s">
        <v>1628</v>
      </c>
      <c r="B1409" s="90" t="s">
        <v>40</v>
      </c>
      <c r="C1409" s="90" t="n">
        <f aca="false">ROUND(940*0.65,)</f>
        <v>611</v>
      </c>
      <c r="D1409" s="90" t="s">
        <v>163</v>
      </c>
    </row>
    <row r="1410" customFormat="false" ht="17.6" hidden="false" customHeight="false" outlineLevel="0" collapsed="false">
      <c r="A1410" s="91" t="s">
        <v>1629</v>
      </c>
      <c r="B1410" s="90" t="s">
        <v>40</v>
      </c>
      <c r="C1410" s="90" t="n">
        <f aca="false">ROUND(E1410*G1410+F1410,0)</f>
        <v>701</v>
      </c>
      <c r="D1410" s="90" t="s">
        <v>163</v>
      </c>
      <c r="E1410" s="90" t="n">
        <v>940</v>
      </c>
      <c r="F1410" s="90" t="n">
        <f aca="false">H1410+I1410+J1410+K1410+L1410+M1410</f>
        <v>90</v>
      </c>
      <c r="G1410" s="90" t="n">
        <v>0.65</v>
      </c>
      <c r="H1410" s="90" t="n">
        <v>60</v>
      </c>
      <c r="L1410" s="90" t="n">
        <v>30</v>
      </c>
    </row>
    <row r="1411" customFormat="false" ht="17.6" hidden="false" customHeight="false" outlineLevel="0" collapsed="false">
      <c r="A1411" s="91" t="s">
        <v>1630</v>
      </c>
      <c r="B1411" s="90" t="s">
        <v>40</v>
      </c>
      <c r="C1411" s="90" t="n">
        <f aca="false">ROUND(E1411*G1411+F1411,0)</f>
        <v>641</v>
      </c>
      <c r="D1411" s="90" t="s">
        <v>163</v>
      </c>
      <c r="E1411" s="90" t="n">
        <v>940</v>
      </c>
      <c r="F1411" s="90" t="n">
        <f aca="false">H1411+I1411+J1411+K1411+L1411+M1411</f>
        <v>30</v>
      </c>
      <c r="G1411" s="90" t="n">
        <v>0.65</v>
      </c>
      <c r="L1411" s="90" t="n">
        <v>30</v>
      </c>
    </row>
    <row r="1412" customFormat="false" ht="17.6" hidden="false" customHeight="false" outlineLevel="0" collapsed="false">
      <c r="A1412" s="91" t="s">
        <v>1631</v>
      </c>
      <c r="B1412" s="90" t="s">
        <v>40</v>
      </c>
      <c r="C1412" s="90" t="n">
        <f aca="false">ROUND(E1412*G1412+F1412,0)</f>
        <v>1041</v>
      </c>
      <c r="D1412" s="90" t="s">
        <v>163</v>
      </c>
      <c r="E1412" s="90" t="n">
        <v>940</v>
      </c>
      <c r="F1412" s="90" t="n">
        <f aca="false">H1412+I1412+J1412+K1412+L1412+M1412</f>
        <v>430</v>
      </c>
      <c r="G1412" s="90" t="n">
        <v>0.65</v>
      </c>
      <c r="L1412" s="90" t="n">
        <v>30</v>
      </c>
      <c r="M1412" s="90" t="n">
        <v>400</v>
      </c>
    </row>
    <row r="1413" customFormat="false" ht="17.6" hidden="false" customHeight="false" outlineLevel="0" collapsed="false">
      <c r="A1413" s="91" t="s">
        <v>1632</v>
      </c>
      <c r="B1413" s="90" t="s">
        <v>40</v>
      </c>
      <c r="C1413" s="90" t="n">
        <f aca="false">ROUND(E1413*G1413+F1413,0)</f>
        <v>721</v>
      </c>
      <c r="D1413" s="90" t="s">
        <v>163</v>
      </c>
      <c r="E1413" s="90" t="n">
        <v>940</v>
      </c>
      <c r="F1413" s="90" t="n">
        <f aca="false">H1413+I1413+J1413+K1413+L1413+M1413</f>
        <v>110</v>
      </c>
      <c r="G1413" s="90" t="n">
        <v>0.65</v>
      </c>
      <c r="H1413" s="90" t="n">
        <v>60</v>
      </c>
      <c r="K1413" s="90" t="n">
        <v>50</v>
      </c>
    </row>
    <row r="1414" customFormat="false" ht="17.6" hidden="false" customHeight="false" outlineLevel="0" collapsed="false">
      <c r="A1414" s="91" t="s">
        <v>1633</v>
      </c>
      <c r="B1414" s="90" t="s">
        <v>40</v>
      </c>
      <c r="C1414" s="90" t="n">
        <f aca="false">ROUND(E1414*G1414+F1414,0)</f>
        <v>661</v>
      </c>
      <c r="D1414" s="90" t="s">
        <v>163</v>
      </c>
      <c r="E1414" s="90" t="n">
        <v>940</v>
      </c>
      <c r="F1414" s="90" t="n">
        <f aca="false">H1414+I1414+J1414+K1414+L1414+M1414</f>
        <v>50</v>
      </c>
      <c r="G1414" s="90" t="n">
        <v>0.65</v>
      </c>
      <c r="K1414" s="90" t="n">
        <v>50</v>
      </c>
    </row>
    <row r="1415" customFormat="false" ht="17.6" hidden="false" customHeight="false" outlineLevel="0" collapsed="false">
      <c r="A1415" s="91" t="s">
        <v>1634</v>
      </c>
      <c r="B1415" s="90" t="s">
        <v>40</v>
      </c>
      <c r="C1415" s="90" t="n">
        <f aca="false">ROUND(E1415*G1415+F1415,0)</f>
        <v>1061</v>
      </c>
      <c r="D1415" s="90" t="s">
        <v>163</v>
      </c>
      <c r="E1415" s="90" t="n">
        <v>940</v>
      </c>
      <c r="F1415" s="90" t="n">
        <f aca="false">H1415+I1415+J1415+K1415+L1415+M1415</f>
        <v>450</v>
      </c>
      <c r="G1415" s="90" t="n">
        <v>0.65</v>
      </c>
      <c r="K1415" s="90" t="n">
        <v>50</v>
      </c>
      <c r="M1415" s="90" t="n">
        <v>400</v>
      </c>
    </row>
    <row r="1416" customFormat="false" ht="17.6" hidden="false" customHeight="false" outlineLevel="0" collapsed="false">
      <c r="A1416" s="91" t="s">
        <v>1635</v>
      </c>
      <c r="B1416" s="90" t="s">
        <v>40</v>
      </c>
      <c r="C1416" s="90" t="n">
        <f aca="false">ROUND(940*0.65+400,)</f>
        <v>1011</v>
      </c>
      <c r="D1416" s="90" t="s">
        <v>163</v>
      </c>
    </row>
    <row r="1417" customFormat="false" ht="17.6" hidden="false" customHeight="false" outlineLevel="0" collapsed="false">
      <c r="A1417" s="91" t="s">
        <v>1636</v>
      </c>
      <c r="B1417" s="90" t="s">
        <v>40</v>
      </c>
      <c r="C1417" s="90" t="n">
        <f aca="false">ROUND(E1417*G1417+F1417,0)</f>
        <v>1011</v>
      </c>
      <c r="D1417" s="90" t="s">
        <v>163</v>
      </c>
      <c r="E1417" s="90" t="n">
        <v>940</v>
      </c>
      <c r="F1417" s="90" t="n">
        <f aca="false">H1417+I1417+J1417+K1417+L1417+M1417</f>
        <v>400</v>
      </c>
      <c r="G1417" s="90" t="n">
        <v>0.65</v>
      </c>
      <c r="M1417" s="90" t="n">
        <v>400</v>
      </c>
    </row>
    <row r="1418" customFormat="false" ht="17.6" hidden="false" customHeight="false" outlineLevel="0" collapsed="false">
      <c r="A1418" s="91" t="s">
        <v>1637</v>
      </c>
      <c r="B1418" s="90" t="s">
        <v>40</v>
      </c>
      <c r="C1418" s="90" t="n">
        <f aca="false">ROUND(E1418*G1418+F1418,0)</f>
        <v>721</v>
      </c>
      <c r="D1418" s="90" t="s">
        <v>163</v>
      </c>
      <c r="E1418" s="90" t="n">
        <v>940</v>
      </c>
      <c r="F1418" s="90" t="n">
        <f aca="false">H1418+I1418+J1418+K1418+L1418+M1418</f>
        <v>110</v>
      </c>
      <c r="G1418" s="90" t="n">
        <v>0.65</v>
      </c>
      <c r="H1418" s="90" t="n">
        <v>60</v>
      </c>
      <c r="J1418" s="90" t="n">
        <v>50</v>
      </c>
    </row>
    <row r="1419" customFormat="false" ht="17.6" hidden="false" customHeight="false" outlineLevel="0" collapsed="false">
      <c r="A1419" s="91" t="s">
        <v>1638</v>
      </c>
      <c r="B1419" s="90" t="s">
        <v>40</v>
      </c>
      <c r="C1419" s="90" t="n">
        <f aca="false">ROUND(E1419*G1419+F1419,0)</f>
        <v>661</v>
      </c>
      <c r="D1419" s="90" t="s">
        <v>163</v>
      </c>
      <c r="E1419" s="90" t="n">
        <v>940</v>
      </c>
      <c r="F1419" s="90" t="n">
        <f aca="false">H1419+I1419+J1419+K1419+L1419+M1419</f>
        <v>50</v>
      </c>
      <c r="G1419" s="90" t="n">
        <v>0.65</v>
      </c>
      <c r="J1419" s="90" t="n">
        <v>50</v>
      </c>
    </row>
    <row r="1420" customFormat="false" ht="17.6" hidden="false" customHeight="false" outlineLevel="0" collapsed="false">
      <c r="A1420" s="91" t="s">
        <v>1639</v>
      </c>
      <c r="B1420" s="90" t="s">
        <v>40</v>
      </c>
      <c r="C1420" s="90" t="n">
        <f aca="false">ROUND(E1420*G1420+F1420,0)</f>
        <v>1061</v>
      </c>
      <c r="D1420" s="90" t="s">
        <v>163</v>
      </c>
      <c r="E1420" s="90" t="n">
        <v>940</v>
      </c>
      <c r="F1420" s="90" t="n">
        <f aca="false">H1420+I1420+J1420+K1420+L1420+M1420</f>
        <v>450</v>
      </c>
      <c r="G1420" s="90" t="n">
        <v>0.65</v>
      </c>
      <c r="J1420" s="90" t="n">
        <v>50</v>
      </c>
      <c r="M1420" s="90" t="n">
        <v>400</v>
      </c>
    </row>
    <row r="1421" customFormat="false" ht="17.6" hidden="false" customHeight="false" outlineLevel="0" collapsed="false">
      <c r="A1421" s="91" t="s">
        <v>1640</v>
      </c>
      <c r="B1421" s="90" t="s">
        <v>40</v>
      </c>
      <c r="C1421" s="90" t="n">
        <f aca="false">ROUND(940*0.65+150,)</f>
        <v>761</v>
      </c>
      <c r="D1421" s="90" t="s">
        <v>163</v>
      </c>
    </row>
    <row r="1422" customFormat="false" ht="17.6" hidden="false" customHeight="false" outlineLevel="0" collapsed="false">
      <c r="A1422" s="91" t="s">
        <v>1641</v>
      </c>
      <c r="B1422" s="90" t="s">
        <v>40</v>
      </c>
      <c r="C1422" s="90" t="n">
        <f aca="false">ROUND(E1422*G1422+F1422,0)</f>
        <v>851</v>
      </c>
      <c r="D1422" s="90" t="s">
        <v>163</v>
      </c>
      <c r="E1422" s="90" t="n">
        <v>940</v>
      </c>
      <c r="F1422" s="90" t="n">
        <f aca="false">H1422+I1422+J1422+K1422+L1422+M1422</f>
        <v>240</v>
      </c>
      <c r="G1422" s="90" t="n">
        <v>0.65</v>
      </c>
      <c r="H1422" s="90" t="n">
        <v>60</v>
      </c>
      <c r="I1422" s="90" t="n">
        <v>130</v>
      </c>
      <c r="J1422" s="90" t="n">
        <v>50</v>
      </c>
    </row>
    <row r="1423" customFormat="false" ht="17.6" hidden="false" customHeight="false" outlineLevel="0" collapsed="false">
      <c r="A1423" s="91" t="s">
        <v>1642</v>
      </c>
      <c r="B1423" s="90" t="s">
        <v>40</v>
      </c>
      <c r="C1423" s="90" t="n">
        <f aca="false">ROUND(E1423*G1423+F1423,0)</f>
        <v>791</v>
      </c>
      <c r="D1423" s="90" t="s">
        <v>163</v>
      </c>
      <c r="E1423" s="90" t="n">
        <v>940</v>
      </c>
      <c r="F1423" s="90" t="n">
        <f aca="false">H1423+I1423+J1423+K1423+L1423+M1423</f>
        <v>180</v>
      </c>
      <c r="G1423" s="90" t="n">
        <v>0.65</v>
      </c>
      <c r="I1423" s="90" t="n">
        <v>130</v>
      </c>
      <c r="J1423" s="90" t="n">
        <v>50</v>
      </c>
    </row>
    <row r="1424" customFormat="false" ht="17.6" hidden="false" customHeight="false" outlineLevel="0" collapsed="false">
      <c r="A1424" s="91" t="s">
        <v>1643</v>
      </c>
      <c r="B1424" s="90" t="s">
        <v>40</v>
      </c>
      <c r="C1424" s="90" t="n">
        <f aca="false">ROUND(940*0.65+400+130+50,)</f>
        <v>1191</v>
      </c>
      <c r="D1424" s="90" t="s">
        <v>163</v>
      </c>
    </row>
    <row r="1425" customFormat="false" ht="17.6" hidden="false" customHeight="false" outlineLevel="0" collapsed="false">
      <c r="A1425" s="91" t="s">
        <v>1644</v>
      </c>
      <c r="B1425" s="90" t="s">
        <v>40</v>
      </c>
      <c r="C1425" s="90" t="n">
        <f aca="false">ROUND(E1425*G1425+F1425,0)</f>
        <v>1191</v>
      </c>
      <c r="D1425" s="90" t="s">
        <v>163</v>
      </c>
      <c r="E1425" s="90" t="n">
        <v>940</v>
      </c>
      <c r="F1425" s="90" t="n">
        <f aca="false">H1425+I1425+J1425+K1425+L1425+M1425</f>
        <v>580</v>
      </c>
      <c r="G1425" s="90" t="n">
        <v>0.65</v>
      </c>
      <c r="I1425" s="90" t="n">
        <v>130</v>
      </c>
      <c r="J1425" s="90" t="n">
        <v>50</v>
      </c>
      <c r="M1425" s="90" t="n">
        <v>400</v>
      </c>
    </row>
    <row r="1426" customFormat="false" ht="17.6" hidden="false" customHeight="false" outlineLevel="0" collapsed="false">
      <c r="A1426" s="91" t="s">
        <v>1645</v>
      </c>
      <c r="B1426" s="90" t="s">
        <v>40</v>
      </c>
      <c r="C1426" s="90" t="n">
        <f aca="false">2000*0.65+640+130+50</f>
        <v>2120</v>
      </c>
      <c r="D1426" s="90" t="s">
        <v>163</v>
      </c>
    </row>
    <row r="1427" customFormat="false" ht="17.6" hidden="false" customHeight="false" outlineLevel="0" collapsed="false">
      <c r="A1427" s="91" t="s">
        <v>1646</v>
      </c>
      <c r="B1427" s="90" t="s">
        <v>40</v>
      </c>
      <c r="C1427" s="90" t="n">
        <f aca="false">ROUND(1470*0.65+130,)</f>
        <v>1086</v>
      </c>
      <c r="D1427" s="90" t="s">
        <v>163</v>
      </c>
    </row>
    <row r="1428" customFormat="false" ht="17.6" hidden="false" customHeight="false" outlineLevel="0" collapsed="false">
      <c r="A1428" s="91" t="s">
        <v>1647</v>
      </c>
      <c r="B1428" s="90" t="s">
        <v>40</v>
      </c>
      <c r="C1428" s="90" t="n">
        <f aca="false">ROUND(E1428*G1428+F1428,0)</f>
        <v>1086</v>
      </c>
      <c r="D1428" s="90" t="s">
        <v>163</v>
      </c>
      <c r="E1428" s="90" t="n">
        <v>1470</v>
      </c>
      <c r="F1428" s="90" t="n">
        <f aca="false">H1428+I1428+J1428+K1428+L1428+M1428</f>
        <v>130</v>
      </c>
      <c r="G1428" s="90" t="n">
        <v>0.65</v>
      </c>
      <c r="H1428" s="90" t="n">
        <v>130</v>
      </c>
    </row>
    <row r="1429" customFormat="false" ht="17.6" hidden="false" customHeight="false" outlineLevel="0" collapsed="false">
      <c r="A1429" s="91" t="s">
        <v>1648</v>
      </c>
      <c r="B1429" s="90" t="s">
        <v>40</v>
      </c>
      <c r="C1429" s="90" t="n">
        <f aca="false">ROUND(E1429*G1429+F1429,0)</f>
        <v>956</v>
      </c>
      <c r="D1429" s="90" t="s">
        <v>163</v>
      </c>
      <c r="E1429" s="90" t="n">
        <v>1470</v>
      </c>
      <c r="F1429" s="90" t="n">
        <f aca="false">H1429+I1429+J1429+K1429+L1429+M1429</f>
        <v>0</v>
      </c>
      <c r="G1429" s="90" t="n">
        <v>0.65</v>
      </c>
    </row>
    <row r="1430" customFormat="false" ht="17.6" hidden="false" customHeight="false" outlineLevel="0" collapsed="false">
      <c r="A1430" s="91" t="s">
        <v>1648</v>
      </c>
      <c r="B1430" s="90" t="s">
        <v>40</v>
      </c>
      <c r="C1430" s="90" t="n">
        <f aca="false">ROUND(1470*0.65,)</f>
        <v>956</v>
      </c>
      <c r="D1430" s="90" t="s">
        <v>163</v>
      </c>
    </row>
    <row r="1431" customFormat="false" ht="17.6" hidden="false" customHeight="false" outlineLevel="0" collapsed="false">
      <c r="A1431" s="91" t="s">
        <v>1649</v>
      </c>
      <c r="B1431" s="90" t="s">
        <v>40</v>
      </c>
      <c r="C1431" s="90" t="n">
        <f aca="false">ROUND(E1431*G1431+F1431,0)</f>
        <v>1116</v>
      </c>
      <c r="D1431" s="90" t="s">
        <v>163</v>
      </c>
      <c r="E1431" s="90" t="n">
        <v>1470</v>
      </c>
      <c r="F1431" s="90" t="n">
        <f aca="false">H1431+I1431+J1431+K1431+L1431+M1431</f>
        <v>160</v>
      </c>
      <c r="G1431" s="90" t="n">
        <v>0.65</v>
      </c>
      <c r="H1431" s="90" t="n">
        <v>130</v>
      </c>
      <c r="L1431" s="90" t="n">
        <v>30</v>
      </c>
    </row>
    <row r="1432" customFormat="false" ht="17.6" hidden="false" customHeight="false" outlineLevel="0" collapsed="false">
      <c r="A1432" s="91" t="s">
        <v>1650</v>
      </c>
      <c r="B1432" s="90" t="s">
        <v>40</v>
      </c>
      <c r="C1432" s="90" t="n">
        <f aca="false">ROUND(E1432*G1432+F1432,0)</f>
        <v>986</v>
      </c>
      <c r="D1432" s="90" t="s">
        <v>163</v>
      </c>
      <c r="E1432" s="90" t="n">
        <v>1470</v>
      </c>
      <c r="F1432" s="90" t="n">
        <f aca="false">H1432+I1432+J1432+K1432+L1432+M1432</f>
        <v>30</v>
      </c>
      <c r="G1432" s="90" t="n">
        <v>0.65</v>
      </c>
      <c r="L1432" s="90" t="n">
        <v>30</v>
      </c>
    </row>
    <row r="1433" customFormat="false" ht="17.6" hidden="false" customHeight="false" outlineLevel="0" collapsed="false">
      <c r="A1433" s="91" t="s">
        <v>1651</v>
      </c>
      <c r="B1433" s="90" t="s">
        <v>40</v>
      </c>
      <c r="C1433" s="90" t="n">
        <f aca="false">ROUND(E1433*G1433+F1433,0)</f>
        <v>1386</v>
      </c>
      <c r="D1433" s="90" t="s">
        <v>163</v>
      </c>
      <c r="E1433" s="90" t="n">
        <v>1470</v>
      </c>
      <c r="F1433" s="90" t="n">
        <f aca="false">H1433+I1433+J1433+K1433+L1433+M1433</f>
        <v>430</v>
      </c>
      <c r="G1433" s="90" t="n">
        <v>0.65</v>
      </c>
      <c r="L1433" s="90" t="n">
        <v>30</v>
      </c>
      <c r="M1433" s="90" t="n">
        <v>400</v>
      </c>
    </row>
    <row r="1434" customFormat="false" ht="17.6" hidden="false" customHeight="false" outlineLevel="0" collapsed="false">
      <c r="A1434" s="91" t="s">
        <v>1652</v>
      </c>
      <c r="B1434" s="90" t="s">
        <v>40</v>
      </c>
      <c r="C1434" s="90" t="n">
        <f aca="false">ROUND(E1434*G1434+F1434,0)</f>
        <v>1136</v>
      </c>
      <c r="D1434" s="90" t="s">
        <v>163</v>
      </c>
      <c r="E1434" s="90" t="n">
        <v>1470</v>
      </c>
      <c r="F1434" s="90" t="n">
        <f aca="false">H1434+I1434+J1434+K1434+L1434+M1434</f>
        <v>180</v>
      </c>
      <c r="G1434" s="90" t="n">
        <v>0.65</v>
      </c>
      <c r="H1434" s="90" t="n">
        <v>130</v>
      </c>
      <c r="K1434" s="90" t="n">
        <v>50</v>
      </c>
    </row>
    <row r="1435" customFormat="false" ht="17.6" hidden="false" customHeight="false" outlineLevel="0" collapsed="false">
      <c r="A1435" s="91" t="s">
        <v>1653</v>
      </c>
      <c r="B1435" s="90" t="s">
        <v>40</v>
      </c>
      <c r="C1435" s="90" t="n">
        <f aca="false">ROUND(E1435*G1435+F1435,0)</f>
        <v>1006</v>
      </c>
      <c r="D1435" s="90" t="s">
        <v>163</v>
      </c>
      <c r="E1435" s="90" t="n">
        <v>1470</v>
      </c>
      <c r="F1435" s="90" t="n">
        <f aca="false">H1435+I1435+J1435+K1435+L1435+M1435</f>
        <v>50</v>
      </c>
      <c r="G1435" s="90" t="n">
        <v>0.65</v>
      </c>
      <c r="K1435" s="90" t="n">
        <v>50</v>
      </c>
    </row>
    <row r="1436" customFormat="false" ht="17.6" hidden="false" customHeight="false" outlineLevel="0" collapsed="false">
      <c r="A1436" s="91" t="s">
        <v>1654</v>
      </c>
      <c r="B1436" s="90" t="s">
        <v>40</v>
      </c>
      <c r="C1436" s="90" t="n">
        <f aca="false">ROUND(E1436*G1436+F1436,0)</f>
        <v>1406</v>
      </c>
      <c r="D1436" s="90" t="s">
        <v>163</v>
      </c>
      <c r="E1436" s="90" t="n">
        <v>1470</v>
      </c>
      <c r="F1436" s="90" t="n">
        <f aca="false">H1436+I1436+J1436+K1436+L1436+M1436</f>
        <v>450</v>
      </c>
      <c r="G1436" s="90" t="n">
        <v>0.65</v>
      </c>
      <c r="K1436" s="90" t="n">
        <v>50</v>
      </c>
      <c r="M1436" s="90" t="n">
        <v>400</v>
      </c>
    </row>
    <row r="1437" customFormat="false" ht="17.6" hidden="false" customHeight="false" outlineLevel="0" collapsed="false">
      <c r="A1437" s="91" t="s">
        <v>1655</v>
      </c>
      <c r="B1437" s="90" t="s">
        <v>40</v>
      </c>
      <c r="C1437" s="90" t="n">
        <f aca="false">ROUND(1470*0.65+630,)</f>
        <v>1586</v>
      </c>
      <c r="D1437" s="90" t="s">
        <v>163</v>
      </c>
    </row>
    <row r="1438" customFormat="false" ht="17.6" hidden="false" customHeight="false" outlineLevel="0" collapsed="false">
      <c r="A1438" s="91" t="s">
        <v>1656</v>
      </c>
      <c r="B1438" s="90" t="s">
        <v>40</v>
      </c>
      <c r="C1438" s="90" t="n">
        <f aca="false">ROUND(E1438*G1438+F1438,0)</f>
        <v>1356</v>
      </c>
      <c r="D1438" s="90" t="s">
        <v>163</v>
      </c>
      <c r="E1438" s="90" t="n">
        <v>1470</v>
      </c>
      <c r="F1438" s="90" t="n">
        <f aca="false">H1438+I1438+J1438+K1438+L1438+M1438</f>
        <v>400</v>
      </c>
      <c r="G1438" s="90" t="n">
        <v>0.65</v>
      </c>
      <c r="M1438" s="90" t="n">
        <v>400</v>
      </c>
    </row>
    <row r="1439" customFormat="false" ht="17.6" hidden="false" customHeight="false" outlineLevel="0" collapsed="false">
      <c r="A1439" s="91" t="s">
        <v>1657</v>
      </c>
      <c r="B1439" s="90" t="s">
        <v>40</v>
      </c>
      <c r="C1439" s="90" t="n">
        <f aca="false">ROUND(E1439*G1439+F1439,0)</f>
        <v>1136</v>
      </c>
      <c r="D1439" s="90" t="s">
        <v>163</v>
      </c>
      <c r="E1439" s="90" t="n">
        <v>1470</v>
      </c>
      <c r="F1439" s="90" t="n">
        <f aca="false">H1439+I1439+J1439+K1439+L1439+M1439</f>
        <v>180</v>
      </c>
      <c r="G1439" s="90" t="n">
        <v>0.65</v>
      </c>
      <c r="H1439" s="90" t="n">
        <v>130</v>
      </c>
      <c r="J1439" s="90" t="n">
        <v>50</v>
      </c>
    </row>
    <row r="1440" customFormat="false" ht="17.6" hidden="false" customHeight="false" outlineLevel="0" collapsed="false">
      <c r="A1440" s="91" t="s">
        <v>1658</v>
      </c>
      <c r="B1440" s="90" t="s">
        <v>40</v>
      </c>
      <c r="C1440" s="90" t="n">
        <f aca="false">ROUND(E1440*G1440+F1440,0)</f>
        <v>1006</v>
      </c>
      <c r="D1440" s="90" t="s">
        <v>163</v>
      </c>
      <c r="E1440" s="90" t="n">
        <v>1470</v>
      </c>
      <c r="F1440" s="90" t="n">
        <f aca="false">H1440+I1440+J1440+K1440+L1440+M1440</f>
        <v>50</v>
      </c>
      <c r="G1440" s="90" t="n">
        <v>0.65</v>
      </c>
      <c r="J1440" s="90" t="n">
        <v>50</v>
      </c>
    </row>
    <row r="1441" customFormat="false" ht="17.6" hidden="false" customHeight="false" outlineLevel="0" collapsed="false">
      <c r="A1441" s="91" t="s">
        <v>1659</v>
      </c>
      <c r="B1441" s="90" t="s">
        <v>40</v>
      </c>
      <c r="C1441" s="90" t="n">
        <f aca="false">ROUND(E1441*G1441+F1441,0)</f>
        <v>1406</v>
      </c>
      <c r="D1441" s="90" t="s">
        <v>163</v>
      </c>
      <c r="E1441" s="90" t="n">
        <v>1470</v>
      </c>
      <c r="F1441" s="90" t="n">
        <f aca="false">H1441+I1441+J1441+K1441+L1441+M1441</f>
        <v>450</v>
      </c>
      <c r="G1441" s="90" t="n">
        <v>0.65</v>
      </c>
      <c r="J1441" s="90" t="n">
        <v>50</v>
      </c>
      <c r="M1441" s="90" t="n">
        <v>400</v>
      </c>
    </row>
    <row r="1442" customFormat="false" ht="17.6" hidden="false" customHeight="false" outlineLevel="0" collapsed="false">
      <c r="A1442" s="91" t="s">
        <v>1660</v>
      </c>
      <c r="B1442" s="90" t="s">
        <v>40</v>
      </c>
      <c r="C1442" s="90" t="n">
        <f aca="false">ROUND(E1442*G1442+F1442,0)</f>
        <v>1266</v>
      </c>
      <c r="D1442" s="90" t="s">
        <v>163</v>
      </c>
      <c r="E1442" s="90" t="n">
        <v>1470</v>
      </c>
      <c r="F1442" s="90" t="n">
        <f aca="false">H1442+I1442+J1442+K1442+L1442+M1442</f>
        <v>310</v>
      </c>
      <c r="G1442" s="90" t="n">
        <v>0.65</v>
      </c>
      <c r="H1442" s="90" t="n">
        <v>130</v>
      </c>
      <c r="I1442" s="90" t="n">
        <v>130</v>
      </c>
      <c r="J1442" s="90" t="n">
        <v>50</v>
      </c>
    </row>
    <row r="1443" customFormat="false" ht="17.6" hidden="false" customHeight="false" outlineLevel="0" collapsed="false">
      <c r="A1443" s="91" t="s">
        <v>1661</v>
      </c>
      <c r="B1443" s="90" t="s">
        <v>40</v>
      </c>
      <c r="C1443" s="90" t="n">
        <f aca="false">ROUND(E1443*G1443+F1443,0)</f>
        <v>1136</v>
      </c>
      <c r="D1443" s="90" t="s">
        <v>163</v>
      </c>
      <c r="E1443" s="90" t="n">
        <v>1470</v>
      </c>
      <c r="F1443" s="90" t="n">
        <f aca="false">H1443+I1443+J1443+K1443+L1443+M1443</f>
        <v>180</v>
      </c>
      <c r="G1443" s="90" t="n">
        <v>0.65</v>
      </c>
      <c r="I1443" s="90" t="n">
        <v>130</v>
      </c>
      <c r="J1443" s="90" t="n">
        <v>50</v>
      </c>
    </row>
    <row r="1444" customFormat="false" ht="17.6" hidden="false" customHeight="false" outlineLevel="0" collapsed="false">
      <c r="A1444" s="91" t="s">
        <v>1662</v>
      </c>
      <c r="B1444" s="90" t="s">
        <v>40</v>
      </c>
      <c r="C1444" s="90" t="n">
        <f aca="false">ROUND(1470*0.65+630+130+50,)</f>
        <v>1766</v>
      </c>
      <c r="D1444" s="90" t="s">
        <v>163</v>
      </c>
    </row>
    <row r="1445" customFormat="false" ht="17.6" hidden="false" customHeight="false" outlineLevel="0" collapsed="false">
      <c r="A1445" s="91" t="s">
        <v>1663</v>
      </c>
      <c r="B1445" s="90" t="s">
        <v>40</v>
      </c>
      <c r="C1445" s="90" t="n">
        <f aca="false">ROUND(E1445*G1445+F1445,0)</f>
        <v>1536</v>
      </c>
      <c r="D1445" s="90" t="s">
        <v>163</v>
      </c>
      <c r="E1445" s="90" t="n">
        <v>1470</v>
      </c>
      <c r="F1445" s="90" t="n">
        <f aca="false">H1445+I1445+J1445+K1445+L1445+M1445</f>
        <v>580</v>
      </c>
      <c r="G1445" s="90" t="n">
        <v>0.65</v>
      </c>
      <c r="I1445" s="90" t="n">
        <v>130</v>
      </c>
      <c r="J1445" s="90" t="n">
        <v>50</v>
      </c>
      <c r="M1445" s="90" t="n">
        <v>400</v>
      </c>
    </row>
    <row r="1446" customFormat="false" ht="17.6" hidden="false" customHeight="false" outlineLevel="0" collapsed="false">
      <c r="A1446" s="91" t="s">
        <v>1664</v>
      </c>
      <c r="B1446" s="90" t="s">
        <v>40</v>
      </c>
      <c r="C1446" s="90" t="n">
        <f aca="false">ROUND(1220*0.65+130,)</f>
        <v>923</v>
      </c>
      <c r="D1446" s="90" t="s">
        <v>163</v>
      </c>
    </row>
    <row r="1447" customFormat="false" ht="17.6" hidden="false" customHeight="false" outlineLevel="0" collapsed="false">
      <c r="A1447" s="91" t="s">
        <v>1665</v>
      </c>
      <c r="B1447" s="90" t="s">
        <v>40</v>
      </c>
      <c r="C1447" s="90" t="n">
        <f aca="false">ROUND(E1447*G1447+F1447,0)</f>
        <v>923</v>
      </c>
      <c r="D1447" s="90" t="s">
        <v>163</v>
      </c>
      <c r="E1447" s="90" t="n">
        <v>1220</v>
      </c>
      <c r="F1447" s="90" t="n">
        <f aca="false">H1447+I1447+J1447+K1447+L1447+M1447</f>
        <v>130</v>
      </c>
      <c r="G1447" s="90" t="n">
        <v>0.65</v>
      </c>
      <c r="H1447" s="90" t="n">
        <v>130</v>
      </c>
    </row>
    <row r="1448" customFormat="false" ht="17.6" hidden="false" customHeight="false" outlineLevel="0" collapsed="false">
      <c r="A1448" s="91" t="s">
        <v>1666</v>
      </c>
      <c r="B1448" s="90" t="s">
        <v>40</v>
      </c>
      <c r="C1448" s="90" t="n">
        <f aca="false">ROUND(E1448*G1448+F1448,0)</f>
        <v>793</v>
      </c>
      <c r="D1448" s="90" t="s">
        <v>163</v>
      </c>
      <c r="E1448" s="90" t="n">
        <v>1220</v>
      </c>
      <c r="F1448" s="90" t="n">
        <f aca="false">H1448+I1448+J1448+K1448+L1448+M1448</f>
        <v>0</v>
      </c>
      <c r="G1448" s="90" t="n">
        <v>0.65</v>
      </c>
    </row>
    <row r="1449" customFormat="false" ht="17.6" hidden="false" customHeight="false" outlineLevel="0" collapsed="false">
      <c r="A1449" s="91" t="s">
        <v>1666</v>
      </c>
      <c r="B1449" s="90" t="s">
        <v>40</v>
      </c>
      <c r="C1449" s="90" t="n">
        <f aca="false">ROUND(1220*0.65,)</f>
        <v>793</v>
      </c>
      <c r="D1449" s="90" t="s">
        <v>163</v>
      </c>
    </row>
    <row r="1450" customFormat="false" ht="17.6" hidden="false" customHeight="false" outlineLevel="0" collapsed="false">
      <c r="A1450" s="91" t="s">
        <v>1667</v>
      </c>
      <c r="B1450" s="90" t="s">
        <v>40</v>
      </c>
      <c r="C1450" s="90" t="n">
        <f aca="false">ROUND(E1450*G1450+F1450,0)</f>
        <v>953</v>
      </c>
      <c r="D1450" s="90" t="s">
        <v>163</v>
      </c>
      <c r="E1450" s="90" t="n">
        <v>1220</v>
      </c>
      <c r="F1450" s="90" t="n">
        <f aca="false">H1450+I1450+J1450+K1450+L1450+M1450</f>
        <v>160</v>
      </c>
      <c r="G1450" s="90" t="n">
        <v>0.65</v>
      </c>
      <c r="H1450" s="90" t="n">
        <v>130</v>
      </c>
      <c r="L1450" s="90" t="n">
        <v>30</v>
      </c>
    </row>
    <row r="1451" customFormat="false" ht="17.6" hidden="false" customHeight="false" outlineLevel="0" collapsed="false">
      <c r="A1451" s="91" t="s">
        <v>1668</v>
      </c>
      <c r="B1451" s="90" t="s">
        <v>40</v>
      </c>
      <c r="C1451" s="90" t="n">
        <f aca="false">ROUND(E1451*G1451+F1451,0)</f>
        <v>823</v>
      </c>
      <c r="D1451" s="90" t="s">
        <v>163</v>
      </c>
      <c r="E1451" s="90" t="n">
        <v>1220</v>
      </c>
      <c r="F1451" s="90" t="n">
        <f aca="false">H1451+I1451+J1451+K1451+L1451+M1451</f>
        <v>30</v>
      </c>
      <c r="G1451" s="90" t="n">
        <v>0.65</v>
      </c>
      <c r="L1451" s="90" t="n">
        <v>30</v>
      </c>
    </row>
    <row r="1452" customFormat="false" ht="17.6" hidden="false" customHeight="false" outlineLevel="0" collapsed="false">
      <c r="A1452" s="91" t="s">
        <v>1669</v>
      </c>
      <c r="B1452" s="90" t="s">
        <v>40</v>
      </c>
      <c r="C1452" s="90" t="n">
        <f aca="false">ROUND(E1452*G1452+F1452,0)</f>
        <v>1223</v>
      </c>
      <c r="D1452" s="90" t="s">
        <v>163</v>
      </c>
      <c r="E1452" s="90" t="n">
        <v>1220</v>
      </c>
      <c r="F1452" s="90" t="n">
        <f aca="false">H1452+I1452+J1452+K1452+L1452+M1452</f>
        <v>430</v>
      </c>
      <c r="G1452" s="90" t="n">
        <v>0.65</v>
      </c>
      <c r="L1452" s="90" t="n">
        <v>30</v>
      </c>
      <c r="M1452" s="90" t="n">
        <v>400</v>
      </c>
    </row>
    <row r="1453" customFormat="false" ht="17.6" hidden="false" customHeight="false" outlineLevel="0" collapsed="false">
      <c r="A1453" s="91" t="s">
        <v>1670</v>
      </c>
      <c r="B1453" s="90" t="s">
        <v>40</v>
      </c>
      <c r="C1453" s="90" t="n">
        <f aca="false">ROUND(E1453*G1453+F1453,0)</f>
        <v>973</v>
      </c>
      <c r="D1453" s="90" t="s">
        <v>163</v>
      </c>
      <c r="E1453" s="90" t="n">
        <v>1220</v>
      </c>
      <c r="F1453" s="90" t="n">
        <f aca="false">H1453+I1453+J1453+K1453+L1453+M1453</f>
        <v>180</v>
      </c>
      <c r="G1453" s="90" t="n">
        <v>0.65</v>
      </c>
      <c r="H1453" s="90" t="n">
        <v>130</v>
      </c>
      <c r="K1453" s="90" t="n">
        <v>50</v>
      </c>
    </row>
    <row r="1454" customFormat="false" ht="17.6" hidden="false" customHeight="false" outlineLevel="0" collapsed="false">
      <c r="A1454" s="91" t="s">
        <v>1671</v>
      </c>
      <c r="B1454" s="90" t="s">
        <v>40</v>
      </c>
      <c r="C1454" s="90" t="n">
        <f aca="false">ROUND(E1454*G1454+F1454,0)</f>
        <v>843</v>
      </c>
      <c r="D1454" s="90" t="s">
        <v>163</v>
      </c>
      <c r="E1454" s="90" t="n">
        <v>1220</v>
      </c>
      <c r="F1454" s="90" t="n">
        <f aca="false">H1454+I1454+J1454+K1454+L1454+M1454</f>
        <v>50</v>
      </c>
      <c r="G1454" s="90" t="n">
        <v>0.65</v>
      </c>
      <c r="K1454" s="90" t="n">
        <v>50</v>
      </c>
    </row>
    <row r="1455" customFormat="false" ht="17.6" hidden="false" customHeight="false" outlineLevel="0" collapsed="false">
      <c r="A1455" s="91" t="s">
        <v>1672</v>
      </c>
      <c r="B1455" s="90" t="s">
        <v>40</v>
      </c>
      <c r="C1455" s="90" t="n">
        <f aca="false">ROUND(E1455*G1455+F1455,0)</f>
        <v>1243</v>
      </c>
      <c r="D1455" s="90" t="s">
        <v>163</v>
      </c>
      <c r="E1455" s="90" t="n">
        <v>1220</v>
      </c>
      <c r="F1455" s="90" t="n">
        <f aca="false">H1455+I1455+J1455+K1455+L1455+M1455</f>
        <v>450</v>
      </c>
      <c r="G1455" s="90" t="n">
        <v>0.65</v>
      </c>
      <c r="K1455" s="90" t="n">
        <v>50</v>
      </c>
      <c r="M1455" s="90" t="n">
        <v>400</v>
      </c>
    </row>
    <row r="1456" customFormat="false" ht="17.6" hidden="false" customHeight="false" outlineLevel="0" collapsed="false">
      <c r="A1456" s="91" t="s">
        <v>1673</v>
      </c>
      <c r="B1456" s="90" t="s">
        <v>40</v>
      </c>
      <c r="C1456" s="90" t="n">
        <f aca="false">ROUND(1220*0.65+630,)</f>
        <v>1423</v>
      </c>
      <c r="D1456" s="90" t="s">
        <v>163</v>
      </c>
    </row>
    <row r="1457" customFormat="false" ht="17.6" hidden="false" customHeight="false" outlineLevel="0" collapsed="false">
      <c r="A1457" s="91" t="s">
        <v>1674</v>
      </c>
      <c r="B1457" s="90" t="s">
        <v>40</v>
      </c>
      <c r="C1457" s="90" t="n">
        <f aca="false">ROUND(E1457*G1457+F1457,0)</f>
        <v>1193</v>
      </c>
      <c r="D1457" s="90" t="s">
        <v>163</v>
      </c>
      <c r="E1457" s="90" t="n">
        <v>1220</v>
      </c>
      <c r="F1457" s="90" t="n">
        <f aca="false">H1457+I1457+J1457+K1457+L1457+M1457</f>
        <v>400</v>
      </c>
      <c r="G1457" s="90" t="n">
        <v>0.65</v>
      </c>
      <c r="M1457" s="90" t="n">
        <v>400</v>
      </c>
    </row>
    <row r="1458" customFormat="false" ht="17.6" hidden="false" customHeight="false" outlineLevel="0" collapsed="false">
      <c r="A1458" s="91" t="s">
        <v>1675</v>
      </c>
      <c r="B1458" s="90" t="s">
        <v>40</v>
      </c>
      <c r="C1458" s="90" t="n">
        <f aca="false">ROUND(1220*0.65+130+50,)</f>
        <v>973</v>
      </c>
      <c r="D1458" s="90" t="s">
        <v>163</v>
      </c>
    </row>
    <row r="1459" customFormat="false" ht="17.6" hidden="false" customHeight="false" outlineLevel="0" collapsed="false">
      <c r="A1459" s="91" t="s">
        <v>1676</v>
      </c>
      <c r="B1459" s="90" t="s">
        <v>40</v>
      </c>
      <c r="C1459" s="90" t="n">
        <f aca="false">ROUND(E1459*G1459+F1459,0)</f>
        <v>973</v>
      </c>
      <c r="D1459" s="90" t="s">
        <v>163</v>
      </c>
      <c r="E1459" s="90" t="n">
        <v>1220</v>
      </c>
      <c r="F1459" s="90" t="n">
        <f aca="false">H1459+I1459+J1459+K1459+L1459+M1459</f>
        <v>180</v>
      </c>
      <c r="G1459" s="90" t="n">
        <v>0.65</v>
      </c>
      <c r="H1459" s="90" t="n">
        <v>130</v>
      </c>
      <c r="J1459" s="90" t="n">
        <v>50</v>
      </c>
    </row>
    <row r="1460" customFormat="false" ht="17.6" hidden="false" customHeight="false" outlineLevel="0" collapsed="false">
      <c r="A1460" s="91" t="s">
        <v>1677</v>
      </c>
      <c r="B1460" s="90" t="s">
        <v>40</v>
      </c>
      <c r="C1460" s="90" t="n">
        <f aca="false">ROUND(E1460*G1460+F1460,0)</f>
        <v>843</v>
      </c>
      <c r="D1460" s="90" t="s">
        <v>163</v>
      </c>
      <c r="E1460" s="90" t="n">
        <v>1220</v>
      </c>
      <c r="F1460" s="90" t="n">
        <f aca="false">H1460+I1460+J1460+K1460+L1460+M1460</f>
        <v>50</v>
      </c>
      <c r="G1460" s="90" t="n">
        <v>0.65</v>
      </c>
      <c r="J1460" s="90" t="n">
        <v>50</v>
      </c>
    </row>
    <row r="1461" customFormat="false" ht="17.6" hidden="false" customHeight="false" outlineLevel="0" collapsed="false">
      <c r="A1461" s="91" t="s">
        <v>1678</v>
      </c>
      <c r="B1461" s="90" t="s">
        <v>40</v>
      </c>
      <c r="C1461" s="90" t="n">
        <f aca="false">ROUND(E1461*G1461+F1461,0)</f>
        <v>1243</v>
      </c>
      <c r="D1461" s="90" t="s">
        <v>163</v>
      </c>
      <c r="E1461" s="90" t="n">
        <v>1220</v>
      </c>
      <c r="F1461" s="90" t="n">
        <f aca="false">H1461+I1461+J1461+K1461+L1461+M1461</f>
        <v>450</v>
      </c>
      <c r="G1461" s="90" t="n">
        <v>0.65</v>
      </c>
      <c r="J1461" s="90" t="n">
        <v>50</v>
      </c>
      <c r="M1461" s="90" t="n">
        <v>400</v>
      </c>
    </row>
    <row r="1462" customFormat="false" ht="17.6" hidden="false" customHeight="false" outlineLevel="0" collapsed="false">
      <c r="A1462" s="91" t="s">
        <v>1679</v>
      </c>
      <c r="B1462" s="90" t="s">
        <v>40</v>
      </c>
      <c r="C1462" s="90" t="n">
        <f aca="false">ROUND(1220*0.65+150,)</f>
        <v>943</v>
      </c>
      <c r="D1462" s="90" t="s">
        <v>163</v>
      </c>
    </row>
    <row r="1463" customFormat="false" ht="17.6" hidden="false" customHeight="false" outlineLevel="0" collapsed="false">
      <c r="A1463" s="91" t="s">
        <v>1680</v>
      </c>
      <c r="B1463" s="90" t="s">
        <v>40</v>
      </c>
      <c r="C1463" s="90" t="n">
        <f aca="false">ROUND(1220*0.65+630+150,)</f>
        <v>1573</v>
      </c>
      <c r="D1463" s="90" t="s">
        <v>163</v>
      </c>
    </row>
    <row r="1464" customFormat="false" ht="17.6" hidden="false" customHeight="false" outlineLevel="0" collapsed="false">
      <c r="A1464" s="91" t="s">
        <v>1681</v>
      </c>
      <c r="B1464" s="90" t="s">
        <v>40</v>
      </c>
      <c r="C1464" s="90" t="n">
        <f aca="false">ROUND(1220*0.65+130+130+50,)</f>
        <v>1103</v>
      </c>
      <c r="D1464" s="90" t="s">
        <v>163</v>
      </c>
    </row>
    <row r="1465" customFormat="false" ht="17.6" hidden="false" customHeight="false" outlineLevel="0" collapsed="false">
      <c r="A1465" s="91" t="s">
        <v>1682</v>
      </c>
      <c r="B1465" s="90" t="s">
        <v>40</v>
      </c>
      <c r="C1465" s="90" t="n">
        <f aca="false">ROUND(E1465*G1465+F1465,0)</f>
        <v>1103</v>
      </c>
      <c r="D1465" s="90" t="s">
        <v>163</v>
      </c>
      <c r="E1465" s="90" t="n">
        <v>1220</v>
      </c>
      <c r="F1465" s="90" t="n">
        <f aca="false">H1465+I1465+J1465+K1465+L1465+M1465</f>
        <v>310</v>
      </c>
      <c r="G1465" s="90" t="n">
        <v>0.65</v>
      </c>
      <c r="H1465" s="90" t="n">
        <v>130</v>
      </c>
      <c r="I1465" s="90" t="n">
        <v>130</v>
      </c>
      <c r="J1465" s="90" t="n">
        <v>50</v>
      </c>
    </row>
    <row r="1466" customFormat="false" ht="17.6" hidden="false" customHeight="false" outlineLevel="0" collapsed="false">
      <c r="A1466" s="91" t="s">
        <v>1683</v>
      </c>
      <c r="B1466" s="90" t="s">
        <v>40</v>
      </c>
      <c r="C1466" s="90" t="n">
        <f aca="false">ROUND(E1466*G1466+F1466,0)</f>
        <v>973</v>
      </c>
      <c r="D1466" s="90" t="s">
        <v>163</v>
      </c>
      <c r="E1466" s="90" t="n">
        <v>1220</v>
      </c>
      <c r="F1466" s="90" t="n">
        <f aca="false">H1466+I1466+J1466+K1466+L1466+M1466</f>
        <v>180</v>
      </c>
      <c r="G1466" s="90" t="n">
        <v>0.65</v>
      </c>
      <c r="I1466" s="90" t="n">
        <v>130</v>
      </c>
      <c r="J1466" s="90" t="n">
        <v>50</v>
      </c>
    </row>
    <row r="1467" customFormat="false" ht="17.6" hidden="false" customHeight="false" outlineLevel="0" collapsed="false">
      <c r="A1467" s="91" t="s">
        <v>1684</v>
      </c>
      <c r="B1467" s="90" t="s">
        <v>40</v>
      </c>
      <c r="C1467" s="90" t="n">
        <f aca="false">ROUND(1220*0.65+630+130+50,)</f>
        <v>1603</v>
      </c>
      <c r="D1467" s="90" t="s">
        <v>163</v>
      </c>
    </row>
    <row r="1468" customFormat="false" ht="17.6" hidden="false" customHeight="false" outlineLevel="0" collapsed="false">
      <c r="A1468" s="91" t="s">
        <v>1685</v>
      </c>
      <c r="B1468" s="90" t="s">
        <v>40</v>
      </c>
      <c r="C1468" s="90" t="n">
        <f aca="false">ROUND(E1468*G1468+F1468,0)</f>
        <v>1373</v>
      </c>
      <c r="D1468" s="90" t="s">
        <v>163</v>
      </c>
      <c r="E1468" s="90" t="n">
        <v>1220</v>
      </c>
      <c r="F1468" s="90" t="n">
        <f aca="false">H1468+I1468+J1468+K1468+L1468+M1468</f>
        <v>580</v>
      </c>
      <c r="G1468" s="90" t="n">
        <v>0.65</v>
      </c>
      <c r="I1468" s="90" t="n">
        <v>130</v>
      </c>
      <c r="J1468" s="90" t="n">
        <v>50</v>
      </c>
      <c r="M1468" s="90" t="n">
        <v>400</v>
      </c>
    </row>
    <row r="1469" customFormat="false" ht="17.6" hidden="false" customHeight="false" outlineLevel="0" collapsed="false">
      <c r="A1469" s="91" t="s">
        <v>1686</v>
      </c>
      <c r="B1469" s="90" t="s">
        <v>40</v>
      </c>
      <c r="C1469" s="90" t="n">
        <f aca="false">2100*0.65+180+1000</f>
        <v>2545</v>
      </c>
      <c r="D1469" s="90" t="s">
        <v>163</v>
      </c>
    </row>
    <row r="1470" customFormat="false" ht="17.6" hidden="false" customHeight="false" outlineLevel="0" collapsed="false">
      <c r="A1470" s="91" t="s">
        <v>1687</v>
      </c>
      <c r="B1470" s="90" t="s">
        <v>40</v>
      </c>
      <c r="C1470" s="90" t="n">
        <f aca="false">340*0.65+22</f>
        <v>243</v>
      </c>
      <c r="D1470" s="90" t="s">
        <v>163</v>
      </c>
    </row>
    <row r="1471" customFormat="false" ht="17.6" hidden="false" customHeight="false" outlineLevel="0" collapsed="false">
      <c r="A1471" s="91" t="s">
        <v>1688</v>
      </c>
      <c r="B1471" s="90" t="s">
        <v>40</v>
      </c>
      <c r="C1471" s="90" t="n">
        <f aca="false">340*0.65</f>
        <v>221</v>
      </c>
      <c r="D1471" s="90" t="s">
        <v>163</v>
      </c>
    </row>
    <row r="1472" customFormat="false" ht="17.6" hidden="false" customHeight="false" outlineLevel="0" collapsed="false">
      <c r="A1472" s="91" t="s">
        <v>1689</v>
      </c>
      <c r="B1472" s="90" t="s">
        <v>40</v>
      </c>
      <c r="C1472" s="90" t="n">
        <f aca="false">340*0.65</f>
        <v>221</v>
      </c>
      <c r="D1472" s="90" t="s">
        <v>163</v>
      </c>
    </row>
    <row r="1473" customFormat="false" ht="17.6" hidden="false" customHeight="false" outlineLevel="0" collapsed="false">
      <c r="A1473" s="91" t="s">
        <v>1690</v>
      </c>
      <c r="B1473" s="90" t="s">
        <v>40</v>
      </c>
      <c r="C1473" s="90" t="n">
        <f aca="false">ROUND(E1473*G1473+F1473,0)</f>
        <v>243</v>
      </c>
      <c r="D1473" s="90" t="s">
        <v>163</v>
      </c>
      <c r="E1473" s="90" t="n">
        <v>340</v>
      </c>
      <c r="F1473" s="90" t="n">
        <f aca="false">H1473+I1473+J1473+K1473+L1473+M1473</f>
        <v>22</v>
      </c>
      <c r="G1473" s="90" t="n">
        <v>0.65</v>
      </c>
      <c r="H1473" s="90" t="n">
        <v>22</v>
      </c>
    </row>
    <row r="1474" customFormat="false" ht="17.6" hidden="false" customHeight="false" outlineLevel="0" collapsed="false">
      <c r="A1474" s="91" t="s">
        <v>1691</v>
      </c>
      <c r="B1474" s="90" t="s">
        <v>40</v>
      </c>
      <c r="C1474" s="90" t="n">
        <f aca="false">ROUND(E1474*G1474+F1474,0)</f>
        <v>221</v>
      </c>
      <c r="D1474" s="90" t="s">
        <v>163</v>
      </c>
      <c r="E1474" s="90" t="n">
        <v>340</v>
      </c>
      <c r="F1474" s="90" t="n">
        <f aca="false">H1474+I1474+J1474+K1474+L1474+M1474</f>
        <v>0</v>
      </c>
      <c r="G1474" s="90" t="n">
        <v>0.65</v>
      </c>
    </row>
    <row r="1475" customFormat="false" ht="17.6" hidden="false" customHeight="false" outlineLevel="0" collapsed="false">
      <c r="A1475" s="91" t="s">
        <v>1691</v>
      </c>
      <c r="B1475" s="90" t="s">
        <v>40</v>
      </c>
      <c r="C1475" s="90" t="n">
        <f aca="false">ROUND(340*0.65,)</f>
        <v>221</v>
      </c>
      <c r="D1475" s="90" t="s">
        <v>163</v>
      </c>
    </row>
    <row r="1476" customFormat="false" ht="17.6" hidden="false" customHeight="false" outlineLevel="0" collapsed="false">
      <c r="A1476" s="91" t="s">
        <v>1692</v>
      </c>
      <c r="B1476" s="90" t="s">
        <v>40</v>
      </c>
      <c r="C1476" s="90" t="n">
        <f aca="false">ROUND(E1476*G1476+F1476,0)</f>
        <v>273</v>
      </c>
      <c r="D1476" s="90" t="s">
        <v>163</v>
      </c>
      <c r="E1476" s="90" t="n">
        <v>340</v>
      </c>
      <c r="F1476" s="90" t="n">
        <f aca="false">H1476+I1476+J1476+K1476+L1476+M1476</f>
        <v>52</v>
      </c>
      <c r="G1476" s="90" t="n">
        <v>0.65</v>
      </c>
      <c r="H1476" s="90" t="n">
        <v>22</v>
      </c>
      <c r="L1476" s="90" t="n">
        <v>30</v>
      </c>
    </row>
    <row r="1477" customFormat="false" ht="17.6" hidden="false" customHeight="false" outlineLevel="0" collapsed="false">
      <c r="A1477" s="91" t="s">
        <v>1693</v>
      </c>
      <c r="B1477" s="90" t="s">
        <v>40</v>
      </c>
      <c r="C1477" s="90" t="n">
        <f aca="false">ROUND(E1477*G1477+F1477,0)</f>
        <v>251</v>
      </c>
      <c r="D1477" s="90" t="s">
        <v>163</v>
      </c>
      <c r="E1477" s="90" t="n">
        <v>340</v>
      </c>
      <c r="F1477" s="90" t="n">
        <f aca="false">H1477+I1477+J1477+K1477+L1477+M1477</f>
        <v>30</v>
      </c>
      <c r="G1477" s="90" t="n">
        <v>0.65</v>
      </c>
      <c r="L1477" s="90" t="n">
        <v>30</v>
      </c>
    </row>
    <row r="1478" customFormat="false" ht="17.6" hidden="false" customHeight="false" outlineLevel="0" collapsed="false">
      <c r="A1478" s="91" t="s">
        <v>1694</v>
      </c>
      <c r="B1478" s="90" t="s">
        <v>40</v>
      </c>
      <c r="C1478" s="90" t="n">
        <f aca="false">ROUND(E1478*G1478+F1478,0)</f>
        <v>426</v>
      </c>
      <c r="D1478" s="90" t="s">
        <v>163</v>
      </c>
      <c r="E1478" s="90" t="n">
        <v>340</v>
      </c>
      <c r="F1478" s="90" t="n">
        <f aca="false">H1478+I1478+J1478+K1478+L1478+M1478</f>
        <v>205</v>
      </c>
      <c r="G1478" s="90" t="n">
        <v>0.65</v>
      </c>
      <c r="L1478" s="90" t="n">
        <v>30</v>
      </c>
      <c r="M1478" s="90" t="n">
        <v>175</v>
      </c>
    </row>
    <row r="1479" customFormat="false" ht="17.6" hidden="false" customHeight="false" outlineLevel="0" collapsed="false">
      <c r="A1479" s="91" t="s">
        <v>1695</v>
      </c>
      <c r="B1479" s="90" t="s">
        <v>40</v>
      </c>
      <c r="C1479" s="90" t="n">
        <f aca="false">ROUND(E1479*G1479+F1479,0)</f>
        <v>273</v>
      </c>
      <c r="D1479" s="90" t="s">
        <v>163</v>
      </c>
      <c r="E1479" s="90" t="n">
        <v>340</v>
      </c>
      <c r="F1479" s="90" t="n">
        <f aca="false">H1479+I1479+J1479+K1479+L1479+M1479</f>
        <v>52</v>
      </c>
      <c r="G1479" s="90" t="n">
        <v>0.65</v>
      </c>
      <c r="H1479" s="90" t="n">
        <v>22</v>
      </c>
      <c r="K1479" s="90" t="n">
        <v>30</v>
      </c>
    </row>
    <row r="1480" customFormat="false" ht="17.6" hidden="false" customHeight="false" outlineLevel="0" collapsed="false">
      <c r="A1480" s="91" t="s">
        <v>1696</v>
      </c>
      <c r="B1480" s="90" t="s">
        <v>40</v>
      </c>
      <c r="C1480" s="90" t="n">
        <f aca="false">ROUND(E1480*G1480+F1480,0)</f>
        <v>251</v>
      </c>
      <c r="D1480" s="90" t="s">
        <v>163</v>
      </c>
      <c r="E1480" s="90" t="n">
        <v>340</v>
      </c>
      <c r="F1480" s="90" t="n">
        <f aca="false">H1480+I1480+J1480+K1480+L1480+M1480</f>
        <v>30</v>
      </c>
      <c r="G1480" s="90" t="n">
        <v>0.65</v>
      </c>
      <c r="K1480" s="90" t="n">
        <v>30</v>
      </c>
    </row>
    <row r="1481" customFormat="false" ht="17.6" hidden="false" customHeight="false" outlineLevel="0" collapsed="false">
      <c r="A1481" s="91" t="s">
        <v>1697</v>
      </c>
      <c r="B1481" s="90" t="s">
        <v>40</v>
      </c>
      <c r="C1481" s="90" t="n">
        <f aca="false">ROUND(E1481*G1481+F1481,0)</f>
        <v>426</v>
      </c>
      <c r="D1481" s="90" t="s">
        <v>163</v>
      </c>
      <c r="E1481" s="90" t="n">
        <v>340</v>
      </c>
      <c r="F1481" s="90" t="n">
        <f aca="false">H1481+I1481+J1481+K1481+L1481+M1481</f>
        <v>205</v>
      </c>
      <c r="G1481" s="90" t="n">
        <v>0.65</v>
      </c>
      <c r="K1481" s="90" t="n">
        <v>30</v>
      </c>
      <c r="M1481" s="90" t="n">
        <v>175</v>
      </c>
    </row>
    <row r="1482" customFormat="false" ht="17.6" hidden="false" customHeight="false" outlineLevel="0" collapsed="false">
      <c r="A1482" s="91" t="s">
        <v>1698</v>
      </c>
      <c r="B1482" s="90" t="s">
        <v>40</v>
      </c>
      <c r="C1482" s="90" t="n">
        <f aca="false">ROUND(340*0.65+175,)</f>
        <v>396</v>
      </c>
      <c r="D1482" s="90" t="s">
        <v>163</v>
      </c>
    </row>
    <row r="1483" customFormat="false" ht="17.6" hidden="false" customHeight="false" outlineLevel="0" collapsed="false">
      <c r="A1483" s="91" t="s">
        <v>1699</v>
      </c>
      <c r="B1483" s="90" t="s">
        <v>40</v>
      </c>
      <c r="C1483" s="90" t="n">
        <f aca="false">ROUND(E1483*G1483+F1483,0)</f>
        <v>396</v>
      </c>
      <c r="D1483" s="90" t="s">
        <v>163</v>
      </c>
      <c r="E1483" s="90" t="n">
        <v>340</v>
      </c>
      <c r="F1483" s="90" t="n">
        <f aca="false">H1483+I1483+J1483+K1483+L1483+M1483</f>
        <v>175</v>
      </c>
      <c r="G1483" s="90" t="n">
        <v>0.65</v>
      </c>
      <c r="M1483" s="90" t="n">
        <v>175</v>
      </c>
    </row>
    <row r="1484" customFormat="false" ht="17.6" hidden="false" customHeight="false" outlineLevel="0" collapsed="false">
      <c r="A1484" s="91" t="s">
        <v>1700</v>
      </c>
      <c r="B1484" s="90" t="s">
        <v>40</v>
      </c>
      <c r="C1484" s="90" t="n">
        <f aca="false">ROUND(E1484*G1484+F1484,0)</f>
        <v>275</v>
      </c>
      <c r="D1484" s="90" t="s">
        <v>163</v>
      </c>
      <c r="E1484" s="90" t="n">
        <v>340</v>
      </c>
      <c r="F1484" s="90" t="n">
        <f aca="false">H1484+I1484+J1484+K1484+L1484+M1484</f>
        <v>54</v>
      </c>
      <c r="G1484" s="90" t="n">
        <v>0.65</v>
      </c>
      <c r="H1484" s="90" t="n">
        <v>22</v>
      </c>
      <c r="J1484" s="90" t="n">
        <v>32</v>
      </c>
    </row>
    <row r="1485" customFormat="false" ht="17.6" hidden="false" customHeight="false" outlineLevel="0" collapsed="false">
      <c r="A1485" s="91" t="s">
        <v>1701</v>
      </c>
      <c r="B1485" s="90" t="s">
        <v>40</v>
      </c>
      <c r="C1485" s="90" t="n">
        <f aca="false">ROUND(E1485*G1485+F1485,0)</f>
        <v>253</v>
      </c>
      <c r="D1485" s="90" t="s">
        <v>163</v>
      </c>
      <c r="E1485" s="90" t="n">
        <v>340</v>
      </c>
      <c r="F1485" s="90" t="n">
        <f aca="false">H1485+I1485+J1485+K1485+L1485+M1485</f>
        <v>32</v>
      </c>
      <c r="G1485" s="90" t="n">
        <v>0.65</v>
      </c>
      <c r="J1485" s="90" t="n">
        <v>32</v>
      </c>
    </row>
    <row r="1486" customFormat="false" ht="17.6" hidden="false" customHeight="false" outlineLevel="0" collapsed="false">
      <c r="A1486" s="91" t="s">
        <v>1702</v>
      </c>
      <c r="B1486" s="90" t="s">
        <v>40</v>
      </c>
      <c r="C1486" s="90" t="n">
        <f aca="false">ROUND(E1486*G1486+F1486,0)</f>
        <v>428</v>
      </c>
      <c r="D1486" s="90" t="s">
        <v>163</v>
      </c>
      <c r="E1486" s="90" t="n">
        <v>340</v>
      </c>
      <c r="F1486" s="90" t="n">
        <f aca="false">H1486+I1486+J1486+K1486+L1486+M1486</f>
        <v>207</v>
      </c>
      <c r="G1486" s="90" t="n">
        <v>0.65</v>
      </c>
      <c r="J1486" s="90" t="n">
        <v>32</v>
      </c>
      <c r="M1486" s="90" t="n">
        <v>175</v>
      </c>
    </row>
    <row r="1487" customFormat="false" ht="17.6" hidden="false" customHeight="false" outlineLevel="0" collapsed="false">
      <c r="A1487" s="91" t="s">
        <v>1703</v>
      </c>
      <c r="B1487" s="90" t="s">
        <v>40</v>
      </c>
      <c r="C1487" s="90" t="n">
        <f aca="false">ROUND(E1487*G1487+F1487,0)</f>
        <v>345</v>
      </c>
      <c r="D1487" s="90" t="s">
        <v>163</v>
      </c>
      <c r="E1487" s="90" t="n">
        <v>340</v>
      </c>
      <c r="F1487" s="90" t="n">
        <f aca="false">H1487+I1487+J1487+K1487+L1487+M1487</f>
        <v>124</v>
      </c>
      <c r="G1487" s="90" t="n">
        <v>0.65</v>
      </c>
      <c r="H1487" s="90" t="n">
        <v>22</v>
      </c>
      <c r="I1487" s="90" t="n">
        <v>70</v>
      </c>
      <c r="J1487" s="90" t="n">
        <v>32</v>
      </c>
    </row>
    <row r="1488" customFormat="false" ht="17.6" hidden="false" customHeight="false" outlineLevel="0" collapsed="false">
      <c r="A1488" s="91" t="s">
        <v>1704</v>
      </c>
      <c r="B1488" s="90" t="s">
        <v>40</v>
      </c>
      <c r="C1488" s="90" t="n">
        <f aca="false">ROUND(E1488*G1488+F1488,0)</f>
        <v>323</v>
      </c>
      <c r="D1488" s="90" t="s">
        <v>163</v>
      </c>
      <c r="E1488" s="90" t="n">
        <v>340</v>
      </c>
      <c r="F1488" s="90" t="n">
        <f aca="false">H1488+I1488+J1488+K1488+L1488+M1488</f>
        <v>102</v>
      </c>
      <c r="G1488" s="90" t="n">
        <v>0.65</v>
      </c>
      <c r="I1488" s="90" t="n">
        <v>70</v>
      </c>
      <c r="J1488" s="90" t="n">
        <v>32</v>
      </c>
    </row>
    <row r="1489" customFormat="false" ht="17.6" hidden="false" customHeight="false" outlineLevel="0" collapsed="false">
      <c r="A1489" s="91" t="s">
        <v>1705</v>
      </c>
      <c r="B1489" s="90" t="s">
        <v>40</v>
      </c>
      <c r="C1489" s="90" t="n">
        <f aca="false">ROUND(340*0.65+175+70+32,)</f>
        <v>498</v>
      </c>
      <c r="D1489" s="90" t="s">
        <v>163</v>
      </c>
    </row>
    <row r="1490" customFormat="false" ht="17.6" hidden="false" customHeight="false" outlineLevel="0" collapsed="false">
      <c r="A1490" s="91" t="s">
        <v>1706</v>
      </c>
      <c r="B1490" s="90" t="s">
        <v>40</v>
      </c>
      <c r="C1490" s="90" t="n">
        <f aca="false">ROUND(E1490*G1490+F1490,0)</f>
        <v>498</v>
      </c>
      <c r="D1490" s="90" t="s">
        <v>163</v>
      </c>
      <c r="E1490" s="90" t="n">
        <v>340</v>
      </c>
      <c r="F1490" s="90" t="n">
        <f aca="false">H1490+I1490+J1490+K1490+L1490+M1490</f>
        <v>277</v>
      </c>
      <c r="G1490" s="90" t="n">
        <v>0.65</v>
      </c>
      <c r="I1490" s="90" t="n">
        <v>70</v>
      </c>
      <c r="J1490" s="90" t="n">
        <v>32</v>
      </c>
      <c r="M1490" s="90" t="n">
        <v>175</v>
      </c>
    </row>
    <row r="1491" customFormat="false" ht="17.6" hidden="false" customHeight="false" outlineLevel="0" collapsed="false">
      <c r="A1491" s="91" t="s">
        <v>1707</v>
      </c>
      <c r="B1491" s="90" t="s">
        <v>40</v>
      </c>
      <c r="C1491" s="90" t="n">
        <f aca="false">ROUND(480*0.65,)</f>
        <v>312</v>
      </c>
      <c r="D1491" s="90" t="s">
        <v>163</v>
      </c>
    </row>
    <row r="1492" customFormat="false" ht="17.6" hidden="false" customHeight="false" outlineLevel="0" collapsed="false">
      <c r="A1492" s="91" t="s">
        <v>1708</v>
      </c>
      <c r="B1492" s="90" t="s">
        <v>40</v>
      </c>
      <c r="C1492" s="90" t="n">
        <f aca="false">ROUND(E1492*G1492+F1492,0)</f>
        <v>1518</v>
      </c>
      <c r="D1492" s="90" t="s">
        <v>163</v>
      </c>
      <c r="E1492" s="90" t="n">
        <v>1950</v>
      </c>
      <c r="F1492" s="90" t="n">
        <f aca="false">H1492+I1492+J1492+K1492+L1492+M1492</f>
        <v>250</v>
      </c>
      <c r="G1492" s="90" t="n">
        <v>0.65</v>
      </c>
      <c r="H1492" s="90" t="n">
        <v>250</v>
      </c>
    </row>
    <row r="1493" customFormat="false" ht="17.6" hidden="false" customHeight="false" outlineLevel="0" collapsed="false">
      <c r="A1493" s="91" t="s">
        <v>1709</v>
      </c>
      <c r="B1493" s="90" t="s">
        <v>40</v>
      </c>
      <c r="C1493" s="90" t="n">
        <f aca="false">ROUND(E1493*G1493+F1493,0)</f>
        <v>1268</v>
      </c>
      <c r="D1493" s="90" t="s">
        <v>163</v>
      </c>
      <c r="E1493" s="90" t="n">
        <v>1950</v>
      </c>
      <c r="F1493" s="90" t="n">
        <f aca="false">H1493+I1493+J1493+K1493+L1493+M1493</f>
        <v>0</v>
      </c>
      <c r="G1493" s="90" t="n">
        <v>0.65</v>
      </c>
    </row>
    <row r="1494" customFormat="false" ht="17.6" hidden="false" customHeight="false" outlineLevel="0" collapsed="false">
      <c r="A1494" s="91" t="s">
        <v>1710</v>
      </c>
      <c r="B1494" s="90" t="s">
        <v>40</v>
      </c>
      <c r="C1494" s="90" t="n">
        <f aca="false">ROUND(E1494*G1494+F1494,0)</f>
        <v>1548</v>
      </c>
      <c r="D1494" s="90" t="s">
        <v>163</v>
      </c>
      <c r="E1494" s="90" t="n">
        <v>1950</v>
      </c>
      <c r="F1494" s="90" t="n">
        <f aca="false">H1494+I1494+J1494+K1494+L1494+M1494</f>
        <v>280</v>
      </c>
      <c r="G1494" s="90" t="n">
        <v>0.65</v>
      </c>
      <c r="H1494" s="90" t="n">
        <v>250</v>
      </c>
      <c r="L1494" s="90" t="n">
        <v>30</v>
      </c>
    </row>
    <row r="1495" customFormat="false" ht="17.6" hidden="false" customHeight="false" outlineLevel="0" collapsed="false">
      <c r="A1495" s="91" t="s">
        <v>1711</v>
      </c>
      <c r="B1495" s="90" t="s">
        <v>40</v>
      </c>
      <c r="C1495" s="90" t="n">
        <f aca="false">ROUND(E1495*G1495+F1495,0)</f>
        <v>1298</v>
      </c>
      <c r="D1495" s="90" t="s">
        <v>163</v>
      </c>
      <c r="E1495" s="90" t="n">
        <v>1950</v>
      </c>
      <c r="F1495" s="90" t="n">
        <f aca="false">H1495+I1495+J1495+K1495+L1495+M1495</f>
        <v>30</v>
      </c>
      <c r="G1495" s="90" t="n">
        <v>0.65</v>
      </c>
      <c r="L1495" s="90" t="n">
        <v>30</v>
      </c>
    </row>
    <row r="1496" customFormat="false" ht="17.6" hidden="false" customHeight="false" outlineLevel="0" collapsed="false">
      <c r="A1496" s="91" t="s">
        <v>1712</v>
      </c>
      <c r="B1496" s="90" t="s">
        <v>40</v>
      </c>
      <c r="C1496" s="90" t="n">
        <f aca="false">ROUND(E1496*G1496+F1496,0)</f>
        <v>1928</v>
      </c>
      <c r="D1496" s="90" t="s">
        <v>163</v>
      </c>
      <c r="E1496" s="90" t="n">
        <v>1950</v>
      </c>
      <c r="F1496" s="90" t="n">
        <f aca="false">H1496+I1496+J1496+K1496+L1496+M1496</f>
        <v>660</v>
      </c>
      <c r="G1496" s="90" t="n">
        <v>0.65</v>
      </c>
      <c r="L1496" s="90" t="n">
        <v>30</v>
      </c>
      <c r="M1496" s="90" t="n">
        <v>630</v>
      </c>
    </row>
    <row r="1497" customFormat="false" ht="17.6" hidden="false" customHeight="false" outlineLevel="0" collapsed="false">
      <c r="A1497" s="91" t="s">
        <v>1713</v>
      </c>
      <c r="B1497" s="90" t="s">
        <v>40</v>
      </c>
      <c r="C1497" s="90" t="n">
        <f aca="false">ROUND(E1497*G1497+F1497,0)</f>
        <v>1568</v>
      </c>
      <c r="D1497" s="90" t="s">
        <v>163</v>
      </c>
      <c r="E1497" s="90" t="n">
        <v>1950</v>
      </c>
      <c r="F1497" s="90" t="n">
        <f aca="false">H1497+I1497+J1497+K1497+L1497+M1497</f>
        <v>300</v>
      </c>
      <c r="G1497" s="90" t="n">
        <v>0.65</v>
      </c>
      <c r="H1497" s="90" t="n">
        <v>250</v>
      </c>
      <c r="K1497" s="90" t="n">
        <v>50</v>
      </c>
    </row>
    <row r="1498" customFormat="false" ht="17.6" hidden="false" customHeight="false" outlineLevel="0" collapsed="false">
      <c r="A1498" s="91" t="s">
        <v>1714</v>
      </c>
      <c r="B1498" s="90" t="s">
        <v>40</v>
      </c>
      <c r="C1498" s="90" t="n">
        <f aca="false">ROUND(E1498*G1498+F1498,0)</f>
        <v>1318</v>
      </c>
      <c r="D1498" s="90" t="s">
        <v>163</v>
      </c>
      <c r="E1498" s="90" t="n">
        <v>1950</v>
      </c>
      <c r="F1498" s="90" t="n">
        <f aca="false">H1498+I1498+J1498+K1498+L1498+M1498</f>
        <v>50</v>
      </c>
      <c r="G1498" s="90" t="n">
        <v>0.65</v>
      </c>
      <c r="K1498" s="90" t="n">
        <v>50</v>
      </c>
    </row>
    <row r="1499" customFormat="false" ht="17.6" hidden="false" customHeight="false" outlineLevel="0" collapsed="false">
      <c r="A1499" s="91" t="s">
        <v>1715</v>
      </c>
      <c r="B1499" s="90" t="s">
        <v>40</v>
      </c>
      <c r="C1499" s="90" t="n">
        <f aca="false">ROUND(E1499*G1499+F1499,0)</f>
        <v>1948</v>
      </c>
      <c r="D1499" s="90" t="s">
        <v>163</v>
      </c>
      <c r="E1499" s="90" t="n">
        <v>1950</v>
      </c>
      <c r="F1499" s="90" t="n">
        <f aca="false">H1499+I1499+J1499+K1499+L1499+M1499</f>
        <v>680</v>
      </c>
      <c r="G1499" s="90" t="n">
        <v>0.65</v>
      </c>
      <c r="K1499" s="90" t="n">
        <v>50</v>
      </c>
      <c r="M1499" s="90" t="n">
        <v>630</v>
      </c>
    </row>
    <row r="1500" customFormat="false" ht="17.6" hidden="false" customHeight="false" outlineLevel="0" collapsed="false">
      <c r="A1500" s="91" t="s">
        <v>1716</v>
      </c>
      <c r="B1500" s="90" t="s">
        <v>40</v>
      </c>
      <c r="C1500" s="90" t="n">
        <f aca="false">ROUND(E1500*G1500+F1500,0)</f>
        <v>1898</v>
      </c>
      <c r="D1500" s="90" t="s">
        <v>163</v>
      </c>
      <c r="E1500" s="90" t="n">
        <v>1950</v>
      </c>
      <c r="F1500" s="90" t="n">
        <f aca="false">H1500+I1500+J1500+K1500+L1500+M1500</f>
        <v>630</v>
      </c>
      <c r="G1500" s="90" t="n">
        <v>0.65</v>
      </c>
      <c r="M1500" s="90" t="n">
        <v>630</v>
      </c>
    </row>
    <row r="1501" customFormat="false" ht="17.6" hidden="false" customHeight="false" outlineLevel="0" collapsed="false">
      <c r="A1501" s="91" t="s">
        <v>1717</v>
      </c>
      <c r="B1501" s="90" t="s">
        <v>40</v>
      </c>
      <c r="C1501" s="90" t="n">
        <f aca="false">ROUND(E1501*G1501+F1501,0)</f>
        <v>1568</v>
      </c>
      <c r="D1501" s="90" t="s">
        <v>163</v>
      </c>
      <c r="E1501" s="90" t="n">
        <v>1950</v>
      </c>
      <c r="F1501" s="90" t="n">
        <f aca="false">H1501+I1501+J1501+K1501+L1501+M1501</f>
        <v>300</v>
      </c>
      <c r="G1501" s="90" t="n">
        <v>0.65</v>
      </c>
      <c r="H1501" s="90" t="n">
        <v>250</v>
      </c>
      <c r="J1501" s="90" t="n">
        <v>50</v>
      </c>
    </row>
    <row r="1502" customFormat="false" ht="17.6" hidden="false" customHeight="false" outlineLevel="0" collapsed="false">
      <c r="A1502" s="91" t="s">
        <v>1718</v>
      </c>
      <c r="B1502" s="90" t="s">
        <v>40</v>
      </c>
      <c r="C1502" s="90" t="n">
        <f aca="false">ROUND(E1502*G1502+F1502,0)</f>
        <v>1318</v>
      </c>
      <c r="D1502" s="90" t="s">
        <v>163</v>
      </c>
      <c r="E1502" s="90" t="n">
        <v>1950</v>
      </c>
      <c r="F1502" s="90" t="n">
        <f aca="false">H1502+I1502+J1502+K1502+L1502+M1502</f>
        <v>50</v>
      </c>
      <c r="G1502" s="90" t="n">
        <v>0.65</v>
      </c>
      <c r="J1502" s="90" t="n">
        <v>50</v>
      </c>
    </row>
    <row r="1503" customFormat="false" ht="17.6" hidden="false" customHeight="false" outlineLevel="0" collapsed="false">
      <c r="A1503" s="91" t="s">
        <v>1719</v>
      </c>
      <c r="B1503" s="90" t="s">
        <v>40</v>
      </c>
      <c r="C1503" s="90" t="n">
        <f aca="false">ROUND(E1503*G1503+F1503,0)</f>
        <v>1948</v>
      </c>
      <c r="D1503" s="90" t="s">
        <v>163</v>
      </c>
      <c r="E1503" s="90" t="n">
        <v>1950</v>
      </c>
      <c r="F1503" s="90" t="n">
        <f aca="false">H1503+I1503+J1503+K1503+L1503+M1503</f>
        <v>680</v>
      </c>
      <c r="G1503" s="90" t="n">
        <v>0.65</v>
      </c>
      <c r="J1503" s="90" t="n">
        <v>50</v>
      </c>
      <c r="M1503" s="90" t="n">
        <v>630</v>
      </c>
    </row>
    <row r="1504" customFormat="false" ht="17.6" hidden="false" customHeight="false" outlineLevel="0" collapsed="false">
      <c r="A1504" s="91" t="s">
        <v>1720</v>
      </c>
      <c r="B1504" s="90" t="s">
        <v>40</v>
      </c>
      <c r="C1504" s="90" t="n">
        <f aca="false">ROUND(E1504*G1504+F1504,0)</f>
        <v>1698</v>
      </c>
      <c r="D1504" s="90" t="s">
        <v>163</v>
      </c>
      <c r="E1504" s="90" t="n">
        <v>1950</v>
      </c>
      <c r="F1504" s="90" t="n">
        <f aca="false">H1504+I1504+J1504+K1504+L1504+M1504</f>
        <v>430</v>
      </c>
      <c r="G1504" s="90" t="n">
        <v>0.65</v>
      </c>
      <c r="H1504" s="90" t="n">
        <v>250</v>
      </c>
      <c r="I1504" s="90" t="n">
        <v>130</v>
      </c>
      <c r="J1504" s="90" t="n">
        <v>50</v>
      </c>
    </row>
    <row r="1505" customFormat="false" ht="17.6" hidden="false" customHeight="false" outlineLevel="0" collapsed="false">
      <c r="A1505" s="91" t="s">
        <v>1721</v>
      </c>
      <c r="B1505" s="90" t="s">
        <v>40</v>
      </c>
      <c r="C1505" s="90" t="n">
        <f aca="false">ROUND(E1505*G1505+F1505,0)</f>
        <v>1448</v>
      </c>
      <c r="D1505" s="90" t="s">
        <v>163</v>
      </c>
      <c r="E1505" s="90" t="n">
        <v>1950</v>
      </c>
      <c r="F1505" s="90" t="n">
        <f aca="false">H1505+I1505+J1505+K1505+L1505+M1505</f>
        <v>180</v>
      </c>
      <c r="G1505" s="90" t="n">
        <v>0.65</v>
      </c>
      <c r="I1505" s="90" t="n">
        <v>130</v>
      </c>
      <c r="J1505" s="90" t="n">
        <v>50</v>
      </c>
    </row>
    <row r="1506" customFormat="false" ht="17.6" hidden="false" customHeight="false" outlineLevel="0" collapsed="false">
      <c r="A1506" s="91" t="s">
        <v>1722</v>
      </c>
      <c r="B1506" s="90" t="s">
        <v>40</v>
      </c>
      <c r="C1506" s="90" t="n">
        <f aca="false">ROUND(E1506*G1506+F1506,0)</f>
        <v>2078</v>
      </c>
      <c r="D1506" s="90" t="s">
        <v>163</v>
      </c>
      <c r="E1506" s="90" t="n">
        <v>1950</v>
      </c>
      <c r="F1506" s="90" t="n">
        <f aca="false">H1506+I1506+J1506+K1506+L1506+M1506</f>
        <v>810</v>
      </c>
      <c r="G1506" s="90" t="n">
        <v>0.65</v>
      </c>
      <c r="I1506" s="90" t="n">
        <v>130</v>
      </c>
      <c r="J1506" s="90" t="n">
        <v>50</v>
      </c>
      <c r="M1506" s="90" t="n">
        <v>630</v>
      </c>
    </row>
    <row r="1507" customFormat="false" ht="17.6" hidden="false" customHeight="false" outlineLevel="0" collapsed="false">
      <c r="A1507" s="91" t="s">
        <v>1723</v>
      </c>
      <c r="B1507" s="90" t="s">
        <v>40</v>
      </c>
      <c r="C1507" s="90" t="n">
        <f aca="false">ROUND(E1507*G1507+F1507,0)</f>
        <v>1420</v>
      </c>
      <c r="D1507" s="90" t="s">
        <v>163</v>
      </c>
      <c r="E1507" s="90" t="n">
        <v>1800</v>
      </c>
      <c r="F1507" s="90" t="n">
        <f aca="false">H1507+I1507+J1507+K1507+L1507+M1507</f>
        <v>250</v>
      </c>
      <c r="G1507" s="90" t="n">
        <v>0.65</v>
      </c>
      <c r="H1507" s="90" t="n">
        <v>250</v>
      </c>
    </row>
    <row r="1508" customFormat="false" ht="17.6" hidden="false" customHeight="false" outlineLevel="0" collapsed="false">
      <c r="A1508" s="91" t="s">
        <v>1724</v>
      </c>
      <c r="B1508" s="90" t="s">
        <v>40</v>
      </c>
      <c r="C1508" s="90" t="n">
        <f aca="false">ROUND(E1508*G1508+F1508,0)</f>
        <v>1170</v>
      </c>
      <c r="D1508" s="90" t="s">
        <v>163</v>
      </c>
      <c r="E1508" s="90" t="n">
        <v>1800</v>
      </c>
      <c r="F1508" s="90" t="n">
        <f aca="false">H1508+I1508+J1508+K1508+L1508+M1508</f>
        <v>0</v>
      </c>
      <c r="G1508" s="90" t="n">
        <v>0.65</v>
      </c>
    </row>
    <row r="1509" customFormat="false" ht="17.6" hidden="false" customHeight="false" outlineLevel="0" collapsed="false">
      <c r="A1509" s="91" t="s">
        <v>1725</v>
      </c>
      <c r="B1509" s="90" t="s">
        <v>40</v>
      </c>
      <c r="C1509" s="90" t="n">
        <f aca="false">ROUND(E1509*G1509+F1509,0)</f>
        <v>1450</v>
      </c>
      <c r="D1509" s="90" t="s">
        <v>163</v>
      </c>
      <c r="E1509" s="90" t="n">
        <v>1800</v>
      </c>
      <c r="F1509" s="90" t="n">
        <f aca="false">H1509+I1509+J1509+K1509+L1509+M1509</f>
        <v>280</v>
      </c>
      <c r="G1509" s="90" t="n">
        <v>0.65</v>
      </c>
      <c r="H1509" s="90" t="n">
        <v>250</v>
      </c>
      <c r="L1509" s="90" t="n">
        <v>30</v>
      </c>
    </row>
    <row r="1510" customFormat="false" ht="17.6" hidden="false" customHeight="false" outlineLevel="0" collapsed="false">
      <c r="A1510" s="91" t="s">
        <v>1726</v>
      </c>
      <c r="B1510" s="90" t="s">
        <v>40</v>
      </c>
      <c r="C1510" s="90" t="n">
        <f aca="false">ROUND(E1510*G1510+F1510,0)</f>
        <v>1200</v>
      </c>
      <c r="D1510" s="90" t="s">
        <v>163</v>
      </c>
      <c r="E1510" s="90" t="n">
        <v>1800</v>
      </c>
      <c r="F1510" s="90" t="n">
        <f aca="false">H1510+I1510+J1510+K1510+L1510+M1510</f>
        <v>30</v>
      </c>
      <c r="G1510" s="90" t="n">
        <v>0.65</v>
      </c>
      <c r="L1510" s="90" t="n">
        <v>30</v>
      </c>
    </row>
    <row r="1511" customFormat="false" ht="17.6" hidden="false" customHeight="false" outlineLevel="0" collapsed="false">
      <c r="A1511" s="91" t="s">
        <v>1727</v>
      </c>
      <c r="B1511" s="90" t="s">
        <v>40</v>
      </c>
      <c r="C1511" s="90" t="n">
        <f aca="false">ROUND(E1511*G1511+F1511,0)</f>
        <v>1830</v>
      </c>
      <c r="D1511" s="90" t="s">
        <v>163</v>
      </c>
      <c r="E1511" s="90" t="n">
        <v>1800</v>
      </c>
      <c r="F1511" s="90" t="n">
        <f aca="false">H1511+I1511+J1511+K1511+L1511+M1511</f>
        <v>660</v>
      </c>
      <c r="G1511" s="90" t="n">
        <v>0.65</v>
      </c>
      <c r="L1511" s="90" t="n">
        <v>30</v>
      </c>
      <c r="M1511" s="90" t="n">
        <v>630</v>
      </c>
    </row>
    <row r="1512" customFormat="false" ht="17.6" hidden="false" customHeight="false" outlineLevel="0" collapsed="false">
      <c r="A1512" s="91" t="s">
        <v>1728</v>
      </c>
      <c r="B1512" s="90" t="s">
        <v>40</v>
      </c>
      <c r="C1512" s="90" t="n">
        <f aca="false">ROUND(E1512*G1512+F1512,0)</f>
        <v>1470</v>
      </c>
      <c r="D1512" s="90" t="s">
        <v>163</v>
      </c>
      <c r="E1512" s="90" t="n">
        <v>1800</v>
      </c>
      <c r="F1512" s="90" t="n">
        <f aca="false">H1512+I1512+J1512+K1512+L1512+M1512</f>
        <v>300</v>
      </c>
      <c r="G1512" s="90" t="n">
        <v>0.65</v>
      </c>
      <c r="H1512" s="90" t="n">
        <v>250</v>
      </c>
      <c r="K1512" s="90" t="n">
        <v>50</v>
      </c>
    </row>
    <row r="1513" customFormat="false" ht="17.6" hidden="false" customHeight="false" outlineLevel="0" collapsed="false">
      <c r="A1513" s="91" t="s">
        <v>1729</v>
      </c>
      <c r="B1513" s="90" t="s">
        <v>40</v>
      </c>
      <c r="C1513" s="90" t="n">
        <f aca="false">ROUND(E1513*G1513+F1513,0)</f>
        <v>1220</v>
      </c>
      <c r="D1513" s="90" t="s">
        <v>163</v>
      </c>
      <c r="E1513" s="90" t="n">
        <v>1800</v>
      </c>
      <c r="F1513" s="90" t="n">
        <f aca="false">H1513+I1513+J1513+K1513+L1513+M1513</f>
        <v>50</v>
      </c>
      <c r="G1513" s="90" t="n">
        <v>0.65</v>
      </c>
      <c r="K1513" s="90" t="n">
        <v>50</v>
      </c>
    </row>
    <row r="1514" customFormat="false" ht="17.6" hidden="false" customHeight="false" outlineLevel="0" collapsed="false">
      <c r="A1514" s="91" t="s">
        <v>1730</v>
      </c>
      <c r="B1514" s="90" t="s">
        <v>40</v>
      </c>
      <c r="C1514" s="90" t="n">
        <f aca="false">ROUND(E1514*G1514+F1514,0)</f>
        <v>1850</v>
      </c>
      <c r="D1514" s="90" t="s">
        <v>163</v>
      </c>
      <c r="E1514" s="90" t="n">
        <v>1800</v>
      </c>
      <c r="F1514" s="90" t="n">
        <f aca="false">H1514+I1514+J1514+K1514+L1514+M1514</f>
        <v>680</v>
      </c>
      <c r="G1514" s="90" t="n">
        <v>0.65</v>
      </c>
      <c r="K1514" s="90" t="n">
        <v>50</v>
      </c>
      <c r="M1514" s="90" t="n">
        <v>630</v>
      </c>
    </row>
    <row r="1515" customFormat="false" ht="17.6" hidden="false" customHeight="false" outlineLevel="0" collapsed="false">
      <c r="A1515" s="91" t="s">
        <v>1731</v>
      </c>
      <c r="B1515" s="90" t="s">
        <v>40</v>
      </c>
      <c r="C1515" s="90" t="n">
        <f aca="false">ROUND(E1515*G1515+F1515,0)</f>
        <v>1800</v>
      </c>
      <c r="D1515" s="90" t="s">
        <v>163</v>
      </c>
      <c r="E1515" s="90" t="n">
        <v>1800</v>
      </c>
      <c r="F1515" s="90" t="n">
        <f aca="false">H1515+I1515+J1515+K1515+L1515+M1515</f>
        <v>630</v>
      </c>
      <c r="G1515" s="90" t="n">
        <v>0.65</v>
      </c>
      <c r="M1515" s="90" t="n">
        <v>630</v>
      </c>
    </row>
    <row r="1516" customFormat="false" ht="17.6" hidden="false" customHeight="false" outlineLevel="0" collapsed="false">
      <c r="A1516" s="91" t="s">
        <v>1732</v>
      </c>
      <c r="B1516" s="90" t="s">
        <v>40</v>
      </c>
      <c r="C1516" s="90" t="n">
        <f aca="false">ROUND(E1516*G1516+F1516,0)</f>
        <v>1470</v>
      </c>
      <c r="D1516" s="90" t="s">
        <v>163</v>
      </c>
      <c r="E1516" s="90" t="n">
        <v>1800</v>
      </c>
      <c r="F1516" s="90" t="n">
        <f aca="false">H1516+I1516+J1516+K1516+L1516+M1516</f>
        <v>300</v>
      </c>
      <c r="G1516" s="90" t="n">
        <v>0.65</v>
      </c>
      <c r="H1516" s="90" t="n">
        <v>250</v>
      </c>
      <c r="J1516" s="90" t="n">
        <v>50</v>
      </c>
    </row>
    <row r="1517" customFormat="false" ht="17.6" hidden="false" customHeight="false" outlineLevel="0" collapsed="false">
      <c r="A1517" s="91" t="s">
        <v>1733</v>
      </c>
      <c r="B1517" s="90" t="s">
        <v>40</v>
      </c>
      <c r="C1517" s="90" t="n">
        <f aca="false">ROUND(E1517*G1517+F1517,0)</f>
        <v>1220</v>
      </c>
      <c r="D1517" s="90" t="s">
        <v>163</v>
      </c>
      <c r="E1517" s="90" t="n">
        <v>1800</v>
      </c>
      <c r="F1517" s="90" t="n">
        <f aca="false">H1517+I1517+J1517+K1517+L1517+M1517</f>
        <v>50</v>
      </c>
      <c r="G1517" s="90" t="n">
        <v>0.65</v>
      </c>
      <c r="J1517" s="90" t="n">
        <v>50</v>
      </c>
    </row>
    <row r="1518" customFormat="false" ht="17.6" hidden="false" customHeight="false" outlineLevel="0" collapsed="false">
      <c r="A1518" s="91" t="s">
        <v>1734</v>
      </c>
      <c r="B1518" s="90" t="s">
        <v>40</v>
      </c>
      <c r="C1518" s="90" t="n">
        <f aca="false">ROUND(E1518*G1518+F1518,0)</f>
        <v>1850</v>
      </c>
      <c r="D1518" s="90" t="s">
        <v>163</v>
      </c>
      <c r="E1518" s="90" t="n">
        <v>1800</v>
      </c>
      <c r="F1518" s="90" t="n">
        <f aca="false">H1518+I1518+J1518+K1518+L1518+M1518</f>
        <v>680</v>
      </c>
      <c r="G1518" s="90" t="n">
        <v>0.65</v>
      </c>
      <c r="J1518" s="90" t="n">
        <v>50</v>
      </c>
      <c r="M1518" s="90" t="n">
        <v>630</v>
      </c>
    </row>
    <row r="1519" customFormat="false" ht="17.6" hidden="false" customHeight="false" outlineLevel="0" collapsed="false">
      <c r="A1519" s="91" t="s">
        <v>1735</v>
      </c>
      <c r="B1519" s="90" t="s">
        <v>40</v>
      </c>
      <c r="C1519" s="90" t="n">
        <f aca="false">ROUND(E1519*G1519+F1519,0)</f>
        <v>1600</v>
      </c>
      <c r="D1519" s="90" t="s">
        <v>163</v>
      </c>
      <c r="E1519" s="90" t="n">
        <v>1800</v>
      </c>
      <c r="F1519" s="90" t="n">
        <f aca="false">H1519+I1519+J1519+K1519+L1519+M1519</f>
        <v>430</v>
      </c>
      <c r="G1519" s="90" t="n">
        <v>0.65</v>
      </c>
      <c r="H1519" s="90" t="n">
        <v>250</v>
      </c>
      <c r="I1519" s="90" t="n">
        <v>130</v>
      </c>
      <c r="J1519" s="90" t="n">
        <v>50</v>
      </c>
    </row>
    <row r="1520" customFormat="false" ht="17.6" hidden="false" customHeight="false" outlineLevel="0" collapsed="false">
      <c r="A1520" s="91" t="s">
        <v>1736</v>
      </c>
      <c r="B1520" s="90" t="s">
        <v>40</v>
      </c>
      <c r="C1520" s="90" t="n">
        <f aca="false">ROUND(E1520*G1520+F1520,0)</f>
        <v>1350</v>
      </c>
      <c r="D1520" s="90" t="s">
        <v>163</v>
      </c>
      <c r="E1520" s="90" t="n">
        <v>1800</v>
      </c>
      <c r="F1520" s="90" t="n">
        <f aca="false">H1520+I1520+J1520+K1520+L1520+M1520</f>
        <v>180</v>
      </c>
      <c r="G1520" s="90" t="n">
        <v>0.65</v>
      </c>
      <c r="I1520" s="90" t="n">
        <v>130</v>
      </c>
      <c r="J1520" s="90" t="n">
        <v>50</v>
      </c>
    </row>
    <row r="1521" customFormat="false" ht="17.6" hidden="false" customHeight="false" outlineLevel="0" collapsed="false">
      <c r="A1521" s="91" t="s">
        <v>1737</v>
      </c>
      <c r="B1521" s="90" t="s">
        <v>40</v>
      </c>
      <c r="C1521" s="90" t="n">
        <f aca="false">ROUND(E1521*G1521+F1521,0)</f>
        <v>1980</v>
      </c>
      <c r="D1521" s="90" t="s">
        <v>163</v>
      </c>
      <c r="E1521" s="90" t="n">
        <v>1800</v>
      </c>
      <c r="F1521" s="90" t="n">
        <f aca="false">H1521+I1521+J1521+K1521+L1521+M1521</f>
        <v>810</v>
      </c>
      <c r="G1521" s="90" t="n">
        <v>0.65</v>
      </c>
      <c r="I1521" s="90" t="n">
        <v>130</v>
      </c>
      <c r="J1521" s="90" t="n">
        <v>50</v>
      </c>
      <c r="M1521" s="90" t="n">
        <v>630</v>
      </c>
    </row>
    <row r="1522" customFormat="false" ht="17.6" hidden="false" customHeight="false" outlineLevel="0" collapsed="false">
      <c r="A1522" s="91" t="s">
        <v>1738</v>
      </c>
      <c r="B1522" s="90" t="s">
        <v>40</v>
      </c>
      <c r="C1522" s="90" t="n">
        <f aca="false">ROUND(1280*0.74+120+70,)</f>
        <v>1137</v>
      </c>
      <c r="D1522" s="90" t="s">
        <v>163</v>
      </c>
    </row>
    <row r="1523" customFormat="false" ht="17.6" hidden="false" customHeight="false" outlineLevel="0" collapsed="false">
      <c r="A1523" s="91" t="s">
        <v>1739</v>
      </c>
      <c r="B1523" s="90" t="s">
        <v>40</v>
      </c>
      <c r="C1523" s="90" t="n">
        <f aca="false">ROUND(1360*0.74+120+70,)</f>
        <v>1196</v>
      </c>
      <c r="D1523" s="90" t="s">
        <v>163</v>
      </c>
    </row>
    <row r="1524" customFormat="false" ht="17.6" hidden="false" customHeight="false" outlineLevel="0" collapsed="false">
      <c r="A1524" s="91" t="s">
        <v>1740</v>
      </c>
      <c r="B1524" s="90" t="s">
        <v>40</v>
      </c>
      <c r="C1524" s="90" t="n">
        <f aca="false">ROUND(1970*0.74,)</f>
        <v>1458</v>
      </c>
      <c r="D1524" s="90" t="s">
        <v>163</v>
      </c>
    </row>
    <row r="1525" customFormat="false" ht="17.6" hidden="false" customHeight="false" outlineLevel="0" collapsed="false">
      <c r="A1525" s="91" t="s">
        <v>1741</v>
      </c>
      <c r="B1525" s="90" t="s">
        <v>40</v>
      </c>
      <c r="C1525" s="90" t="n">
        <f aca="false">ROUND(1970*0.74+120+70,)</f>
        <v>1648</v>
      </c>
      <c r="D1525" s="90" t="s">
        <v>163</v>
      </c>
    </row>
    <row r="1526" customFormat="false" ht="17.6" hidden="false" customHeight="false" outlineLevel="0" collapsed="false">
      <c r="A1526" s="91" t="s">
        <v>1742</v>
      </c>
      <c r="B1526" s="90" t="s">
        <v>40</v>
      </c>
      <c r="C1526" s="90" t="n">
        <f aca="false">ROUND(2100*0.74+120+70,)</f>
        <v>1744</v>
      </c>
      <c r="D1526" s="90" t="s">
        <v>163</v>
      </c>
    </row>
    <row r="1527" customFormat="false" ht="17.6" hidden="false" customHeight="false" outlineLevel="0" collapsed="false">
      <c r="A1527" s="91" t="s">
        <v>1743</v>
      </c>
      <c r="B1527" s="90" t="s">
        <v>40</v>
      </c>
      <c r="C1527" s="90" t="n">
        <f aca="false">2100*0.74+120+70+890</f>
        <v>2634</v>
      </c>
      <c r="D1527" s="90" t="s">
        <v>163</v>
      </c>
    </row>
    <row r="1528" customFormat="false" ht="17.6" hidden="false" customHeight="false" outlineLevel="0" collapsed="false">
      <c r="A1528" s="91" t="s">
        <v>1744</v>
      </c>
      <c r="B1528" s="90" t="s">
        <v>873</v>
      </c>
      <c r="C1528" s="90" t="n">
        <f aca="false">1280*0.6</f>
        <v>768</v>
      </c>
      <c r="D1528" s="90" t="s">
        <v>163</v>
      </c>
    </row>
    <row r="1529" customFormat="false" ht="17.6" hidden="false" customHeight="false" outlineLevel="0" collapsed="false">
      <c r="A1529" s="91" t="s">
        <v>1745</v>
      </c>
      <c r="B1529" s="90" t="s">
        <v>86</v>
      </c>
      <c r="C1529" s="90" t="n">
        <f aca="false">18000*0.58</f>
        <v>10440</v>
      </c>
      <c r="D1529" s="90" t="s">
        <v>163</v>
      </c>
    </row>
    <row r="1530" customFormat="false" ht="17.6" hidden="false" customHeight="false" outlineLevel="0" collapsed="false">
      <c r="A1530" s="91"/>
    </row>
    <row r="1531" customFormat="false" ht="17.6" hidden="false" customHeight="false" outlineLevel="0" collapsed="false">
      <c r="A1531" s="91"/>
    </row>
    <row r="1532" customFormat="false" ht="17.6" hidden="false" customHeight="false" outlineLevel="0" collapsed="false">
      <c r="A1532" s="91"/>
    </row>
    <row r="1533" customFormat="false" ht="17.6" hidden="false" customHeight="false" outlineLevel="0" collapsed="false">
      <c r="A1533" s="91" t="s">
        <v>1746</v>
      </c>
      <c r="B1533" s="90" t="s">
        <v>49</v>
      </c>
      <c r="C1533" s="90" t="n">
        <f aca="false">ROUND(E1533*G1533+F1533,0)</f>
        <v>10355</v>
      </c>
      <c r="D1533" s="90" t="s">
        <v>163</v>
      </c>
      <c r="E1533" s="90" t="n">
        <v>15700</v>
      </c>
      <c r="F1533" s="90" t="n">
        <f aca="false">150</f>
        <v>150</v>
      </c>
      <c r="G1533" s="90" t="n">
        <v>0.65</v>
      </c>
    </row>
    <row r="1534" customFormat="false" ht="17.6" hidden="false" customHeight="false" outlineLevel="0" collapsed="false">
      <c r="A1534" s="91" t="s">
        <v>1747</v>
      </c>
      <c r="B1534" s="90" t="s">
        <v>49</v>
      </c>
      <c r="C1534" s="90" t="n">
        <f aca="false">15700*0.65+400+150</f>
        <v>10755</v>
      </c>
      <c r="D1534" s="90" t="s">
        <v>163</v>
      </c>
    </row>
    <row r="1535" customFormat="false" ht="17.6" hidden="false" customHeight="false" outlineLevel="0" collapsed="false">
      <c r="A1535" s="91" t="s">
        <v>1748</v>
      </c>
      <c r="B1535" s="90" t="s">
        <v>49</v>
      </c>
      <c r="C1535" s="90" t="n">
        <f aca="false">ROUND(E1535*G1535+F1535,0)</f>
        <v>10755</v>
      </c>
      <c r="D1535" s="90" t="s">
        <v>163</v>
      </c>
      <c r="E1535" s="90" t="n">
        <v>15700</v>
      </c>
      <c r="F1535" s="90" t="n">
        <f aca="false">400+150</f>
        <v>550</v>
      </c>
      <c r="G1535" s="90" t="n">
        <v>0.65</v>
      </c>
    </row>
    <row r="1536" customFormat="false" ht="17.6" hidden="false" customHeight="false" outlineLevel="0" collapsed="false">
      <c r="A1536" s="91" t="s">
        <v>1749</v>
      </c>
      <c r="B1536" s="90" t="s">
        <v>49</v>
      </c>
      <c r="C1536" s="90" t="n">
        <f aca="false">12600*0.65+150+200</f>
        <v>8540</v>
      </c>
      <c r="D1536" s="90" t="s">
        <v>163</v>
      </c>
    </row>
    <row r="1537" customFormat="false" ht="17.6" hidden="false" customHeight="false" outlineLevel="0" collapsed="false">
      <c r="A1537" s="91" t="s">
        <v>1750</v>
      </c>
      <c r="B1537" s="90" t="s">
        <v>49</v>
      </c>
      <c r="C1537" s="90" t="n">
        <f aca="false">ROUND(E1537*G1537+F1537,0)</f>
        <v>8740</v>
      </c>
      <c r="D1537" s="90" t="s">
        <v>163</v>
      </c>
      <c r="E1537" s="90" t="n">
        <v>12600</v>
      </c>
      <c r="F1537" s="90" t="n">
        <f aca="false">400+150</f>
        <v>550</v>
      </c>
      <c r="G1537" s="90" t="n">
        <v>0.65</v>
      </c>
    </row>
    <row r="1538" customFormat="false" ht="17.6" hidden="false" customHeight="false" outlineLevel="0" collapsed="false">
      <c r="A1538" s="91" t="s">
        <v>1751</v>
      </c>
      <c r="B1538" s="90" t="s">
        <v>49</v>
      </c>
      <c r="C1538" s="90" t="n">
        <f aca="false">20400*0.65</f>
        <v>13260</v>
      </c>
      <c r="D1538" s="90" t="s">
        <v>163</v>
      </c>
    </row>
    <row r="1539" customFormat="false" ht="17.6" hidden="false" customHeight="false" outlineLevel="0" collapsed="false">
      <c r="A1539" s="91" t="s">
        <v>1752</v>
      </c>
      <c r="B1539" s="90" t="s">
        <v>49</v>
      </c>
      <c r="C1539" s="90" t="n">
        <f aca="false">20400*0.65+400+150</f>
        <v>13810</v>
      </c>
      <c r="D1539" s="90" t="s">
        <v>163</v>
      </c>
    </row>
    <row r="1540" customFormat="false" ht="17.6" hidden="false" customHeight="false" outlineLevel="0" collapsed="false">
      <c r="A1540" s="91" t="s">
        <v>1753</v>
      </c>
      <c r="B1540" s="90" t="s">
        <v>49</v>
      </c>
      <c r="C1540" s="90" t="n">
        <f aca="false">ROUND(E1540*G1540+F1540,0)</f>
        <v>13810</v>
      </c>
      <c r="D1540" s="90" t="s">
        <v>163</v>
      </c>
      <c r="E1540" s="90" t="n">
        <v>20400</v>
      </c>
      <c r="F1540" s="90" t="n">
        <f aca="false">400+150</f>
        <v>550</v>
      </c>
      <c r="G1540" s="90" t="n">
        <v>0.65</v>
      </c>
    </row>
    <row r="1541" customFormat="false" ht="17.6" hidden="false" customHeight="false" outlineLevel="0" collapsed="false">
      <c r="A1541" s="91" t="s">
        <v>1754</v>
      </c>
      <c r="B1541" s="90" t="s">
        <v>49</v>
      </c>
      <c r="C1541" s="90" t="n">
        <f aca="false">ROUND(E1541*G1541+F1541,0)</f>
        <v>11210</v>
      </c>
      <c r="D1541" s="90" t="s">
        <v>163</v>
      </c>
      <c r="E1541" s="90" t="n">
        <v>16400</v>
      </c>
      <c r="F1541" s="90" t="n">
        <f aca="false">400+150</f>
        <v>550</v>
      </c>
      <c r="G1541" s="90" t="n">
        <v>0.65</v>
      </c>
    </row>
    <row r="1542" customFormat="false" ht="17.6" hidden="false" customHeight="false" outlineLevel="0" collapsed="false">
      <c r="A1542" s="91" t="s">
        <v>1755</v>
      </c>
      <c r="B1542" s="90" t="s">
        <v>49</v>
      </c>
      <c r="C1542" s="90" t="n">
        <f aca="false">16700*0.65+400+150</f>
        <v>11405</v>
      </c>
      <c r="D1542" s="90" t="s">
        <v>163</v>
      </c>
    </row>
    <row r="1543" customFormat="false" ht="17.6" hidden="false" customHeight="false" outlineLevel="0" collapsed="false">
      <c r="A1543" s="91" t="s">
        <v>1756</v>
      </c>
      <c r="B1543" s="90" t="s">
        <v>49</v>
      </c>
      <c r="C1543" s="90" t="n">
        <f aca="false">ROUND(E1543*G1543+F1543,0)</f>
        <v>11405</v>
      </c>
      <c r="D1543" s="90" t="s">
        <v>163</v>
      </c>
      <c r="E1543" s="90" t="n">
        <v>16700</v>
      </c>
      <c r="F1543" s="90" t="n">
        <f aca="false">400+150</f>
        <v>550</v>
      </c>
      <c r="G1543" s="90" t="n">
        <v>0.65</v>
      </c>
    </row>
    <row r="1544" customFormat="false" ht="17.6" hidden="false" customHeight="false" outlineLevel="0" collapsed="false">
      <c r="A1544" s="91" t="s">
        <v>1757</v>
      </c>
      <c r="B1544" s="90" t="s">
        <v>49</v>
      </c>
      <c r="C1544" s="90" t="n">
        <f aca="false">13600*0.65+400+150+200</f>
        <v>9590</v>
      </c>
      <c r="D1544" s="90" t="s">
        <v>163</v>
      </c>
    </row>
    <row r="1545" customFormat="false" ht="17.6" hidden="false" customHeight="false" outlineLevel="0" collapsed="false">
      <c r="A1545" s="91" t="s">
        <v>1758</v>
      </c>
      <c r="B1545" s="90" t="s">
        <v>49</v>
      </c>
      <c r="C1545" s="90" t="n">
        <f aca="false">ROUND(E1545*G1545+F1545,0)</f>
        <v>9390</v>
      </c>
      <c r="D1545" s="90" t="s">
        <v>163</v>
      </c>
      <c r="E1545" s="90" t="n">
        <v>13600</v>
      </c>
      <c r="F1545" s="90" t="n">
        <f aca="false">400+150</f>
        <v>550</v>
      </c>
      <c r="G1545" s="90" t="n">
        <v>0.65</v>
      </c>
    </row>
    <row r="1546" customFormat="false" ht="17.6" hidden="false" customHeight="false" outlineLevel="0" collapsed="false">
      <c r="A1546" s="91" t="s">
        <v>1759</v>
      </c>
      <c r="B1546" s="90" t="s">
        <v>49</v>
      </c>
      <c r="C1546" s="90" t="n">
        <f aca="false">21700*0.65+400+150</f>
        <v>14655</v>
      </c>
      <c r="D1546" s="90" t="s">
        <v>163</v>
      </c>
    </row>
    <row r="1547" customFormat="false" ht="17.6" hidden="false" customHeight="false" outlineLevel="0" collapsed="false">
      <c r="A1547" s="91"/>
    </row>
    <row r="1548" customFormat="false" ht="17.6" hidden="false" customHeight="false" outlineLevel="0" collapsed="false">
      <c r="A1548" s="91" t="s">
        <v>1760</v>
      </c>
      <c r="B1548" s="90" t="s">
        <v>49</v>
      </c>
      <c r="C1548" s="90" t="n">
        <f aca="false">ROUND(E1548*G1548+F1548,0)</f>
        <v>12055</v>
      </c>
      <c r="D1548" s="90" t="s">
        <v>163</v>
      </c>
      <c r="E1548" s="90" t="n">
        <v>17700</v>
      </c>
      <c r="F1548" s="90" t="n">
        <f aca="false">400+150</f>
        <v>550</v>
      </c>
      <c r="G1548" s="90" t="n">
        <v>0.65</v>
      </c>
    </row>
    <row r="1549" customFormat="false" ht="17.6" hidden="false" customHeight="false" outlineLevel="0" collapsed="false">
      <c r="A1549" s="91" t="s">
        <v>1761</v>
      </c>
      <c r="B1549" s="90" t="s">
        <v>49</v>
      </c>
      <c r="C1549" s="90" t="n">
        <f aca="false">17700*0.65+400+150</f>
        <v>12055</v>
      </c>
      <c r="D1549" s="90" t="s">
        <v>163</v>
      </c>
    </row>
    <row r="1550" customFormat="false" ht="17.6" hidden="false" customHeight="false" outlineLevel="0" collapsed="false">
      <c r="A1550" s="91" t="s">
        <v>1762</v>
      </c>
      <c r="B1550" s="90" t="s">
        <v>49</v>
      </c>
      <c r="C1550" s="90" t="n">
        <f aca="false">ROUND(E1550*G1550+F1550,0)</f>
        <v>12055</v>
      </c>
      <c r="D1550" s="90" t="s">
        <v>163</v>
      </c>
      <c r="E1550" s="90" t="n">
        <v>17700</v>
      </c>
      <c r="F1550" s="90" t="n">
        <f aca="false">400+150</f>
        <v>550</v>
      </c>
      <c r="G1550" s="90" t="n">
        <v>0.65</v>
      </c>
    </row>
    <row r="1551" customFormat="false" ht="17.6" hidden="false" customHeight="false" outlineLevel="0" collapsed="false">
      <c r="A1551" s="91" t="s">
        <v>1763</v>
      </c>
      <c r="B1551" s="90" t="s">
        <v>49</v>
      </c>
      <c r="C1551" s="90" t="n">
        <f aca="false">ROUND(E1551*G1551+F1551,0)</f>
        <v>10040</v>
      </c>
      <c r="D1551" s="90" t="s">
        <v>163</v>
      </c>
      <c r="E1551" s="90" t="n">
        <v>14600</v>
      </c>
      <c r="F1551" s="90" t="n">
        <f aca="false">400+150</f>
        <v>550</v>
      </c>
      <c r="G1551" s="90" t="n">
        <v>0.65</v>
      </c>
    </row>
    <row r="1552" customFormat="false" ht="17.6" hidden="false" customHeight="false" outlineLevel="0" collapsed="false">
      <c r="A1552" s="91" t="s">
        <v>1764</v>
      </c>
      <c r="B1552" s="90" t="s">
        <v>49</v>
      </c>
      <c r="C1552" s="90" t="n">
        <f aca="false">23000*0.65+400+150</f>
        <v>15500</v>
      </c>
      <c r="D1552" s="90" t="s">
        <v>163</v>
      </c>
    </row>
    <row r="1553" customFormat="false" ht="17.6" hidden="false" customHeight="false" outlineLevel="0" collapsed="false">
      <c r="A1553" s="91" t="s">
        <v>1765</v>
      </c>
      <c r="B1553" s="90" t="s">
        <v>49</v>
      </c>
      <c r="C1553" s="90" t="n">
        <f aca="false">ROUND(E1553*G1553+F1553,0)</f>
        <v>15500</v>
      </c>
      <c r="D1553" s="90" t="s">
        <v>163</v>
      </c>
      <c r="E1553" s="90" t="n">
        <v>23000</v>
      </c>
      <c r="F1553" s="90" t="n">
        <f aca="false">400+150</f>
        <v>550</v>
      </c>
      <c r="G1553" s="90" t="n">
        <v>0.65</v>
      </c>
    </row>
    <row r="1554" customFormat="false" ht="17.6" hidden="false" customHeight="false" outlineLevel="0" collapsed="false">
      <c r="A1554" s="91" t="s">
        <v>1766</v>
      </c>
      <c r="B1554" s="90" t="s">
        <v>49</v>
      </c>
      <c r="C1554" s="90" t="n">
        <f aca="false">ROUND(E1554*G1554+F1554,0)</f>
        <v>12900</v>
      </c>
      <c r="D1554" s="90" t="s">
        <v>163</v>
      </c>
      <c r="E1554" s="90" t="n">
        <v>19000</v>
      </c>
      <c r="F1554" s="90" t="n">
        <f aca="false">400+150</f>
        <v>550</v>
      </c>
      <c r="G1554" s="90" t="n">
        <v>0.65</v>
      </c>
    </row>
    <row r="1555" customFormat="false" ht="17.6" hidden="false" customHeight="false" outlineLevel="0" collapsed="false">
      <c r="A1555" s="91" t="s">
        <v>1767</v>
      </c>
      <c r="B1555" s="90" t="s">
        <v>49</v>
      </c>
      <c r="C1555" s="90" t="n">
        <f aca="false">14600*0.65+400+150+200</f>
        <v>10240</v>
      </c>
      <c r="D1555" s="90" t="s">
        <v>163</v>
      </c>
    </row>
    <row r="1556" customFormat="false" ht="17.6" hidden="false" customHeight="false" outlineLevel="0" collapsed="false">
      <c r="A1556" s="91" t="s">
        <v>1768</v>
      </c>
      <c r="B1556" s="90" t="s">
        <v>49</v>
      </c>
      <c r="C1556" s="90" t="n">
        <f aca="false">21700*0.65+400+150</f>
        <v>14655</v>
      </c>
      <c r="D1556" s="90" t="s">
        <v>163</v>
      </c>
    </row>
    <row r="1557" customFormat="false" ht="17.6" hidden="false" customHeight="false" outlineLevel="0" collapsed="false">
      <c r="A1557" s="91" t="s">
        <v>1769</v>
      </c>
      <c r="B1557" s="90" t="s">
        <v>49</v>
      </c>
      <c r="C1557" s="90" t="n">
        <f aca="false">ROUND(E1557*G1557+F1557,0)</f>
        <v>14655</v>
      </c>
      <c r="D1557" s="90" t="s">
        <v>163</v>
      </c>
      <c r="E1557" s="90" t="n">
        <v>21700</v>
      </c>
      <c r="F1557" s="90" t="n">
        <f aca="false">400+150</f>
        <v>550</v>
      </c>
      <c r="G1557" s="90" t="n">
        <v>0.65</v>
      </c>
    </row>
    <row r="1558" customFormat="false" ht="17.6" hidden="false" customHeight="false" outlineLevel="0" collapsed="false">
      <c r="A1558" s="91" t="s">
        <v>1770</v>
      </c>
      <c r="B1558" s="90" t="s">
        <v>49</v>
      </c>
      <c r="C1558" s="90" t="n">
        <f aca="false">ROUND(E1558*G1558+F1558,0)</f>
        <v>12640</v>
      </c>
      <c r="D1558" s="90" t="s">
        <v>163</v>
      </c>
      <c r="E1558" s="90" t="n">
        <v>18600</v>
      </c>
      <c r="F1558" s="90" t="n">
        <f aca="false">400+150</f>
        <v>550</v>
      </c>
      <c r="G1558" s="90" t="n">
        <v>0.65</v>
      </c>
    </row>
    <row r="1559" customFormat="false" ht="17.6" hidden="false" customHeight="false" outlineLevel="0" collapsed="false">
      <c r="A1559" s="91" t="s">
        <v>1771</v>
      </c>
      <c r="B1559" s="90" t="s">
        <v>49</v>
      </c>
      <c r="C1559" s="90" t="n">
        <f aca="false">ROUND(E1559*G1559+F1559,0)</f>
        <v>18880</v>
      </c>
      <c r="D1559" s="90" t="s">
        <v>163</v>
      </c>
      <c r="E1559" s="90" t="n">
        <v>28200</v>
      </c>
      <c r="F1559" s="90" t="n">
        <f aca="false">400+150</f>
        <v>550</v>
      </c>
      <c r="G1559" s="90" t="n">
        <v>0.65</v>
      </c>
    </row>
    <row r="1560" customFormat="false" ht="17.6" hidden="false" customHeight="false" outlineLevel="0" collapsed="false">
      <c r="A1560" s="91" t="s">
        <v>1772</v>
      </c>
      <c r="B1560" s="90" t="s">
        <v>49</v>
      </c>
      <c r="C1560" s="90" t="n">
        <f aca="false">ROUND(E1560*G1560+F1560,0)</f>
        <v>16280</v>
      </c>
      <c r="D1560" s="90" t="s">
        <v>163</v>
      </c>
      <c r="E1560" s="90" t="n">
        <v>24200</v>
      </c>
      <c r="F1560" s="90" t="n">
        <f aca="false">400+150</f>
        <v>550</v>
      </c>
      <c r="G1560" s="90" t="n">
        <v>0.65</v>
      </c>
    </row>
    <row r="1561" customFormat="false" ht="17.6" hidden="false" customHeight="false" outlineLevel="0" collapsed="false">
      <c r="A1561" s="91" t="s">
        <v>1773</v>
      </c>
      <c r="B1561" s="90" t="s">
        <v>49</v>
      </c>
      <c r="C1561" s="90" t="n">
        <f aca="false">13700*0.65+150</f>
        <v>9055</v>
      </c>
      <c r="D1561" s="90" t="s">
        <v>163</v>
      </c>
    </row>
    <row r="1562" customFormat="false" ht="17.6" hidden="false" customHeight="false" outlineLevel="0" collapsed="false">
      <c r="A1562" s="91" t="s">
        <v>1774</v>
      </c>
      <c r="B1562" s="90" t="s">
        <v>49</v>
      </c>
      <c r="C1562" s="90" t="n">
        <f aca="false">ROUND(E1562*G1562+F1562,0)</f>
        <v>9455</v>
      </c>
      <c r="D1562" s="90" t="s">
        <v>163</v>
      </c>
      <c r="E1562" s="90" t="n">
        <v>13700</v>
      </c>
      <c r="F1562" s="90" t="n">
        <f aca="false">400+150</f>
        <v>550</v>
      </c>
      <c r="G1562" s="90" t="n">
        <v>0.65</v>
      </c>
    </row>
    <row r="1563" customFormat="false" ht="17.6" hidden="false" customHeight="false" outlineLevel="0" collapsed="false">
      <c r="A1563" s="91" t="s">
        <v>1775</v>
      </c>
      <c r="B1563" s="90" t="s">
        <v>49</v>
      </c>
      <c r="C1563" s="90" t="n">
        <f aca="false">ROUND(E1563*G1563+F1563,0)</f>
        <v>7440</v>
      </c>
      <c r="D1563" s="90" t="s">
        <v>163</v>
      </c>
      <c r="E1563" s="90" t="n">
        <v>10600</v>
      </c>
      <c r="F1563" s="90" t="n">
        <f aca="false">400+150</f>
        <v>550</v>
      </c>
      <c r="G1563" s="90" t="n">
        <v>0.65</v>
      </c>
    </row>
    <row r="1564" customFormat="false" ht="17.6" hidden="false" customHeight="false" outlineLevel="0" collapsed="false">
      <c r="A1564" s="91" t="s">
        <v>1776</v>
      </c>
      <c r="B1564" s="90" t="s">
        <v>49</v>
      </c>
      <c r="C1564" s="90" t="n">
        <f aca="false">ROUND(E1564*G1564+F1564,0)</f>
        <v>12120</v>
      </c>
      <c r="D1564" s="90" t="s">
        <v>163</v>
      </c>
      <c r="E1564" s="90" t="n">
        <v>17800</v>
      </c>
      <c r="F1564" s="90" t="n">
        <f aca="false">400+150</f>
        <v>550</v>
      </c>
      <c r="G1564" s="90" t="n">
        <v>0.65</v>
      </c>
    </row>
    <row r="1565" customFormat="false" ht="17.6" hidden="false" customHeight="false" outlineLevel="0" collapsed="false">
      <c r="A1565" s="91" t="s">
        <v>1777</v>
      </c>
      <c r="B1565" s="90" t="s">
        <v>49</v>
      </c>
      <c r="C1565" s="90" t="n">
        <f aca="false">ROUND(E1565*G1565+F1565,0)</f>
        <v>9520</v>
      </c>
      <c r="D1565" s="90" t="s">
        <v>163</v>
      </c>
      <c r="E1565" s="90" t="n">
        <v>13800</v>
      </c>
      <c r="F1565" s="90" t="n">
        <f aca="false">400+150</f>
        <v>550</v>
      </c>
      <c r="G1565" s="90" t="n">
        <v>0.65</v>
      </c>
    </row>
    <row r="1566" customFormat="false" ht="17.6" hidden="false" customHeight="false" outlineLevel="0" collapsed="false">
      <c r="A1566" s="91" t="s">
        <v>1778</v>
      </c>
      <c r="B1566" s="90" t="s">
        <v>49</v>
      </c>
      <c r="C1566" s="90" t="n">
        <f aca="false">14700*0.65+150</f>
        <v>9705</v>
      </c>
      <c r="D1566" s="90" t="s">
        <v>163</v>
      </c>
    </row>
    <row r="1567" customFormat="false" ht="17.6" hidden="false" customHeight="false" outlineLevel="0" collapsed="false">
      <c r="A1567" s="91" t="s">
        <v>1779</v>
      </c>
      <c r="B1567" s="90" t="s">
        <v>49</v>
      </c>
      <c r="C1567" s="90" t="n">
        <f aca="false">ROUND(E1567*G1567+F1567,0)</f>
        <v>10105</v>
      </c>
      <c r="D1567" s="90" t="s">
        <v>163</v>
      </c>
      <c r="E1567" s="90" t="n">
        <v>14700</v>
      </c>
      <c r="F1567" s="90" t="n">
        <f aca="false">400+150</f>
        <v>550</v>
      </c>
      <c r="G1567" s="90" t="n">
        <v>0.65</v>
      </c>
    </row>
    <row r="1568" customFormat="false" ht="17.6" hidden="false" customHeight="false" outlineLevel="0" collapsed="false">
      <c r="A1568" s="91" t="s">
        <v>1780</v>
      </c>
      <c r="B1568" s="90" t="s">
        <v>49</v>
      </c>
      <c r="C1568" s="90" t="n">
        <f aca="false">11600*0.65+150+200</f>
        <v>7890</v>
      </c>
      <c r="D1568" s="90" t="s">
        <v>163</v>
      </c>
    </row>
    <row r="1569" customFormat="false" ht="17.6" hidden="false" customHeight="false" outlineLevel="0" collapsed="false">
      <c r="A1569" s="91" t="s">
        <v>1781</v>
      </c>
      <c r="B1569" s="90" t="s">
        <v>49</v>
      </c>
      <c r="C1569" s="90" t="n">
        <f aca="false">11600*0.65+400+150+200</f>
        <v>8290</v>
      </c>
      <c r="D1569" s="90" t="s">
        <v>163</v>
      </c>
    </row>
    <row r="1570" customFormat="false" ht="17.6" hidden="false" customHeight="false" outlineLevel="0" collapsed="false">
      <c r="A1570" s="91" t="s">
        <v>1782</v>
      </c>
      <c r="B1570" s="90" t="s">
        <v>49</v>
      </c>
      <c r="C1570" s="90" t="n">
        <f aca="false">ROUND(E1570*G1570+F1570,0)</f>
        <v>8090</v>
      </c>
      <c r="D1570" s="90" t="s">
        <v>163</v>
      </c>
      <c r="E1570" s="90" t="n">
        <v>11600</v>
      </c>
      <c r="F1570" s="90" t="n">
        <f aca="false">400+150</f>
        <v>550</v>
      </c>
      <c r="G1570" s="90" t="n">
        <v>0.65</v>
      </c>
    </row>
    <row r="1571" customFormat="false" ht="17.6" hidden="false" customHeight="false" outlineLevel="0" collapsed="false">
      <c r="A1571" s="91" t="s">
        <v>1783</v>
      </c>
      <c r="B1571" s="90" t="s">
        <v>49</v>
      </c>
      <c r="C1571" s="90" t="n">
        <f aca="false">19100*0.65</f>
        <v>12415</v>
      </c>
      <c r="D1571" s="90" t="s">
        <v>163</v>
      </c>
    </row>
    <row r="1572" customFormat="false" ht="17.6" hidden="false" customHeight="false" outlineLevel="0" collapsed="false">
      <c r="A1572" s="91" t="s">
        <v>1784</v>
      </c>
      <c r="B1572" s="90" t="s">
        <v>49</v>
      </c>
      <c r="C1572" s="90" t="n">
        <f aca="false">ROUND(E1572*G1572+F1572,0)</f>
        <v>12965</v>
      </c>
      <c r="D1572" s="90" t="s">
        <v>163</v>
      </c>
      <c r="E1572" s="90" t="n">
        <v>19100</v>
      </c>
      <c r="F1572" s="90" t="n">
        <f aca="false">400+150</f>
        <v>550</v>
      </c>
      <c r="G1572" s="90" t="n">
        <v>0.65</v>
      </c>
    </row>
    <row r="1573" customFormat="false" ht="17.6" hidden="false" customHeight="false" outlineLevel="0" collapsed="false">
      <c r="A1573" s="91" t="s">
        <v>1785</v>
      </c>
      <c r="B1573" s="90" t="s">
        <v>49</v>
      </c>
      <c r="C1573" s="90" t="n">
        <f aca="false">ROUND(E1573*G1573+F1573,0)</f>
        <v>10365</v>
      </c>
      <c r="D1573" s="90" t="s">
        <v>163</v>
      </c>
      <c r="E1573" s="90" t="n">
        <v>15100</v>
      </c>
      <c r="F1573" s="90" t="n">
        <f aca="false">400+150</f>
        <v>550</v>
      </c>
      <c r="G1573" s="90" t="n">
        <v>0.65</v>
      </c>
    </row>
    <row r="1574" customFormat="false" ht="17.6" hidden="false" customHeight="false" outlineLevel="0" collapsed="false">
      <c r="A1574" s="91" t="s">
        <v>1786</v>
      </c>
      <c r="B1574" s="90" t="s">
        <v>49</v>
      </c>
      <c r="C1574" s="90" t="n">
        <f aca="false">ROUND(E1574*G1574+F1574,0)</f>
        <v>16605</v>
      </c>
      <c r="D1574" s="90" t="s">
        <v>163</v>
      </c>
      <c r="E1574" s="90" t="n">
        <v>24700</v>
      </c>
      <c r="F1574" s="90" t="n">
        <f aca="false">400+150</f>
        <v>550</v>
      </c>
      <c r="G1574" s="90" t="n">
        <v>0.65</v>
      </c>
    </row>
    <row r="1575" customFormat="false" ht="17.6" hidden="false" customHeight="false" outlineLevel="0" collapsed="false">
      <c r="A1575" s="91" t="s">
        <v>1787</v>
      </c>
      <c r="B1575" s="90" t="s">
        <v>49</v>
      </c>
      <c r="C1575" s="90" t="n">
        <f aca="false">ROUND(E1575*G1575+F1575,0)</f>
        <v>14590</v>
      </c>
      <c r="D1575" s="90" t="s">
        <v>163</v>
      </c>
      <c r="E1575" s="90" t="n">
        <v>21600</v>
      </c>
      <c r="F1575" s="90" t="n">
        <f aca="false">400+150</f>
        <v>550</v>
      </c>
      <c r="G1575" s="90" t="n">
        <v>0.65</v>
      </c>
    </row>
    <row r="1576" customFormat="false" ht="17.6" hidden="false" customHeight="false" outlineLevel="0" collapsed="false">
      <c r="A1576" s="91" t="s">
        <v>1788</v>
      </c>
      <c r="B1576" s="90" t="s">
        <v>49</v>
      </c>
      <c r="C1576" s="90" t="n">
        <f aca="false">ROUND(E1576*G1576+F1576,0)</f>
        <v>21415</v>
      </c>
      <c r="D1576" s="90" t="s">
        <v>163</v>
      </c>
      <c r="E1576" s="90" t="n">
        <v>32100</v>
      </c>
      <c r="F1576" s="90" t="n">
        <f aca="false">400+150</f>
        <v>550</v>
      </c>
      <c r="G1576" s="90" t="n">
        <v>0.65</v>
      </c>
    </row>
    <row r="1577" customFormat="false" ht="17.6" hidden="false" customHeight="false" outlineLevel="0" collapsed="false">
      <c r="A1577" s="91" t="s">
        <v>1789</v>
      </c>
      <c r="B1577" s="90" t="s">
        <v>49</v>
      </c>
      <c r="C1577" s="90" t="n">
        <f aca="false">ROUND(E1577*G1577+F1577,0)</f>
        <v>18815</v>
      </c>
      <c r="D1577" s="90" t="s">
        <v>163</v>
      </c>
      <c r="E1577" s="90" t="n">
        <v>28100</v>
      </c>
      <c r="F1577" s="90" t="n">
        <f aca="false">400+150</f>
        <v>550</v>
      </c>
      <c r="G1577" s="90" t="n">
        <v>0.65</v>
      </c>
    </row>
    <row r="1578" customFormat="false" ht="17.6" hidden="false" customHeight="false" outlineLevel="0" collapsed="false">
      <c r="A1578" s="91" t="s">
        <v>1790</v>
      </c>
      <c r="B1578" s="90" t="s">
        <v>49</v>
      </c>
      <c r="C1578" s="90" t="n">
        <f aca="false">26700*0.65+400+150</f>
        <v>17905</v>
      </c>
      <c r="D1578" s="90" t="s">
        <v>163</v>
      </c>
    </row>
    <row r="1579" customFormat="false" ht="17.6" hidden="false" customHeight="false" outlineLevel="0" collapsed="false">
      <c r="A1579" s="91" t="s">
        <v>1791</v>
      </c>
      <c r="B1579" s="90" t="s">
        <v>49</v>
      </c>
      <c r="C1579" s="90" t="n">
        <f aca="false">ROUND(E1579*G1579+F1579,0)</f>
        <v>17905</v>
      </c>
      <c r="D1579" s="90" t="s">
        <v>163</v>
      </c>
      <c r="E1579" s="90" t="n">
        <v>26700</v>
      </c>
      <c r="F1579" s="90" t="n">
        <f aca="false">400+150</f>
        <v>550</v>
      </c>
      <c r="G1579" s="90" t="n">
        <v>0.65</v>
      </c>
    </row>
    <row r="1580" customFormat="false" ht="17.6" hidden="false" customHeight="false" outlineLevel="0" collapsed="false">
      <c r="A1580" s="91" t="s">
        <v>1792</v>
      </c>
      <c r="B1580" s="90" t="s">
        <v>49</v>
      </c>
      <c r="C1580" s="90" t="n">
        <f aca="false">ROUND(E1580*G1580+F1580,0)</f>
        <v>15240</v>
      </c>
      <c r="D1580" s="90" t="s">
        <v>163</v>
      </c>
      <c r="E1580" s="90" t="n">
        <v>22600</v>
      </c>
      <c r="F1580" s="90" t="n">
        <f aca="false">400+150</f>
        <v>550</v>
      </c>
      <c r="G1580" s="90" t="n">
        <v>0.65</v>
      </c>
    </row>
    <row r="1581" customFormat="false" ht="17.6" hidden="false" customHeight="false" outlineLevel="0" collapsed="false">
      <c r="A1581" s="91"/>
    </row>
    <row r="1582" customFormat="false" ht="17.6" hidden="false" customHeight="false" outlineLevel="0" collapsed="false">
      <c r="A1582" s="91" t="s">
        <v>1793</v>
      </c>
      <c r="B1582" s="90" t="s">
        <v>49</v>
      </c>
      <c r="C1582" s="90" t="n">
        <f aca="false">ROUND(E1582*G1582+F1582,0)</f>
        <v>19660</v>
      </c>
      <c r="D1582" s="90" t="s">
        <v>163</v>
      </c>
      <c r="E1582" s="90" t="n">
        <v>29400</v>
      </c>
      <c r="F1582" s="90" t="n">
        <f aca="false">400+150</f>
        <v>550</v>
      </c>
      <c r="G1582" s="90" t="n">
        <v>0.65</v>
      </c>
    </row>
    <row r="1583" customFormat="false" ht="17.6" hidden="false" customHeight="false" outlineLevel="0" collapsed="false">
      <c r="A1583" s="91" t="s">
        <v>1794</v>
      </c>
      <c r="B1583" s="90" t="s">
        <v>49</v>
      </c>
      <c r="C1583" s="90" t="n">
        <f aca="false">ROUND(E1583*G1583+F1583,0)</f>
        <v>19205</v>
      </c>
      <c r="D1583" s="90" t="s">
        <v>163</v>
      </c>
      <c r="E1583" s="90" t="n">
        <v>28700</v>
      </c>
      <c r="F1583" s="90" t="n">
        <f aca="false">400+150</f>
        <v>550</v>
      </c>
      <c r="G1583" s="90" t="n">
        <v>0.65</v>
      </c>
    </row>
    <row r="1584" customFormat="false" ht="17.6" hidden="false" customHeight="false" outlineLevel="0" collapsed="false">
      <c r="A1584" s="91" t="s">
        <v>1795</v>
      </c>
      <c r="B1584" s="90" t="s">
        <v>49</v>
      </c>
      <c r="C1584" s="90" t="n">
        <f aca="false">ROUND(E1584*G1584+F1584,0)</f>
        <v>16540</v>
      </c>
      <c r="D1584" s="90" t="s">
        <v>163</v>
      </c>
      <c r="E1584" s="90" t="n">
        <v>24600</v>
      </c>
      <c r="F1584" s="90" t="n">
        <f aca="false">400+150</f>
        <v>550</v>
      </c>
      <c r="G1584" s="90" t="n">
        <v>0.65</v>
      </c>
    </row>
    <row r="1585" customFormat="false" ht="17.6" hidden="false" customHeight="false" outlineLevel="0" collapsed="false">
      <c r="A1585" s="91" t="s">
        <v>1796</v>
      </c>
      <c r="B1585" s="90" t="s">
        <v>49</v>
      </c>
      <c r="C1585" s="90" t="n">
        <f aca="false">ROUND(E1585*G1585+F1585,0)</f>
        <v>24795</v>
      </c>
      <c r="D1585" s="90" t="s">
        <v>163</v>
      </c>
      <c r="E1585" s="90" t="n">
        <v>37300</v>
      </c>
      <c r="F1585" s="90" t="n">
        <f aca="false">400+150</f>
        <v>550</v>
      </c>
      <c r="G1585" s="90" t="n">
        <v>0.65</v>
      </c>
    </row>
    <row r="1586" customFormat="false" ht="17.6" hidden="false" customHeight="false" outlineLevel="0" collapsed="false">
      <c r="A1586" s="91" t="s">
        <v>1797</v>
      </c>
      <c r="B1586" s="90" t="s">
        <v>49</v>
      </c>
      <c r="C1586" s="90" t="n">
        <f aca="false">ROUND(E1586*G1586+F1586,0)</f>
        <v>21350</v>
      </c>
      <c r="D1586" s="90" t="s">
        <v>163</v>
      </c>
      <c r="E1586" s="90" t="n">
        <v>32000</v>
      </c>
      <c r="F1586" s="90" t="n">
        <f aca="false">400+150</f>
        <v>550</v>
      </c>
      <c r="G1586" s="90" t="n">
        <v>0.65</v>
      </c>
    </row>
    <row r="1587" customFormat="false" ht="17.6" hidden="false" customHeight="false" outlineLevel="0" collapsed="false">
      <c r="A1587" s="91" t="s">
        <v>1798</v>
      </c>
      <c r="B1587" s="90" t="s">
        <v>49</v>
      </c>
      <c r="C1587" s="90" t="n">
        <f aca="false">31700*0.65+400+150</f>
        <v>21155</v>
      </c>
      <c r="D1587" s="90" t="s">
        <v>163</v>
      </c>
    </row>
    <row r="1588" customFormat="false" ht="17.6" hidden="false" customHeight="false" outlineLevel="0" collapsed="false">
      <c r="A1588" s="91" t="s">
        <v>1799</v>
      </c>
      <c r="B1588" s="90" t="s">
        <v>49</v>
      </c>
      <c r="C1588" s="90" t="n">
        <f aca="false">ROUND(E1588*G1588+F1588,0)</f>
        <v>21155</v>
      </c>
      <c r="D1588" s="90" t="s">
        <v>163</v>
      </c>
      <c r="E1588" s="90" t="n">
        <v>31700</v>
      </c>
      <c r="F1588" s="90" t="n">
        <f aca="false">400+150</f>
        <v>550</v>
      </c>
      <c r="G1588" s="90" t="n">
        <v>0.65</v>
      </c>
    </row>
    <row r="1589" customFormat="false" ht="17.6" hidden="false" customHeight="false" outlineLevel="0" collapsed="false">
      <c r="A1589" s="91" t="s">
        <v>1800</v>
      </c>
      <c r="B1589" s="90" t="s">
        <v>49</v>
      </c>
      <c r="C1589" s="90" t="n">
        <f aca="false">ROUND(E1589*G1589+F1589,0)</f>
        <v>18490</v>
      </c>
      <c r="D1589" s="90" t="s">
        <v>163</v>
      </c>
      <c r="E1589" s="90" t="n">
        <v>27600</v>
      </c>
      <c r="F1589" s="90" t="n">
        <f aca="false">400+150</f>
        <v>550</v>
      </c>
      <c r="G1589" s="90" t="n">
        <v>0.65</v>
      </c>
    </row>
    <row r="1590" customFormat="false" ht="17.6" hidden="false" customHeight="false" outlineLevel="0" collapsed="false">
      <c r="A1590" s="91" t="s">
        <v>1801</v>
      </c>
      <c r="B1590" s="90" t="s">
        <v>49</v>
      </c>
      <c r="C1590" s="90" t="n">
        <f aca="false">41200*0.65+400+150</f>
        <v>27330</v>
      </c>
      <c r="D1590" s="90" t="s">
        <v>163</v>
      </c>
    </row>
    <row r="1591" customFormat="false" ht="17.6" hidden="false" customHeight="false" outlineLevel="0" collapsed="false">
      <c r="A1591" s="91" t="s">
        <v>1802</v>
      </c>
      <c r="B1591" s="90" t="s">
        <v>49</v>
      </c>
      <c r="C1591" s="90" t="n">
        <f aca="false">ROUND(E1591*G1591+F1591,0)</f>
        <v>27330</v>
      </c>
      <c r="D1591" s="90" t="s">
        <v>163</v>
      </c>
      <c r="E1591" s="90" t="n">
        <v>41200</v>
      </c>
      <c r="F1591" s="90" t="n">
        <f aca="false">400+150</f>
        <v>550</v>
      </c>
      <c r="G1591" s="90" t="n">
        <v>0.65</v>
      </c>
    </row>
    <row r="1592" customFormat="false" ht="17.6" hidden="false" customHeight="false" outlineLevel="0" collapsed="false">
      <c r="A1592" s="91" t="s">
        <v>1803</v>
      </c>
      <c r="B1592" s="90" t="s">
        <v>49</v>
      </c>
      <c r="C1592" s="90" t="n">
        <f aca="false">ROUND(E1592*G1592+F1592,0)</f>
        <v>23885</v>
      </c>
      <c r="D1592" s="90" t="s">
        <v>163</v>
      </c>
      <c r="E1592" s="90" t="n">
        <v>35900</v>
      </c>
      <c r="F1592" s="90" t="n">
        <f aca="false">400+150</f>
        <v>550</v>
      </c>
      <c r="G1592" s="90" t="n">
        <v>0.65</v>
      </c>
    </row>
    <row r="1593" customFormat="false" ht="17.6" hidden="false" customHeight="false" outlineLevel="0" collapsed="false">
      <c r="A1593" s="91" t="s">
        <v>1804</v>
      </c>
      <c r="B1593" s="90" t="s">
        <v>49</v>
      </c>
      <c r="C1593" s="90" t="n">
        <f aca="false">44700*0.65+400+150</f>
        <v>29605</v>
      </c>
      <c r="D1593" s="90" t="s">
        <v>163</v>
      </c>
    </row>
    <row r="1594" customFormat="false" ht="17.6" hidden="false" customHeight="false" outlineLevel="0" collapsed="false">
      <c r="A1594" s="91" t="s">
        <v>1805</v>
      </c>
      <c r="B1594" s="90" t="s">
        <v>49</v>
      </c>
      <c r="C1594" s="90" t="n">
        <f aca="false">ROUND(E1594*G1594+F1594,0)</f>
        <v>29605</v>
      </c>
      <c r="D1594" s="90" t="s">
        <v>163</v>
      </c>
      <c r="E1594" s="90" t="n">
        <v>44700</v>
      </c>
      <c r="F1594" s="90" t="n">
        <f aca="false">400+150</f>
        <v>550</v>
      </c>
      <c r="G1594" s="90" t="n">
        <v>0.65</v>
      </c>
    </row>
    <row r="1595" customFormat="false" ht="17.6" hidden="false" customHeight="false" outlineLevel="0" collapsed="false">
      <c r="A1595" s="91" t="s">
        <v>1806</v>
      </c>
      <c r="B1595" s="90" t="s">
        <v>49</v>
      </c>
      <c r="C1595" s="90" t="n">
        <f aca="false">ROUND(E1595*G1595+F1595,0)</f>
        <v>47805</v>
      </c>
      <c r="D1595" s="90" t="s">
        <v>163</v>
      </c>
      <c r="E1595" s="90" t="n">
        <v>72700</v>
      </c>
      <c r="F1595" s="90" t="n">
        <f aca="false">400+150</f>
        <v>550</v>
      </c>
      <c r="G1595" s="90" t="n">
        <v>0.65</v>
      </c>
    </row>
    <row r="1596" customFormat="false" ht="17.6" hidden="false" customHeight="false" outlineLevel="0" collapsed="false">
      <c r="A1596" s="91" t="s">
        <v>1807</v>
      </c>
      <c r="B1596" s="90" t="s">
        <v>49</v>
      </c>
      <c r="C1596" s="90" t="n">
        <f aca="false">ROUND(E1596*G1596+F1596,0)</f>
        <v>61975</v>
      </c>
      <c r="D1596" s="90" t="s">
        <v>163</v>
      </c>
      <c r="E1596" s="90" t="n">
        <v>94500</v>
      </c>
      <c r="F1596" s="90" t="n">
        <f aca="false">400+150</f>
        <v>550</v>
      </c>
      <c r="G1596" s="90" t="n">
        <v>0.65</v>
      </c>
    </row>
    <row r="1597" customFormat="false" ht="17.6" hidden="false" customHeight="false" outlineLevel="0" collapsed="false">
      <c r="A1597" s="91" t="s">
        <v>1808</v>
      </c>
      <c r="B1597" s="90" t="s">
        <v>49</v>
      </c>
      <c r="C1597" s="90" t="n">
        <f aca="false">ROUND(E1597*G1597+F1597,0)</f>
        <v>53005</v>
      </c>
      <c r="D1597" s="90" t="s">
        <v>163</v>
      </c>
      <c r="E1597" s="90" t="n">
        <v>80700</v>
      </c>
      <c r="F1597" s="90" t="n">
        <f aca="false">400+150</f>
        <v>550</v>
      </c>
      <c r="G1597" s="90" t="n">
        <v>0.65</v>
      </c>
    </row>
    <row r="1598" customFormat="false" ht="17.6" hidden="false" customHeight="false" outlineLevel="0" collapsed="false">
      <c r="A1598" s="91" t="s">
        <v>1809</v>
      </c>
      <c r="B1598" s="90" t="s">
        <v>49</v>
      </c>
      <c r="C1598" s="90" t="n">
        <f aca="false">ROUND(E1598*G1598+F1598,0)</f>
        <v>68735</v>
      </c>
      <c r="D1598" s="90" t="s">
        <v>163</v>
      </c>
      <c r="E1598" s="90" t="n">
        <v>104900</v>
      </c>
      <c r="F1598" s="90" t="n">
        <f aca="false">400+150</f>
        <v>550</v>
      </c>
      <c r="G1598" s="90" t="n">
        <v>0.65</v>
      </c>
    </row>
    <row r="1599" customFormat="false" ht="17.6" hidden="false" customHeight="false" outlineLevel="0" collapsed="false">
      <c r="A1599" s="91" t="s">
        <v>1810</v>
      </c>
      <c r="B1599" s="90" t="s">
        <v>49</v>
      </c>
      <c r="C1599" s="90" t="n">
        <f aca="false">ROUND(E1599*G1599+F1599,0)</f>
        <v>77055</v>
      </c>
      <c r="D1599" s="90" t="s">
        <v>163</v>
      </c>
      <c r="E1599" s="90" t="n">
        <v>117700</v>
      </c>
      <c r="F1599" s="90" t="n">
        <f aca="false">400+150</f>
        <v>550</v>
      </c>
      <c r="G1599" s="90" t="n">
        <v>0.65</v>
      </c>
    </row>
    <row r="1600" customFormat="false" ht="17.6" hidden="false" customHeight="false" outlineLevel="0" collapsed="false">
      <c r="A1600" s="91" t="s">
        <v>1811</v>
      </c>
      <c r="B1600" s="90" t="s">
        <v>49</v>
      </c>
      <c r="C1600" s="90" t="n">
        <f aca="false">ROUND(E1600*G1600+F1600,0)</f>
        <v>100000</v>
      </c>
      <c r="D1600" s="90" t="s">
        <v>163</v>
      </c>
      <c r="E1600" s="90" t="n">
        <v>153000</v>
      </c>
      <c r="F1600" s="90" t="n">
        <f aca="false">400+150</f>
        <v>550</v>
      </c>
      <c r="G1600" s="90" t="n">
        <v>0.65</v>
      </c>
    </row>
    <row r="1601" customFormat="false" ht="17.6" hidden="false" customHeight="false" outlineLevel="0" collapsed="false">
      <c r="A1601" s="91" t="s">
        <v>1812</v>
      </c>
      <c r="B1601" s="90" t="s">
        <v>49</v>
      </c>
      <c r="C1601" s="90" t="n">
        <f aca="false">12000*0.7+700+400+150</f>
        <v>9650</v>
      </c>
      <c r="D1601" s="90" t="s">
        <v>163</v>
      </c>
    </row>
    <row r="1602" customFormat="false" ht="17.6" hidden="false" customHeight="false" outlineLevel="0" collapsed="false">
      <c r="A1602" s="91" t="s">
        <v>1813</v>
      </c>
      <c r="B1602" s="90" t="s">
        <v>49</v>
      </c>
      <c r="C1602" s="90" t="n">
        <f aca="false">9500*0.7+700+400+150</f>
        <v>7900</v>
      </c>
      <c r="D1602" s="90" t="s">
        <v>163</v>
      </c>
    </row>
    <row r="1603" customFormat="false" ht="17.6" hidden="false" customHeight="false" outlineLevel="0" collapsed="false">
      <c r="A1603" s="91" t="s">
        <v>1814</v>
      </c>
      <c r="B1603" s="90" t="s">
        <v>49</v>
      </c>
      <c r="C1603" s="90" t="n">
        <f aca="false">ROUND(E1603*G1603+F1603,0)</f>
        <v>11540</v>
      </c>
      <c r="D1603" s="90" t="s">
        <v>163</v>
      </c>
      <c r="E1603" s="90" t="n">
        <v>14700</v>
      </c>
      <c r="F1603" s="90" t="n">
        <f aca="false">700+400+150</f>
        <v>1250</v>
      </c>
      <c r="G1603" s="90" t="n">
        <v>0.7</v>
      </c>
    </row>
    <row r="1604" customFormat="false" ht="17.6" hidden="false" customHeight="false" outlineLevel="0" collapsed="false">
      <c r="A1604" s="91" t="s">
        <v>1815</v>
      </c>
      <c r="B1604" s="90" t="s">
        <v>49</v>
      </c>
      <c r="C1604" s="90" t="n">
        <f aca="false">ROUND(E1604*G1604+F1604,0)</f>
        <v>8950</v>
      </c>
      <c r="D1604" s="90" t="s">
        <v>163</v>
      </c>
      <c r="E1604" s="90" t="n">
        <v>11000</v>
      </c>
      <c r="F1604" s="90" t="n">
        <f aca="false">700+400+150</f>
        <v>1250</v>
      </c>
      <c r="G1604" s="90" t="n">
        <v>0.7</v>
      </c>
    </row>
    <row r="1605" customFormat="false" ht="17.6" hidden="false" customHeight="false" outlineLevel="0" collapsed="false">
      <c r="A1605" s="91" t="s">
        <v>1816</v>
      </c>
      <c r="B1605" s="90" t="s">
        <v>49</v>
      </c>
      <c r="C1605" s="90" t="n">
        <f aca="false">ROUND(E1605*G1605+F1605,0)</f>
        <v>13360</v>
      </c>
      <c r="D1605" s="90" t="s">
        <v>163</v>
      </c>
      <c r="E1605" s="90" t="n">
        <v>17300</v>
      </c>
      <c r="F1605" s="90" t="n">
        <f aca="false">700+400+150</f>
        <v>1250</v>
      </c>
      <c r="G1605" s="90" t="n">
        <v>0.7</v>
      </c>
    </row>
    <row r="1606" customFormat="false" ht="17.6" hidden="false" customHeight="false" outlineLevel="0" collapsed="false">
      <c r="A1606" s="91" t="s">
        <v>1817</v>
      </c>
      <c r="B1606" s="90" t="s">
        <v>49</v>
      </c>
      <c r="C1606" s="90" t="n">
        <f aca="false">ROUND(E1606*G1606+F1606,0)</f>
        <v>10350</v>
      </c>
      <c r="D1606" s="90" t="s">
        <v>163</v>
      </c>
      <c r="E1606" s="90" t="n">
        <v>13000</v>
      </c>
      <c r="F1606" s="90" t="n">
        <f aca="false">700+400+150</f>
        <v>1250</v>
      </c>
      <c r="G1606" s="90" t="n">
        <v>0.7</v>
      </c>
    </row>
    <row r="1607" customFormat="false" ht="17.6" hidden="false" customHeight="false" outlineLevel="0" collapsed="false">
      <c r="A1607" s="91" t="s">
        <v>1818</v>
      </c>
      <c r="B1607" s="90" t="s">
        <v>49</v>
      </c>
      <c r="C1607" s="90" t="n">
        <f aca="false">ROUND(E1607*G1607+F1607,0)</f>
        <v>12030</v>
      </c>
      <c r="D1607" s="90" t="s">
        <v>163</v>
      </c>
      <c r="E1607" s="90" t="n">
        <v>15400</v>
      </c>
      <c r="F1607" s="90" t="n">
        <f aca="false">700+400+150</f>
        <v>1250</v>
      </c>
      <c r="G1607" s="90" t="n">
        <v>0.7</v>
      </c>
    </row>
    <row r="1608" customFormat="false" ht="17.6" hidden="false" customHeight="false" outlineLevel="0" collapsed="false">
      <c r="A1608" s="91" t="s">
        <v>1819</v>
      </c>
      <c r="B1608" s="90" t="s">
        <v>49</v>
      </c>
      <c r="C1608" s="90" t="n">
        <f aca="false">13500*0.7+400+80</f>
        <v>9930</v>
      </c>
      <c r="D1608" s="90" t="s">
        <v>163</v>
      </c>
    </row>
    <row r="1609" customFormat="false" ht="17.6" hidden="false" customHeight="false" outlineLevel="0" collapsed="false">
      <c r="A1609" s="91" t="s">
        <v>1820</v>
      </c>
      <c r="B1609" s="90" t="s">
        <v>49</v>
      </c>
      <c r="C1609" s="90" t="n">
        <f aca="false">ROUND(E1609*G1609+F1609,0)</f>
        <v>9300</v>
      </c>
      <c r="D1609" s="90" t="s">
        <v>163</v>
      </c>
      <c r="E1609" s="90" t="n">
        <v>11500</v>
      </c>
      <c r="F1609" s="90" t="n">
        <f aca="false">700+400+150</f>
        <v>1250</v>
      </c>
      <c r="G1609" s="90" t="n">
        <v>0.7</v>
      </c>
    </row>
    <row r="1610" customFormat="false" ht="17.6" hidden="false" customHeight="false" outlineLevel="0" collapsed="false">
      <c r="A1610" s="91" t="s">
        <v>1821</v>
      </c>
      <c r="B1610" s="90" t="s">
        <v>49</v>
      </c>
      <c r="C1610" s="90" t="n">
        <f aca="false">ROUND(E1610*G1610+F1610,0)</f>
        <v>13850</v>
      </c>
      <c r="D1610" s="90" t="s">
        <v>163</v>
      </c>
      <c r="E1610" s="90" t="n">
        <v>18000</v>
      </c>
      <c r="F1610" s="90" t="n">
        <f aca="false">700+400+150</f>
        <v>1250</v>
      </c>
      <c r="G1610" s="90" t="n">
        <v>0.7</v>
      </c>
    </row>
    <row r="1611" customFormat="false" ht="17.6" hidden="false" customHeight="false" outlineLevel="0" collapsed="false">
      <c r="A1611" s="91" t="s">
        <v>1822</v>
      </c>
      <c r="B1611" s="90" t="s">
        <v>49</v>
      </c>
      <c r="C1611" s="90" t="n">
        <f aca="false">ROUND(E1611*G1611+F1611,0)</f>
        <v>10700</v>
      </c>
      <c r="D1611" s="90" t="s">
        <v>163</v>
      </c>
      <c r="E1611" s="90" t="n">
        <v>13500</v>
      </c>
      <c r="F1611" s="90" t="n">
        <f aca="false">700+400+150</f>
        <v>1250</v>
      </c>
      <c r="G1611" s="90" t="n">
        <v>0.7</v>
      </c>
    </row>
    <row r="1612" customFormat="false" ht="17.6" hidden="false" customHeight="false" outlineLevel="0" collapsed="false">
      <c r="A1612" s="91" t="s">
        <v>1823</v>
      </c>
      <c r="B1612" s="90" t="s">
        <v>49</v>
      </c>
      <c r="C1612" s="90" t="n">
        <f aca="false">ROUND(E1612*G1612+F1612,0)</f>
        <v>13430</v>
      </c>
      <c r="D1612" s="90" t="s">
        <v>163</v>
      </c>
      <c r="E1612" s="90" t="n">
        <v>17400</v>
      </c>
      <c r="F1612" s="90" t="n">
        <f aca="false">700+400+150</f>
        <v>1250</v>
      </c>
      <c r="G1612" s="90" t="n">
        <v>0.7</v>
      </c>
    </row>
    <row r="1613" customFormat="false" ht="17.6" hidden="false" customHeight="false" outlineLevel="0" collapsed="false">
      <c r="A1613" s="91" t="s">
        <v>1824</v>
      </c>
      <c r="B1613" s="90" t="s">
        <v>49</v>
      </c>
      <c r="C1613" s="90" t="n">
        <f aca="false">ROUND(E1613*G1613+F1613,0)</f>
        <v>10350</v>
      </c>
      <c r="D1613" s="90" t="s">
        <v>163</v>
      </c>
      <c r="E1613" s="90" t="n">
        <v>13000</v>
      </c>
      <c r="F1613" s="90" t="n">
        <f aca="false">700+400+150</f>
        <v>1250</v>
      </c>
      <c r="G1613" s="90" t="n">
        <v>0.7</v>
      </c>
    </row>
    <row r="1614" customFormat="false" ht="17.6" hidden="false" customHeight="false" outlineLevel="0" collapsed="false">
      <c r="A1614" s="91" t="s">
        <v>1825</v>
      </c>
      <c r="B1614" s="90" t="s">
        <v>49</v>
      </c>
      <c r="C1614" s="90" t="n">
        <f aca="false">20000*0.7+700+400+60</f>
        <v>15160</v>
      </c>
      <c r="D1614" s="90" t="s">
        <v>163</v>
      </c>
    </row>
    <row r="1615" customFormat="false" ht="17.6" hidden="false" customHeight="false" outlineLevel="0" collapsed="false">
      <c r="A1615" s="91" t="s">
        <v>1826</v>
      </c>
      <c r="B1615" s="90" t="s">
        <v>49</v>
      </c>
      <c r="C1615" s="90" t="n">
        <f aca="false">ROUND(E1615*G1615+F1615,0)</f>
        <v>15250</v>
      </c>
      <c r="D1615" s="90" t="s">
        <v>163</v>
      </c>
      <c r="E1615" s="90" t="n">
        <v>20000</v>
      </c>
      <c r="F1615" s="90" t="n">
        <f aca="false">700+400+150</f>
        <v>1250</v>
      </c>
      <c r="G1615" s="90" t="n">
        <v>0.7</v>
      </c>
    </row>
    <row r="1616" customFormat="false" ht="17.6" hidden="false" customHeight="false" outlineLevel="0" collapsed="false">
      <c r="A1616" s="91" t="s">
        <v>1827</v>
      </c>
      <c r="B1616" s="90" t="s">
        <v>49</v>
      </c>
      <c r="C1616" s="90" t="n">
        <f aca="false">ROUND(E1616*G1616+F1616,0)</f>
        <v>11750</v>
      </c>
      <c r="D1616" s="90" t="s">
        <v>163</v>
      </c>
      <c r="E1616" s="90" t="n">
        <v>15000</v>
      </c>
      <c r="F1616" s="90" t="n">
        <f aca="false">700+400+150</f>
        <v>1250</v>
      </c>
      <c r="G1616" s="90" t="n">
        <v>0.7</v>
      </c>
    </row>
    <row r="1617" customFormat="false" ht="17.6" hidden="false" customHeight="false" outlineLevel="0" collapsed="false">
      <c r="A1617" s="91" t="s">
        <v>1828</v>
      </c>
      <c r="B1617" s="90" t="s">
        <v>49</v>
      </c>
      <c r="C1617" s="90" t="n">
        <f aca="false">15000*0.7+700+400+60</f>
        <v>11660</v>
      </c>
      <c r="D1617" s="90" t="s">
        <v>163</v>
      </c>
    </row>
    <row r="1618" customFormat="false" ht="17.6" hidden="false" customHeight="false" outlineLevel="0" collapsed="false">
      <c r="A1618" s="91" t="s">
        <v>1829</v>
      </c>
      <c r="B1618" s="90" t="s">
        <v>49</v>
      </c>
      <c r="C1618" s="90" t="n">
        <f aca="false">13000*0.7+700+400+60</f>
        <v>10260</v>
      </c>
      <c r="D1618" s="90" t="s">
        <v>163</v>
      </c>
    </row>
    <row r="1619" customFormat="false" ht="17.6" hidden="false" customHeight="false" outlineLevel="0" collapsed="false">
      <c r="A1619" s="91" t="s">
        <v>1830</v>
      </c>
      <c r="B1619" s="90" t="s">
        <v>49</v>
      </c>
      <c r="C1619" s="90" t="n">
        <f aca="false">ROUND(E1619*G1619+F1619,0)</f>
        <v>9650</v>
      </c>
      <c r="D1619" s="90" t="s">
        <v>163</v>
      </c>
      <c r="E1619" s="90" t="n">
        <v>12000</v>
      </c>
      <c r="F1619" s="90" t="n">
        <f aca="false">700+400+150</f>
        <v>1250</v>
      </c>
      <c r="G1619" s="90" t="n">
        <v>0.7</v>
      </c>
    </row>
    <row r="1620" customFormat="false" ht="17.6" hidden="false" customHeight="false" outlineLevel="0" collapsed="false">
      <c r="A1620" s="91" t="s">
        <v>1831</v>
      </c>
      <c r="B1620" s="90" t="s">
        <v>49</v>
      </c>
      <c r="C1620" s="90" t="n">
        <f aca="false">ROUND(E1620*G1620+F1620,0)</f>
        <v>7200</v>
      </c>
      <c r="D1620" s="90" t="s">
        <v>163</v>
      </c>
      <c r="E1620" s="90" t="n">
        <v>8500</v>
      </c>
      <c r="F1620" s="90" t="n">
        <f aca="false">700+400+150</f>
        <v>1250</v>
      </c>
      <c r="G1620" s="90" t="n">
        <v>0.7</v>
      </c>
    </row>
    <row r="1621" customFormat="false" ht="17.6" hidden="false" customHeight="false" outlineLevel="0" collapsed="false">
      <c r="A1621" s="91" t="s">
        <v>1832</v>
      </c>
      <c r="B1621" s="90" t="s">
        <v>49</v>
      </c>
      <c r="C1621" s="90" t="n">
        <f aca="false">ROUND(E1621*G1621+F1621,0)</f>
        <v>11470</v>
      </c>
      <c r="D1621" s="90" t="s">
        <v>163</v>
      </c>
      <c r="E1621" s="90" t="n">
        <v>14600</v>
      </c>
      <c r="F1621" s="90" t="n">
        <f aca="false">700+400+150</f>
        <v>1250</v>
      </c>
      <c r="G1621" s="90" t="n">
        <v>0.7</v>
      </c>
    </row>
    <row r="1622" customFormat="false" ht="17.6" hidden="false" customHeight="false" outlineLevel="0" collapsed="false">
      <c r="A1622" s="91" t="s">
        <v>1833</v>
      </c>
      <c r="B1622" s="90" t="s">
        <v>49</v>
      </c>
      <c r="C1622" s="90" t="n">
        <f aca="false">ROUND(E1622*G1622+F1622,0)</f>
        <v>8950</v>
      </c>
      <c r="D1622" s="90" t="s">
        <v>163</v>
      </c>
      <c r="E1622" s="90" t="n">
        <v>11000</v>
      </c>
      <c r="F1622" s="90" t="n">
        <f aca="false">700+400+150</f>
        <v>1250</v>
      </c>
      <c r="G1622" s="90" t="n">
        <v>0.7</v>
      </c>
    </row>
    <row r="1623" customFormat="false" ht="17.6" hidden="false" customHeight="false" outlineLevel="0" collapsed="false">
      <c r="A1623" s="91" t="s">
        <v>1834</v>
      </c>
      <c r="B1623" s="90" t="s">
        <v>49</v>
      </c>
      <c r="C1623" s="90" t="n">
        <f aca="false">ROUND(E1623*G1623+F1623,0)</f>
        <v>10140</v>
      </c>
      <c r="D1623" s="90" t="s">
        <v>163</v>
      </c>
      <c r="E1623" s="90" t="n">
        <v>12700</v>
      </c>
      <c r="F1623" s="90" t="n">
        <f aca="false">700+400+150</f>
        <v>1250</v>
      </c>
      <c r="G1623" s="90" t="n">
        <v>0.7</v>
      </c>
    </row>
    <row r="1624" customFormat="false" ht="17.6" hidden="false" customHeight="false" outlineLevel="0" collapsed="false">
      <c r="A1624" s="91" t="s">
        <v>1835</v>
      </c>
      <c r="B1624" s="90" t="s">
        <v>49</v>
      </c>
      <c r="C1624" s="90" t="n">
        <f aca="false">ROUND(E1624*G1624+F1624,0)</f>
        <v>7550</v>
      </c>
      <c r="D1624" s="90" t="s">
        <v>163</v>
      </c>
      <c r="E1624" s="90" t="n">
        <v>9000</v>
      </c>
      <c r="F1624" s="90" t="n">
        <f aca="false">700+400+150</f>
        <v>1250</v>
      </c>
      <c r="G1624" s="90" t="n">
        <v>0.7</v>
      </c>
    </row>
    <row r="1625" customFormat="false" ht="17.6" hidden="false" customHeight="false" outlineLevel="0" collapsed="false">
      <c r="A1625" s="91" t="s">
        <v>1836</v>
      </c>
      <c r="B1625" s="90" t="s">
        <v>49</v>
      </c>
      <c r="C1625" s="90" t="n">
        <f aca="false">ROUND(E1625*G1625+F1625,0)</f>
        <v>11960</v>
      </c>
      <c r="D1625" s="90" t="s">
        <v>163</v>
      </c>
      <c r="E1625" s="90" t="n">
        <v>15300</v>
      </c>
      <c r="F1625" s="90" t="n">
        <f aca="false">700+400+150</f>
        <v>1250</v>
      </c>
      <c r="G1625" s="90" t="n">
        <v>0.7</v>
      </c>
    </row>
    <row r="1626" customFormat="false" ht="17.6" hidden="false" customHeight="false" outlineLevel="0" collapsed="false">
      <c r="A1626" s="91" t="s">
        <v>1837</v>
      </c>
      <c r="B1626" s="90" t="s">
        <v>49</v>
      </c>
      <c r="C1626" s="90" t="n">
        <f aca="false">ROUND(E1626*G1626+F1626,0)</f>
        <v>9300</v>
      </c>
      <c r="D1626" s="90" t="s">
        <v>163</v>
      </c>
      <c r="E1626" s="90" t="n">
        <v>11500</v>
      </c>
      <c r="F1626" s="90" t="n">
        <f aca="false">700+400+150</f>
        <v>1250</v>
      </c>
      <c r="G1626" s="90" t="n">
        <v>0.7</v>
      </c>
    </row>
    <row r="1627" customFormat="false" ht="17.6" hidden="false" customHeight="false" outlineLevel="0" collapsed="false">
      <c r="A1627" s="91" t="s">
        <v>1838</v>
      </c>
      <c r="B1627" s="90" t="s">
        <v>49</v>
      </c>
      <c r="C1627" s="90" t="n">
        <f aca="false">ROUND(E1627*G1627+F1627,0)</f>
        <v>10630</v>
      </c>
      <c r="D1627" s="90" t="s">
        <v>163</v>
      </c>
      <c r="E1627" s="90" t="n">
        <v>13400</v>
      </c>
      <c r="F1627" s="90" t="n">
        <f aca="false">700+400+150</f>
        <v>1250</v>
      </c>
      <c r="G1627" s="90" t="n">
        <v>0.7</v>
      </c>
    </row>
    <row r="1628" customFormat="false" ht="17.6" hidden="false" customHeight="false" outlineLevel="0" collapsed="false">
      <c r="A1628" s="91" t="s">
        <v>1839</v>
      </c>
      <c r="B1628" s="90" t="s">
        <v>49</v>
      </c>
      <c r="C1628" s="90" t="n">
        <f aca="false">ROUND(E1628*G1628+F1628,0)</f>
        <v>7900</v>
      </c>
      <c r="D1628" s="90" t="s">
        <v>163</v>
      </c>
      <c r="E1628" s="90" t="n">
        <v>9500</v>
      </c>
      <c r="F1628" s="90" t="n">
        <f aca="false">700+400+150</f>
        <v>1250</v>
      </c>
      <c r="G1628" s="90" t="n">
        <v>0.7</v>
      </c>
    </row>
    <row r="1629" customFormat="false" ht="17.6" hidden="false" customHeight="false" outlineLevel="0" collapsed="false">
      <c r="A1629" s="91" t="s">
        <v>1840</v>
      </c>
      <c r="B1629" s="90" t="s">
        <v>49</v>
      </c>
      <c r="C1629" s="90" t="n">
        <f aca="false">ROUND(E1629*G1629+F1629,0)</f>
        <v>12450</v>
      </c>
      <c r="D1629" s="90" t="s">
        <v>163</v>
      </c>
      <c r="E1629" s="90" t="n">
        <v>16000</v>
      </c>
      <c r="F1629" s="90" t="n">
        <f aca="false">700+400+150</f>
        <v>1250</v>
      </c>
      <c r="G1629" s="90" t="n">
        <v>0.7</v>
      </c>
    </row>
    <row r="1630" customFormat="false" ht="17.6" hidden="false" customHeight="false" outlineLevel="0" collapsed="false">
      <c r="A1630" s="91" t="s">
        <v>1841</v>
      </c>
      <c r="B1630" s="90" t="s">
        <v>49</v>
      </c>
      <c r="C1630" s="90" t="n">
        <f aca="false">ROUND(E1630*G1630+F1630,0)</f>
        <v>9650</v>
      </c>
      <c r="D1630" s="90" t="s">
        <v>163</v>
      </c>
      <c r="E1630" s="90" t="n">
        <v>12000</v>
      </c>
      <c r="F1630" s="90" t="n">
        <f aca="false">700+400+150</f>
        <v>1250</v>
      </c>
      <c r="G1630" s="90" t="n">
        <v>0.7</v>
      </c>
    </row>
    <row r="1631" customFormat="false" ht="17.6" hidden="false" customHeight="false" outlineLevel="0" collapsed="false">
      <c r="A1631" s="91" t="s">
        <v>1842</v>
      </c>
      <c r="B1631" s="90" t="s">
        <v>49</v>
      </c>
      <c r="C1631" s="90" t="n">
        <f aca="false">12000*0.7+700+400+60</f>
        <v>9560</v>
      </c>
      <c r="D1631" s="90" t="s">
        <v>163</v>
      </c>
    </row>
    <row r="1632" customFormat="false" ht="17.6" hidden="false" customHeight="false" outlineLevel="0" collapsed="false">
      <c r="A1632" s="91" t="s">
        <v>1843</v>
      </c>
      <c r="B1632" s="90" t="s">
        <v>49</v>
      </c>
      <c r="C1632" s="90" t="n">
        <f aca="false">20100*0.7+700+400+150</f>
        <v>15320</v>
      </c>
      <c r="D1632" s="90" t="s">
        <v>163</v>
      </c>
    </row>
    <row r="1633" customFormat="false" ht="17.6" hidden="false" customHeight="false" outlineLevel="0" collapsed="false">
      <c r="A1633" s="91" t="s">
        <v>1844</v>
      </c>
      <c r="B1633" s="90" t="s">
        <v>49</v>
      </c>
      <c r="C1633" s="90" t="n">
        <f aca="false">21300*0.7+700+400+150</f>
        <v>16160</v>
      </c>
      <c r="D1633" s="90" t="s">
        <v>163</v>
      </c>
    </row>
    <row r="1634" customFormat="false" ht="17.6" hidden="false" customHeight="false" outlineLevel="0" collapsed="false">
      <c r="A1634" s="91" t="s">
        <v>1845</v>
      </c>
      <c r="B1634" s="90" t="s">
        <v>49</v>
      </c>
      <c r="C1634" s="90" t="n">
        <f aca="false">18500*0.7+700+400+150</f>
        <v>14200</v>
      </c>
      <c r="D1634" s="90" t="s">
        <v>163</v>
      </c>
    </row>
    <row r="1635" customFormat="false" ht="17.6" hidden="false" customHeight="false" outlineLevel="0" collapsed="false">
      <c r="A1635" s="91" t="s">
        <v>1846</v>
      </c>
      <c r="B1635" s="90" t="s">
        <v>49</v>
      </c>
      <c r="C1635" s="90" t="n">
        <f aca="false">ROUND(E1635*G1635+F1635,0)</f>
        <v>15600</v>
      </c>
      <c r="D1635" s="90" t="s">
        <v>163</v>
      </c>
      <c r="E1635" s="90" t="n">
        <v>20500</v>
      </c>
      <c r="F1635" s="90" t="n">
        <f aca="false">700+400+150</f>
        <v>1250</v>
      </c>
      <c r="G1635" s="90" t="n">
        <v>0.7</v>
      </c>
    </row>
    <row r="1636" customFormat="false" ht="17.6" hidden="false" customHeight="false" outlineLevel="0" collapsed="false">
      <c r="A1636" s="91" t="s">
        <v>1847</v>
      </c>
      <c r="B1636" s="90" t="s">
        <v>49</v>
      </c>
      <c r="C1636" s="90" t="n">
        <f aca="false">ROUND(E1636*G1636+F1636,0)</f>
        <v>12310</v>
      </c>
      <c r="D1636" s="90" t="s">
        <v>163</v>
      </c>
      <c r="E1636" s="90" t="n">
        <v>15800</v>
      </c>
      <c r="F1636" s="90" t="n">
        <f aca="false">700+400+150</f>
        <v>1250</v>
      </c>
      <c r="G1636" s="90" t="n">
        <v>0.7</v>
      </c>
    </row>
    <row r="1637" customFormat="false" ht="17.6" hidden="false" customHeight="false" outlineLevel="0" collapsed="false">
      <c r="A1637" s="91" t="s">
        <v>1848</v>
      </c>
      <c r="B1637" s="90" t="s">
        <v>49</v>
      </c>
      <c r="C1637" s="90" t="n">
        <f aca="false">ROUND(E1637*G1637+F1637,0)</f>
        <v>19170</v>
      </c>
      <c r="D1637" s="90" t="s">
        <v>163</v>
      </c>
      <c r="E1637" s="90" t="n">
        <v>25600</v>
      </c>
      <c r="F1637" s="90" t="n">
        <f aca="false">700+400+150</f>
        <v>1250</v>
      </c>
      <c r="G1637" s="90" t="n">
        <v>0.7</v>
      </c>
    </row>
    <row r="1638" customFormat="false" ht="17.6" hidden="false" customHeight="false" outlineLevel="0" collapsed="false">
      <c r="A1638" s="91" t="s">
        <v>1849</v>
      </c>
      <c r="B1638" s="90" t="s">
        <v>49</v>
      </c>
      <c r="C1638" s="90" t="n">
        <f aca="false">ROUND(E1638*G1638+F1638,0)</f>
        <v>14970</v>
      </c>
      <c r="D1638" s="90" t="s">
        <v>163</v>
      </c>
      <c r="E1638" s="90" t="n">
        <v>19600</v>
      </c>
      <c r="F1638" s="90" t="n">
        <f aca="false">700+400+150</f>
        <v>1250</v>
      </c>
      <c r="G1638" s="90" t="n">
        <v>0.7</v>
      </c>
    </row>
    <row r="1639" customFormat="false" ht="17.6" hidden="false" customHeight="false" outlineLevel="0" collapsed="false">
      <c r="A1639" s="91" t="s">
        <v>1850</v>
      </c>
      <c r="B1639" s="90" t="s">
        <v>49</v>
      </c>
      <c r="C1639" s="90" t="n">
        <f aca="false">ROUND(E1639*G1639+F1639,0)</f>
        <v>16230</v>
      </c>
      <c r="D1639" s="90" t="s">
        <v>163</v>
      </c>
      <c r="E1639" s="90" t="n">
        <v>21400</v>
      </c>
      <c r="F1639" s="90" t="n">
        <f aca="false">700+400+150</f>
        <v>1250</v>
      </c>
      <c r="G1639" s="90" t="n">
        <v>0.7</v>
      </c>
    </row>
    <row r="1640" customFormat="false" ht="17.6" hidden="false" customHeight="false" outlineLevel="0" collapsed="false">
      <c r="A1640" s="91" t="s">
        <v>1851</v>
      </c>
      <c r="B1640" s="90" t="s">
        <v>49</v>
      </c>
      <c r="C1640" s="90" t="n">
        <f aca="false">ROUND(E1640*G1640+F1640,0)</f>
        <v>12660</v>
      </c>
      <c r="D1640" s="90" t="s">
        <v>163</v>
      </c>
      <c r="E1640" s="90" t="n">
        <v>16300</v>
      </c>
      <c r="F1640" s="90" t="n">
        <f aca="false">700+400+150</f>
        <v>1250</v>
      </c>
      <c r="G1640" s="90" t="n">
        <v>0.7</v>
      </c>
    </row>
    <row r="1641" customFormat="false" ht="17.6" hidden="false" customHeight="false" outlineLevel="0" collapsed="false">
      <c r="A1641" s="91" t="s">
        <v>1852</v>
      </c>
      <c r="B1641" s="90" t="s">
        <v>49</v>
      </c>
      <c r="C1641" s="90" t="n">
        <f aca="false">ROUND(E1641*G1641+F1641,0)</f>
        <v>19590</v>
      </c>
      <c r="D1641" s="90" t="s">
        <v>163</v>
      </c>
      <c r="E1641" s="90" t="n">
        <v>26200</v>
      </c>
      <c r="F1641" s="90" t="n">
        <f aca="false">700+400+150</f>
        <v>1250</v>
      </c>
      <c r="G1641" s="90" t="n">
        <v>0.7</v>
      </c>
    </row>
    <row r="1642" customFormat="false" ht="17.6" hidden="false" customHeight="false" outlineLevel="0" collapsed="false">
      <c r="A1642" s="91" t="s">
        <v>1853</v>
      </c>
      <c r="B1642" s="90" t="s">
        <v>49</v>
      </c>
      <c r="C1642" s="90" t="n">
        <f aca="false">ROUND(E1642*G1642+F1642,0)</f>
        <v>15320</v>
      </c>
      <c r="D1642" s="90" t="s">
        <v>163</v>
      </c>
      <c r="E1642" s="90" t="n">
        <v>20100</v>
      </c>
      <c r="F1642" s="90" t="n">
        <f aca="false">700+400+150</f>
        <v>1250</v>
      </c>
      <c r="G1642" s="90" t="n">
        <v>0.7</v>
      </c>
    </row>
    <row r="1643" customFormat="false" ht="17.6" hidden="false" customHeight="false" outlineLevel="0" collapsed="false">
      <c r="A1643" s="91" t="s">
        <v>1854</v>
      </c>
      <c r="B1643" s="90" t="s">
        <v>49</v>
      </c>
      <c r="C1643" s="90" t="n">
        <f aca="false">ROUND(E1643*G1643+F1643,0)</f>
        <v>17210</v>
      </c>
      <c r="D1643" s="90" t="s">
        <v>163</v>
      </c>
      <c r="E1643" s="90" t="n">
        <v>22800</v>
      </c>
      <c r="F1643" s="90" t="n">
        <f aca="false">700+400+150</f>
        <v>1250</v>
      </c>
      <c r="G1643" s="90" t="n">
        <v>0.7</v>
      </c>
    </row>
    <row r="1644" customFormat="false" ht="17.6" hidden="false" customHeight="false" outlineLevel="0" collapsed="false">
      <c r="A1644" s="91" t="s">
        <v>1855</v>
      </c>
      <c r="B1644" s="90" t="s">
        <v>49</v>
      </c>
      <c r="C1644" s="90" t="n">
        <f aca="false">ROUND(E1644*G1644+F1644,0)</f>
        <v>13570</v>
      </c>
      <c r="D1644" s="90" t="s">
        <v>163</v>
      </c>
      <c r="E1644" s="90" t="n">
        <v>17600</v>
      </c>
      <c r="F1644" s="90" t="n">
        <f aca="false">700+400+150</f>
        <v>1250</v>
      </c>
      <c r="G1644" s="90" t="n">
        <v>0.7</v>
      </c>
    </row>
    <row r="1645" customFormat="false" ht="17.6" hidden="false" customHeight="false" outlineLevel="0" collapsed="false">
      <c r="A1645" s="91" t="s">
        <v>1856</v>
      </c>
      <c r="B1645" s="90" t="s">
        <v>49</v>
      </c>
      <c r="C1645" s="90" t="n">
        <f aca="false">ROUND(E1645*G1645+F1645,0)</f>
        <v>20640</v>
      </c>
      <c r="D1645" s="90" t="s">
        <v>163</v>
      </c>
      <c r="E1645" s="90" t="n">
        <v>27700</v>
      </c>
      <c r="F1645" s="90" t="n">
        <f aca="false">700+400+150</f>
        <v>1250</v>
      </c>
      <c r="G1645" s="90" t="n">
        <v>0.7</v>
      </c>
    </row>
    <row r="1646" customFormat="false" ht="17.6" hidden="false" customHeight="false" outlineLevel="0" collapsed="false">
      <c r="A1646" s="91" t="s">
        <v>1857</v>
      </c>
      <c r="B1646" s="90" t="s">
        <v>49</v>
      </c>
      <c r="C1646" s="90" t="n">
        <f aca="false">ROUND(E1646*G1646+F1646,0)</f>
        <v>16160</v>
      </c>
      <c r="D1646" s="90" t="s">
        <v>163</v>
      </c>
      <c r="E1646" s="90" t="n">
        <v>21300</v>
      </c>
      <c r="F1646" s="90" t="n">
        <f aca="false">700+400+150</f>
        <v>1250</v>
      </c>
      <c r="G1646" s="90" t="n">
        <v>0.7</v>
      </c>
    </row>
    <row r="1647" customFormat="false" ht="17.6" hidden="false" customHeight="false" outlineLevel="0" collapsed="false">
      <c r="A1647" s="91" t="s">
        <v>1858</v>
      </c>
      <c r="B1647" s="90" t="s">
        <v>49</v>
      </c>
      <c r="C1647" s="90" t="n">
        <f aca="false">ROUND(E1647*G1647+F1647,0)</f>
        <v>21550</v>
      </c>
      <c r="D1647" s="90" t="s">
        <v>163</v>
      </c>
      <c r="E1647" s="90" t="n">
        <v>29000</v>
      </c>
      <c r="F1647" s="90" t="n">
        <f aca="false">700+400+150</f>
        <v>1250</v>
      </c>
      <c r="G1647" s="90" t="n">
        <v>0.7</v>
      </c>
    </row>
    <row r="1648" customFormat="false" ht="17.6" hidden="false" customHeight="false" outlineLevel="0" collapsed="false">
      <c r="A1648" s="91" t="s">
        <v>1859</v>
      </c>
      <c r="B1648" s="90" t="s">
        <v>49</v>
      </c>
      <c r="C1648" s="90" t="n">
        <f aca="false">ROUND(E1648*G1648+F1648,0)</f>
        <v>16860</v>
      </c>
      <c r="D1648" s="90" t="s">
        <v>163</v>
      </c>
      <c r="E1648" s="90" t="n">
        <v>22300</v>
      </c>
      <c r="F1648" s="90" t="n">
        <f aca="false">700+400+150</f>
        <v>1250</v>
      </c>
      <c r="G1648" s="90" t="n">
        <v>0.7</v>
      </c>
    </row>
    <row r="1649" customFormat="false" ht="17.6" hidden="false" customHeight="false" outlineLevel="0" collapsed="false">
      <c r="A1649" s="91" t="s">
        <v>1860</v>
      </c>
      <c r="B1649" s="90" t="s">
        <v>49</v>
      </c>
      <c r="C1649" s="90" t="n">
        <f aca="false">ROUND(E1649*G1649+F1649,0)</f>
        <v>25050</v>
      </c>
      <c r="D1649" s="90" t="s">
        <v>163</v>
      </c>
      <c r="E1649" s="90" t="n">
        <v>34000</v>
      </c>
      <c r="F1649" s="90" t="n">
        <f aca="false">700+400+150</f>
        <v>1250</v>
      </c>
      <c r="G1649" s="90" t="n">
        <v>0.7</v>
      </c>
    </row>
    <row r="1650" customFormat="false" ht="17.6" hidden="false" customHeight="false" outlineLevel="0" collapsed="false">
      <c r="A1650" s="91" t="s">
        <v>1861</v>
      </c>
      <c r="B1650" s="90" t="s">
        <v>49</v>
      </c>
      <c r="C1650" s="90" t="n">
        <f aca="false">ROUND(E1650*G1650+F1650,0)</f>
        <v>19520</v>
      </c>
      <c r="D1650" s="90" t="s">
        <v>163</v>
      </c>
      <c r="E1650" s="90" t="n">
        <v>26100</v>
      </c>
      <c r="F1650" s="90" t="n">
        <f aca="false">700+400+150</f>
        <v>1250</v>
      </c>
      <c r="G1650" s="90" t="n">
        <v>0.7</v>
      </c>
    </row>
    <row r="1651" customFormat="false" ht="17.6" hidden="false" customHeight="false" outlineLevel="0" collapsed="false">
      <c r="A1651" s="91" t="s">
        <v>1862</v>
      </c>
      <c r="B1651" s="90" t="s">
        <v>49</v>
      </c>
      <c r="C1651" s="90" t="n">
        <f aca="false">ROUND(E1651*G1651+F1651,0)</f>
        <v>23440</v>
      </c>
      <c r="D1651" s="90" t="s">
        <v>163</v>
      </c>
      <c r="E1651" s="90" t="n">
        <v>31700</v>
      </c>
      <c r="F1651" s="90" t="n">
        <f aca="false">700+400+150</f>
        <v>1250</v>
      </c>
      <c r="G1651" s="90" t="n">
        <v>0.7</v>
      </c>
    </row>
    <row r="1652" customFormat="false" ht="17.6" hidden="false" customHeight="false" outlineLevel="0" collapsed="false">
      <c r="A1652" s="91" t="s">
        <v>1863</v>
      </c>
      <c r="B1652" s="90" t="s">
        <v>49</v>
      </c>
      <c r="C1652" s="90" t="n">
        <f aca="false">ROUND(E1652*G1652+F1652,0)</f>
        <v>18050</v>
      </c>
      <c r="D1652" s="90" t="s">
        <v>163</v>
      </c>
      <c r="E1652" s="90" t="n">
        <v>24000</v>
      </c>
      <c r="F1652" s="90" t="n">
        <f aca="false">700+400+150</f>
        <v>1250</v>
      </c>
      <c r="G1652" s="90" t="n">
        <v>0.7</v>
      </c>
    </row>
    <row r="1653" customFormat="false" ht="17.6" hidden="false" customHeight="false" outlineLevel="0" collapsed="false">
      <c r="A1653" s="91" t="s">
        <v>1864</v>
      </c>
      <c r="B1653" s="90" t="s">
        <v>49</v>
      </c>
      <c r="C1653" s="90" t="n">
        <f aca="false">ROUND(E1653*G1653+F1653,0)</f>
        <v>26450</v>
      </c>
      <c r="D1653" s="90" t="s">
        <v>163</v>
      </c>
      <c r="E1653" s="90" t="n">
        <v>36000</v>
      </c>
      <c r="F1653" s="90" t="n">
        <f aca="false">700+400+150</f>
        <v>1250</v>
      </c>
      <c r="G1653" s="90" t="n">
        <v>0.7</v>
      </c>
    </row>
    <row r="1654" customFormat="false" ht="17.6" hidden="false" customHeight="false" outlineLevel="0" collapsed="false">
      <c r="A1654" s="91" t="s">
        <v>1865</v>
      </c>
      <c r="B1654" s="90" t="s">
        <v>49</v>
      </c>
      <c r="C1654" s="90" t="n">
        <f aca="false">ROUND(E1654*G1654+F1654,0)</f>
        <v>20500</v>
      </c>
      <c r="D1654" s="90" t="s">
        <v>163</v>
      </c>
      <c r="E1654" s="90" t="n">
        <v>27500</v>
      </c>
      <c r="F1654" s="90" t="n">
        <f aca="false">700+400+150</f>
        <v>1250</v>
      </c>
      <c r="G1654" s="90" t="n">
        <v>0.7</v>
      </c>
    </row>
    <row r="1655" customFormat="false" ht="17.6" hidden="false" customHeight="false" outlineLevel="0" collapsed="false">
      <c r="A1655" s="91" t="s">
        <v>1866</v>
      </c>
      <c r="B1655" s="90" t="s">
        <v>49</v>
      </c>
      <c r="C1655" s="90" t="n">
        <f aca="false">ROUND(E1655*G1655+F1655,0)</f>
        <v>13990</v>
      </c>
      <c r="D1655" s="90" t="s">
        <v>163</v>
      </c>
      <c r="E1655" s="90" t="n">
        <v>18200</v>
      </c>
      <c r="F1655" s="90" t="n">
        <f aca="false">700+400+150</f>
        <v>1250</v>
      </c>
      <c r="G1655" s="90" t="n">
        <v>0.7</v>
      </c>
    </row>
    <row r="1656" customFormat="false" ht="17.6" hidden="false" customHeight="false" outlineLevel="0" collapsed="false">
      <c r="A1656" s="91" t="s">
        <v>1867</v>
      </c>
      <c r="B1656" s="90" t="s">
        <v>49</v>
      </c>
      <c r="C1656" s="90" t="n">
        <f aca="false">ROUND(E1656*G1656+F1656,0)</f>
        <v>11050</v>
      </c>
      <c r="D1656" s="90" t="s">
        <v>163</v>
      </c>
      <c r="E1656" s="90" t="n">
        <v>14000</v>
      </c>
      <c r="F1656" s="90" t="n">
        <f aca="false">700+400+150</f>
        <v>1250</v>
      </c>
      <c r="G1656" s="90" t="n">
        <v>0.7</v>
      </c>
    </row>
    <row r="1657" customFormat="false" ht="17.6" hidden="false" customHeight="false" outlineLevel="0" collapsed="false">
      <c r="A1657" s="91" t="s">
        <v>1868</v>
      </c>
      <c r="B1657" s="90" t="s">
        <v>49</v>
      </c>
      <c r="C1657" s="90" t="n">
        <f aca="false">ROUND(E1657*G1657+F1657,0)</f>
        <v>17630</v>
      </c>
      <c r="D1657" s="90" t="s">
        <v>163</v>
      </c>
      <c r="E1657" s="90" t="n">
        <v>23400</v>
      </c>
      <c r="F1657" s="90" t="n">
        <f aca="false">700+400+150</f>
        <v>1250</v>
      </c>
      <c r="G1657" s="90" t="n">
        <v>0.7</v>
      </c>
    </row>
    <row r="1658" customFormat="false" ht="17.6" hidden="false" customHeight="false" outlineLevel="0" collapsed="false">
      <c r="A1658" s="91" t="s">
        <v>1869</v>
      </c>
      <c r="B1658" s="90" t="s">
        <v>49</v>
      </c>
      <c r="C1658" s="90" t="n">
        <f aca="false">ROUND(E1658*G1658+F1658,0)</f>
        <v>13850</v>
      </c>
      <c r="D1658" s="90" t="s">
        <v>163</v>
      </c>
      <c r="E1658" s="90" t="n">
        <v>18000</v>
      </c>
      <c r="F1658" s="90" t="n">
        <f aca="false">700+400+150</f>
        <v>1250</v>
      </c>
      <c r="G1658" s="90" t="n">
        <v>0.7</v>
      </c>
    </row>
    <row r="1659" customFormat="false" ht="17.6" hidden="false" customHeight="false" outlineLevel="0" collapsed="false">
      <c r="A1659" s="91" t="s">
        <v>1870</v>
      </c>
      <c r="B1659" s="90" t="s">
        <v>49</v>
      </c>
      <c r="C1659" s="90" t="n">
        <f aca="false">ROUND(E1659*G1659+F1659,0)</f>
        <v>14690</v>
      </c>
      <c r="D1659" s="90" t="s">
        <v>163</v>
      </c>
      <c r="E1659" s="90" t="n">
        <v>19200</v>
      </c>
      <c r="F1659" s="90" t="n">
        <f aca="false">700+400+150</f>
        <v>1250</v>
      </c>
      <c r="G1659" s="90" t="n">
        <v>0.7</v>
      </c>
    </row>
    <row r="1660" customFormat="false" ht="17.6" hidden="false" customHeight="false" outlineLevel="0" collapsed="false">
      <c r="A1660" s="91" t="s">
        <v>1871</v>
      </c>
      <c r="B1660" s="90" t="s">
        <v>49</v>
      </c>
      <c r="C1660" s="90" t="n">
        <f aca="false">ROUND(E1660*G1660+F1660,0)</f>
        <v>11540</v>
      </c>
      <c r="D1660" s="90" t="s">
        <v>163</v>
      </c>
      <c r="E1660" s="90" t="n">
        <v>14700</v>
      </c>
      <c r="F1660" s="90" t="n">
        <f aca="false">700+400+150</f>
        <v>1250</v>
      </c>
      <c r="G1660" s="90" t="n">
        <v>0.7</v>
      </c>
    </row>
    <row r="1661" customFormat="false" ht="17.6" hidden="false" customHeight="false" outlineLevel="0" collapsed="false">
      <c r="A1661" s="91" t="s">
        <v>1872</v>
      </c>
      <c r="B1661" s="90" t="s">
        <v>49</v>
      </c>
      <c r="C1661" s="90" t="n">
        <f aca="false">ROUND(E1661*G1661+F1661,0)</f>
        <v>18260</v>
      </c>
      <c r="D1661" s="90" t="s">
        <v>163</v>
      </c>
      <c r="E1661" s="90" t="n">
        <v>24300</v>
      </c>
      <c r="F1661" s="90" t="n">
        <f aca="false">700+400+150</f>
        <v>1250</v>
      </c>
      <c r="G1661" s="90" t="n">
        <v>0.7</v>
      </c>
    </row>
    <row r="1662" customFormat="false" ht="17.6" hidden="false" customHeight="false" outlineLevel="0" collapsed="false">
      <c r="A1662" s="91" t="s">
        <v>1873</v>
      </c>
      <c r="B1662" s="90" t="s">
        <v>49</v>
      </c>
      <c r="C1662" s="90" t="n">
        <f aca="false">ROUND(E1662*G1662+F1662,0)</f>
        <v>14200</v>
      </c>
      <c r="D1662" s="90" t="s">
        <v>163</v>
      </c>
      <c r="E1662" s="90" t="n">
        <v>18500</v>
      </c>
      <c r="F1662" s="90" t="n">
        <f aca="false">700+400+150</f>
        <v>1250</v>
      </c>
      <c r="G1662" s="90" t="n">
        <v>0.7</v>
      </c>
    </row>
    <row r="1663" customFormat="false" ht="17.6" hidden="false" customHeight="false" outlineLevel="0" collapsed="false">
      <c r="A1663" s="91" t="s">
        <v>1874</v>
      </c>
      <c r="B1663" s="90" t="s">
        <v>49</v>
      </c>
      <c r="C1663" s="90" t="n">
        <f aca="false">ROUND(E1663*G1663+F1663,0)</f>
        <v>25680</v>
      </c>
      <c r="D1663" s="90" t="s">
        <v>163</v>
      </c>
      <c r="E1663" s="90" t="n">
        <v>34900</v>
      </c>
      <c r="F1663" s="90" t="n">
        <f aca="false">700+400+150</f>
        <v>1250</v>
      </c>
      <c r="G1663" s="90" t="n">
        <v>0.7</v>
      </c>
    </row>
    <row r="1664" customFormat="false" ht="17.6" hidden="false" customHeight="false" outlineLevel="0" collapsed="false">
      <c r="A1664" s="91" t="s">
        <v>1875</v>
      </c>
      <c r="B1664" s="90" t="s">
        <v>49</v>
      </c>
      <c r="C1664" s="90" t="n">
        <f aca="false">ROUND(E1664*G1664+F1664,0)</f>
        <v>19450</v>
      </c>
      <c r="D1664" s="90" t="s">
        <v>163</v>
      </c>
      <c r="E1664" s="90" t="n">
        <v>26000</v>
      </c>
      <c r="F1664" s="90" t="n">
        <f aca="false">700+400+150</f>
        <v>1250</v>
      </c>
      <c r="G1664" s="90" t="n">
        <v>0.7</v>
      </c>
    </row>
    <row r="1665" customFormat="false" ht="17.6" hidden="false" customHeight="false" outlineLevel="0" collapsed="false">
      <c r="A1665" s="91" t="s">
        <v>1876</v>
      </c>
      <c r="B1665" s="90" t="s">
        <v>49</v>
      </c>
      <c r="C1665" s="90" t="n">
        <f aca="false">ROUND(E1665*G1665+F1665,0)</f>
        <v>28970</v>
      </c>
      <c r="D1665" s="90" t="s">
        <v>163</v>
      </c>
      <c r="E1665" s="90" t="n">
        <v>39600</v>
      </c>
      <c r="F1665" s="90" t="n">
        <f aca="false">700+400+150</f>
        <v>1250</v>
      </c>
      <c r="G1665" s="90" t="n">
        <v>0.7</v>
      </c>
    </row>
    <row r="1666" customFormat="false" ht="17.6" hidden="false" customHeight="false" outlineLevel="0" collapsed="false">
      <c r="A1666" s="91" t="s">
        <v>1877</v>
      </c>
      <c r="B1666" s="90" t="s">
        <v>49</v>
      </c>
      <c r="C1666" s="90" t="n">
        <f aca="false">ROUND(E1666*G1666+F1666,0)</f>
        <v>22040</v>
      </c>
      <c r="D1666" s="90" t="s">
        <v>163</v>
      </c>
      <c r="E1666" s="90" t="n">
        <v>29700</v>
      </c>
      <c r="F1666" s="90" t="n">
        <f aca="false">700+400+150</f>
        <v>1250</v>
      </c>
      <c r="G1666" s="90" t="n">
        <v>0.7</v>
      </c>
    </row>
    <row r="1667" customFormat="false" ht="17.6" hidden="false" customHeight="false" outlineLevel="0" collapsed="false">
      <c r="A1667" s="91" t="s">
        <v>1878</v>
      </c>
      <c r="B1667" s="90" t="s">
        <v>49</v>
      </c>
      <c r="C1667" s="90" t="n">
        <f aca="false">ROUND(E1667*G1667+F1667,0)</f>
        <v>26800</v>
      </c>
      <c r="D1667" s="90" t="s">
        <v>163</v>
      </c>
      <c r="E1667" s="90" t="n">
        <v>36500</v>
      </c>
      <c r="F1667" s="90" t="n">
        <f aca="false">700+400+150</f>
        <v>1250</v>
      </c>
      <c r="G1667" s="90" t="n">
        <v>0.7</v>
      </c>
    </row>
    <row r="1668" customFormat="false" ht="17.6" hidden="false" customHeight="false" outlineLevel="0" collapsed="false">
      <c r="A1668" s="91" t="s">
        <v>1879</v>
      </c>
      <c r="B1668" s="90" t="s">
        <v>49</v>
      </c>
      <c r="C1668" s="90" t="n">
        <f aca="false">ROUND(E1668*G1668+F1668,0)</f>
        <v>20290</v>
      </c>
      <c r="D1668" s="90" t="s">
        <v>163</v>
      </c>
      <c r="E1668" s="90" t="n">
        <v>27200</v>
      </c>
      <c r="F1668" s="90" t="n">
        <f aca="false">700+400+150</f>
        <v>1250</v>
      </c>
      <c r="G1668" s="90" t="n">
        <v>0.7</v>
      </c>
    </row>
    <row r="1669" customFormat="false" ht="17.6" hidden="false" customHeight="false" outlineLevel="0" collapsed="false">
      <c r="A1669" s="91" t="s">
        <v>1880</v>
      </c>
      <c r="B1669" s="90" t="s">
        <v>49</v>
      </c>
      <c r="C1669" s="90" t="n">
        <f aca="false">ROUND(E1669*G1669+F1669,0)</f>
        <v>31140</v>
      </c>
      <c r="D1669" s="90" t="s">
        <v>163</v>
      </c>
      <c r="E1669" s="90" t="n">
        <v>42700</v>
      </c>
      <c r="F1669" s="90" t="n">
        <f aca="false">700+400+150</f>
        <v>1250</v>
      </c>
      <c r="G1669" s="90" t="n">
        <v>0.7</v>
      </c>
    </row>
    <row r="1670" customFormat="false" ht="17.6" hidden="false" customHeight="false" outlineLevel="0" collapsed="false">
      <c r="A1670" s="91" t="s">
        <v>1881</v>
      </c>
      <c r="B1670" s="90" t="s">
        <v>49</v>
      </c>
      <c r="C1670" s="90" t="n">
        <f aca="false">ROUND(E1670*G1670+F1670,0)</f>
        <v>23720</v>
      </c>
      <c r="D1670" s="90" t="s">
        <v>163</v>
      </c>
      <c r="E1670" s="90" t="n">
        <v>32100</v>
      </c>
      <c r="F1670" s="90" t="n">
        <f aca="false">700+400+150</f>
        <v>1250</v>
      </c>
      <c r="G1670" s="90" t="n">
        <v>0.7</v>
      </c>
    </row>
    <row r="1671" customFormat="false" ht="17.6" hidden="false" customHeight="false" outlineLevel="0" collapsed="false">
      <c r="A1671" s="91" t="s">
        <v>1882</v>
      </c>
      <c r="B1671" s="90" t="s">
        <v>49</v>
      </c>
      <c r="C1671" s="90" t="n">
        <f aca="false">ROUND(E1671*G1671+F1671,0)</f>
        <v>28970</v>
      </c>
      <c r="D1671" s="90" t="s">
        <v>163</v>
      </c>
      <c r="E1671" s="90" t="n">
        <v>39600</v>
      </c>
      <c r="F1671" s="90" t="n">
        <f aca="false">700+400+150</f>
        <v>1250</v>
      </c>
      <c r="G1671" s="90" t="n">
        <v>0.7</v>
      </c>
    </row>
    <row r="1672" customFormat="false" ht="17.6" hidden="false" customHeight="false" outlineLevel="0" collapsed="false">
      <c r="A1672" s="91" t="s">
        <v>1883</v>
      </c>
      <c r="B1672" s="90" t="s">
        <v>49</v>
      </c>
      <c r="C1672" s="90" t="n">
        <f aca="false">ROUND(E1672*G1672+F1672,0)</f>
        <v>21900</v>
      </c>
      <c r="D1672" s="90" t="s">
        <v>163</v>
      </c>
      <c r="E1672" s="90" t="n">
        <v>29500</v>
      </c>
      <c r="F1672" s="90" t="n">
        <f aca="false">700+400+150</f>
        <v>1250</v>
      </c>
      <c r="G1672" s="90" t="n">
        <v>0.7</v>
      </c>
    </row>
    <row r="1673" customFormat="false" ht="17.6" hidden="false" customHeight="false" outlineLevel="0" collapsed="false">
      <c r="A1673" s="91" t="s">
        <v>1884</v>
      </c>
      <c r="B1673" s="90" t="s">
        <v>49</v>
      </c>
      <c r="C1673" s="90" t="n">
        <f aca="false">ROUND(E1673*G1673+F1673,0)</f>
        <v>33310</v>
      </c>
      <c r="D1673" s="90" t="s">
        <v>163</v>
      </c>
      <c r="E1673" s="90" t="n">
        <v>45800</v>
      </c>
      <c r="F1673" s="90" t="n">
        <f aca="false">700+400+150</f>
        <v>1250</v>
      </c>
      <c r="G1673" s="90" t="n">
        <v>0.7</v>
      </c>
    </row>
    <row r="1674" customFormat="false" ht="17.6" hidden="false" customHeight="false" outlineLevel="0" collapsed="false">
      <c r="A1674" s="91" t="s">
        <v>1885</v>
      </c>
      <c r="B1674" s="90" t="s">
        <v>49</v>
      </c>
      <c r="C1674" s="90" t="n">
        <f aca="false">ROUND(E1674*G1674+F1674,0)</f>
        <v>25330</v>
      </c>
      <c r="D1674" s="90" t="s">
        <v>163</v>
      </c>
      <c r="E1674" s="90" t="n">
        <v>34400</v>
      </c>
      <c r="F1674" s="90" t="n">
        <f aca="false">700+400+150</f>
        <v>1250</v>
      </c>
      <c r="G1674" s="90" t="n">
        <v>0.7</v>
      </c>
    </row>
    <row r="1675" customFormat="false" ht="17.6" hidden="false" customHeight="false" outlineLevel="0" collapsed="false">
      <c r="A1675" s="91" t="s">
        <v>1886</v>
      </c>
      <c r="B1675" s="90" t="s">
        <v>49</v>
      </c>
      <c r="C1675" s="90" t="n">
        <f aca="false">ROUND(E1675*G1675+F1675,0)</f>
        <v>32330</v>
      </c>
      <c r="D1675" s="90" t="s">
        <v>163</v>
      </c>
      <c r="E1675" s="90" t="n">
        <v>44400</v>
      </c>
      <c r="F1675" s="90" t="n">
        <f aca="false">700+400+150</f>
        <v>1250</v>
      </c>
      <c r="G1675" s="90" t="n">
        <v>0.7</v>
      </c>
    </row>
    <row r="1676" customFormat="false" ht="17.6" hidden="false" customHeight="false" outlineLevel="0" collapsed="false">
      <c r="A1676" s="91" t="s">
        <v>1887</v>
      </c>
      <c r="B1676" s="90" t="s">
        <v>49</v>
      </c>
      <c r="C1676" s="90" t="n">
        <f aca="false">ROUND(E1676*G1676+F1676,0)</f>
        <v>24420</v>
      </c>
      <c r="D1676" s="90" t="s">
        <v>163</v>
      </c>
      <c r="E1676" s="90" t="n">
        <v>33100</v>
      </c>
      <c r="F1676" s="90" t="n">
        <f aca="false">700+400+150</f>
        <v>1250</v>
      </c>
      <c r="G1676" s="90" t="n">
        <v>0.7</v>
      </c>
    </row>
    <row r="1677" customFormat="false" ht="17.6" hidden="false" customHeight="false" outlineLevel="0" collapsed="false">
      <c r="A1677" s="91" t="s">
        <v>1888</v>
      </c>
      <c r="B1677" s="90" t="s">
        <v>49</v>
      </c>
      <c r="C1677" s="90" t="n">
        <f aca="false">50700*0.7+700+400+150</f>
        <v>36740</v>
      </c>
      <c r="D1677" s="90" t="s">
        <v>163</v>
      </c>
    </row>
    <row r="1678" customFormat="false" ht="17.6" hidden="false" customHeight="false" outlineLevel="0" collapsed="false">
      <c r="A1678" s="91" t="s">
        <v>1889</v>
      </c>
      <c r="B1678" s="90" t="s">
        <v>49</v>
      </c>
      <c r="C1678" s="90" t="n">
        <f aca="false">ROUND(E1678*G1678+F1678,0)</f>
        <v>36740</v>
      </c>
      <c r="D1678" s="90" t="s">
        <v>163</v>
      </c>
      <c r="E1678" s="90" t="n">
        <v>50700</v>
      </c>
      <c r="F1678" s="90" t="n">
        <f aca="false">700+400+150</f>
        <v>1250</v>
      </c>
      <c r="G1678" s="90" t="n">
        <v>0.7</v>
      </c>
    </row>
    <row r="1679" customFormat="false" ht="17.6" hidden="false" customHeight="false" outlineLevel="0" collapsed="false">
      <c r="A1679" s="91" t="s">
        <v>1890</v>
      </c>
      <c r="B1679" s="90" t="s">
        <v>49</v>
      </c>
      <c r="C1679" s="90" t="n">
        <f aca="false">ROUND(E1679*G1679+F1679,0)</f>
        <v>27920</v>
      </c>
      <c r="D1679" s="90" t="s">
        <v>163</v>
      </c>
      <c r="E1679" s="90" t="n">
        <v>38100</v>
      </c>
      <c r="F1679" s="90" t="n">
        <f aca="false">700+400+150</f>
        <v>1250</v>
      </c>
      <c r="G1679" s="90" t="n">
        <v>0.7</v>
      </c>
    </row>
    <row r="1680" customFormat="false" ht="17.6" hidden="false" customHeight="false" outlineLevel="0" collapsed="false">
      <c r="A1680" s="91" t="s">
        <v>1891</v>
      </c>
      <c r="B1680" s="90" t="s">
        <v>49</v>
      </c>
      <c r="C1680" s="90" t="n">
        <f aca="false">ROUND(E1680*G1680+F1680,0)</f>
        <v>46330</v>
      </c>
      <c r="D1680" s="90" t="s">
        <v>163</v>
      </c>
      <c r="E1680" s="90" t="n">
        <v>64400</v>
      </c>
      <c r="F1680" s="90" t="n">
        <f aca="false">700+400+150</f>
        <v>1250</v>
      </c>
      <c r="G1680" s="90" t="n">
        <v>0.7</v>
      </c>
    </row>
    <row r="1681" customFormat="false" ht="17.6" hidden="false" customHeight="false" outlineLevel="0" collapsed="false">
      <c r="A1681" s="91" t="s">
        <v>1892</v>
      </c>
      <c r="B1681" s="90" t="s">
        <v>49</v>
      </c>
      <c r="C1681" s="90" t="n">
        <f aca="false">ROUND(E1681*G1681+F1681,0)</f>
        <v>34850</v>
      </c>
      <c r="D1681" s="90" t="s">
        <v>163</v>
      </c>
      <c r="E1681" s="90" t="n">
        <v>48000</v>
      </c>
      <c r="F1681" s="90" t="n">
        <f aca="false">700+400+150</f>
        <v>1250</v>
      </c>
      <c r="G1681" s="90" t="n">
        <v>0.7</v>
      </c>
    </row>
    <row r="1682" customFormat="false" ht="17.6" hidden="false" customHeight="false" outlineLevel="0" collapsed="false">
      <c r="A1682" s="91" t="s">
        <v>1893</v>
      </c>
      <c r="B1682" s="90" t="s">
        <v>49</v>
      </c>
      <c r="C1682" s="90" t="n">
        <f aca="false">ROUND(E1682*G1682+F1682,0)</f>
        <v>51300</v>
      </c>
      <c r="D1682" s="90" t="s">
        <v>163</v>
      </c>
      <c r="E1682" s="90" t="n">
        <v>71500</v>
      </c>
      <c r="F1682" s="90" t="n">
        <f aca="false">700+400+150</f>
        <v>1250</v>
      </c>
      <c r="G1682" s="90" t="n">
        <v>0.7</v>
      </c>
    </row>
    <row r="1683" customFormat="false" ht="17.6" hidden="false" customHeight="false" outlineLevel="0" collapsed="false">
      <c r="A1683" s="91" t="s">
        <v>1894</v>
      </c>
      <c r="B1683" s="90" t="s">
        <v>49</v>
      </c>
      <c r="C1683" s="90" t="n">
        <f aca="false">ROUND(E1683*G1683+F1683,0)</f>
        <v>38840</v>
      </c>
      <c r="D1683" s="90" t="s">
        <v>163</v>
      </c>
      <c r="E1683" s="90" t="n">
        <v>53700</v>
      </c>
      <c r="F1683" s="90" t="n">
        <f aca="false">700+400+150</f>
        <v>1250</v>
      </c>
      <c r="G1683" s="90" t="n">
        <v>0.7</v>
      </c>
    </row>
    <row r="1684" customFormat="false" ht="17.6" hidden="false" customHeight="false" outlineLevel="0" collapsed="false">
      <c r="A1684" s="91" t="s">
        <v>1895</v>
      </c>
      <c r="B1684" s="90" t="s">
        <v>49</v>
      </c>
      <c r="C1684" s="90" t="n">
        <f aca="false">ROUND(E1684*G1684+F1684,0)</f>
        <v>55570</v>
      </c>
      <c r="D1684" s="90" t="s">
        <v>163</v>
      </c>
      <c r="E1684" s="90" t="n">
        <v>77600</v>
      </c>
      <c r="F1684" s="90" t="n">
        <f aca="false">700+400+150</f>
        <v>1250</v>
      </c>
      <c r="G1684" s="90" t="n">
        <v>0.7</v>
      </c>
    </row>
    <row r="1685" customFormat="false" ht="17.6" hidden="false" customHeight="false" outlineLevel="0" collapsed="false">
      <c r="A1685" s="91" t="s">
        <v>1896</v>
      </c>
      <c r="B1685" s="90" t="s">
        <v>49</v>
      </c>
      <c r="C1685" s="90" t="n">
        <f aca="false">ROUND(E1685*G1685+F1685,0)</f>
        <v>71250</v>
      </c>
      <c r="D1685" s="90" t="s">
        <v>163</v>
      </c>
      <c r="E1685" s="90" t="n">
        <v>100000</v>
      </c>
      <c r="F1685" s="90" t="n">
        <f aca="false">700+400+150</f>
        <v>1250</v>
      </c>
      <c r="G1685" s="90" t="n">
        <v>0.7</v>
      </c>
    </row>
    <row r="1686" customFormat="false" ht="17.6" hidden="false" customHeight="false" outlineLevel="0" collapsed="false">
      <c r="A1686" s="91" t="s">
        <v>1897</v>
      </c>
      <c r="B1686" s="90" t="s">
        <v>49</v>
      </c>
      <c r="C1686" s="90" t="n">
        <f aca="false">ROUND(E1686*G1686+F1686,0)</f>
        <v>62850</v>
      </c>
      <c r="D1686" s="90" t="s">
        <v>163</v>
      </c>
      <c r="E1686" s="90" t="n">
        <v>88000</v>
      </c>
      <c r="F1686" s="90" t="n">
        <f aca="false">700+400+150</f>
        <v>1250</v>
      </c>
      <c r="G1686" s="90" t="n">
        <v>0.7</v>
      </c>
    </row>
    <row r="1687" customFormat="false" ht="17.6" hidden="false" customHeight="false" outlineLevel="0" collapsed="false">
      <c r="A1687" s="91" t="s">
        <v>1898</v>
      </c>
      <c r="B1687" s="90" t="s">
        <v>49</v>
      </c>
      <c r="C1687" s="90" t="n">
        <f aca="false">ROUND(E1687*G1687+F1687,0)</f>
        <v>81050</v>
      </c>
      <c r="D1687" s="90" t="s">
        <v>163</v>
      </c>
      <c r="E1687" s="90" t="n">
        <v>114000</v>
      </c>
      <c r="F1687" s="90" t="n">
        <f aca="false">700+400+150</f>
        <v>1250</v>
      </c>
      <c r="G1687" s="90" t="n">
        <v>0.7</v>
      </c>
    </row>
    <row r="1688" customFormat="false" ht="17.6" hidden="false" customHeight="false" outlineLevel="0" collapsed="false">
      <c r="A1688" s="91" t="s">
        <v>1899</v>
      </c>
      <c r="B1688" s="90" t="s">
        <v>49</v>
      </c>
      <c r="C1688" s="90" t="n">
        <f aca="false">ROUND(E1688*G1688+F1688,0)</f>
        <v>69150</v>
      </c>
      <c r="D1688" s="90" t="s">
        <v>163</v>
      </c>
      <c r="E1688" s="90" t="n">
        <v>97000</v>
      </c>
      <c r="F1688" s="90" t="n">
        <f aca="false">700+400+150</f>
        <v>1250</v>
      </c>
      <c r="G1688" s="90" t="n">
        <v>0.7</v>
      </c>
    </row>
    <row r="1689" customFormat="false" ht="17.6" hidden="false" customHeight="false" outlineLevel="0" collapsed="false">
      <c r="A1689" s="91" t="s">
        <v>1900</v>
      </c>
      <c r="B1689" s="90" t="s">
        <v>49</v>
      </c>
      <c r="C1689" s="90" t="n">
        <f aca="false">ROUND(E1689*G1689+F1689,0)</f>
        <v>89450</v>
      </c>
      <c r="D1689" s="90" t="s">
        <v>163</v>
      </c>
      <c r="E1689" s="90" t="n">
        <v>126000</v>
      </c>
      <c r="F1689" s="90" t="n">
        <f aca="false">700+400+150</f>
        <v>1250</v>
      </c>
      <c r="G1689" s="90" t="n">
        <v>0.7</v>
      </c>
    </row>
    <row r="1690" customFormat="false" ht="17.6" hidden="false" customHeight="false" outlineLevel="0" collapsed="false">
      <c r="A1690" s="91" t="s">
        <v>1901</v>
      </c>
      <c r="B1690" s="90" t="s">
        <v>1902</v>
      </c>
      <c r="C1690" s="90" t="n">
        <v>90</v>
      </c>
      <c r="D1690" s="90" t="s">
        <v>1903</v>
      </c>
    </row>
    <row r="1691" customFormat="false" ht="17.6" hidden="false" customHeight="false" outlineLevel="0" collapsed="false">
      <c r="A1691" s="91" t="s">
        <v>1904</v>
      </c>
      <c r="B1691" s="90" t="s">
        <v>1328</v>
      </c>
      <c r="C1691" s="90" t="n">
        <v>150</v>
      </c>
      <c r="D1691" s="90" t="s">
        <v>1905</v>
      </c>
    </row>
    <row r="1692" customFormat="false" ht="17.6" hidden="false" customHeight="false" outlineLevel="0" collapsed="false">
      <c r="A1692" s="91" t="s">
        <v>1906</v>
      </c>
      <c r="B1692" s="90" t="s">
        <v>1328</v>
      </c>
      <c r="C1692" s="90" t="n">
        <v>35</v>
      </c>
      <c r="D1692" s="90" t="s">
        <v>1905</v>
      </c>
    </row>
    <row r="1693" customFormat="false" ht="17.6" hidden="false" customHeight="false" outlineLevel="0" collapsed="false">
      <c r="A1693" s="91" t="s">
        <v>1907</v>
      </c>
      <c r="B1693" s="90" t="s">
        <v>1328</v>
      </c>
      <c r="C1693" s="90" t="n">
        <v>35</v>
      </c>
      <c r="D1693" s="90" t="s">
        <v>1905</v>
      </c>
    </row>
    <row r="1694" customFormat="false" ht="17.6" hidden="false" customHeight="false" outlineLevel="0" collapsed="false">
      <c r="A1694" s="91" t="s">
        <v>1908</v>
      </c>
      <c r="B1694" s="90" t="s">
        <v>1328</v>
      </c>
      <c r="C1694" s="90" t="n">
        <v>65</v>
      </c>
      <c r="D1694" s="90" t="s">
        <v>1905</v>
      </c>
    </row>
    <row r="1695" customFormat="false" ht="17.6" hidden="false" customHeight="false" outlineLevel="0" collapsed="false">
      <c r="A1695" s="91" t="s">
        <v>1909</v>
      </c>
      <c r="B1695" s="90" t="s">
        <v>1328</v>
      </c>
      <c r="C1695" s="90" t="n">
        <v>30</v>
      </c>
      <c r="D1695" s="90" t="s">
        <v>1905</v>
      </c>
    </row>
    <row r="1696" customFormat="false" ht="17.6" hidden="false" customHeight="false" outlineLevel="0" collapsed="false">
      <c r="A1696" s="91" t="s">
        <v>1910</v>
      </c>
      <c r="B1696" s="90" t="s">
        <v>1328</v>
      </c>
      <c r="C1696" s="90" t="n">
        <v>65</v>
      </c>
      <c r="D1696" s="90" t="s">
        <v>1905</v>
      </c>
    </row>
    <row r="1697" customFormat="false" ht="17.6" hidden="false" customHeight="false" outlineLevel="0" collapsed="false">
      <c r="A1697" s="91" t="s">
        <v>1911</v>
      </c>
      <c r="B1697" s="90" t="s">
        <v>1328</v>
      </c>
      <c r="C1697" s="90" t="n">
        <v>35</v>
      </c>
      <c r="D1697" s="90" t="s">
        <v>1905</v>
      </c>
    </row>
    <row r="1698" customFormat="false" ht="17.6" hidden="false" customHeight="false" outlineLevel="0" collapsed="false">
      <c r="A1698" s="91" t="s">
        <v>1912</v>
      </c>
      <c r="B1698" s="90" t="s">
        <v>1328</v>
      </c>
      <c r="C1698" s="90" t="n">
        <v>4</v>
      </c>
      <c r="D1698" s="90" t="s">
        <v>1905</v>
      </c>
    </row>
    <row r="1699" customFormat="false" ht="17.6" hidden="false" customHeight="false" outlineLevel="0" collapsed="false">
      <c r="A1699" s="91" t="s">
        <v>1913</v>
      </c>
      <c r="B1699" s="90" t="s">
        <v>1328</v>
      </c>
      <c r="C1699" s="90" t="n">
        <v>4</v>
      </c>
      <c r="D1699" s="90" t="s">
        <v>1905</v>
      </c>
    </row>
    <row r="1700" customFormat="false" ht="17.6" hidden="false" customHeight="false" outlineLevel="0" collapsed="false">
      <c r="A1700" s="91" t="s">
        <v>1914</v>
      </c>
      <c r="B1700" s="90" t="s">
        <v>1328</v>
      </c>
      <c r="C1700" s="90" t="n">
        <v>15</v>
      </c>
      <c r="D1700" s="90" t="s">
        <v>1905</v>
      </c>
    </row>
    <row r="1701" customFormat="false" ht="17.6" hidden="false" customHeight="false" outlineLevel="0" collapsed="false">
      <c r="A1701" s="91" t="s">
        <v>1915</v>
      </c>
      <c r="B1701" s="90" t="s">
        <v>1328</v>
      </c>
      <c r="C1701" s="90" t="n">
        <v>35</v>
      </c>
      <c r="D1701" s="90" t="s">
        <v>1905</v>
      </c>
    </row>
    <row r="1702" customFormat="false" ht="17.6" hidden="false" customHeight="false" outlineLevel="0" collapsed="false">
      <c r="A1702" s="91" t="s">
        <v>1916</v>
      </c>
      <c r="B1702" s="90" t="s">
        <v>1328</v>
      </c>
      <c r="C1702" s="90" t="n">
        <v>20</v>
      </c>
      <c r="D1702" s="90" t="s">
        <v>1905</v>
      </c>
    </row>
    <row r="1703" customFormat="false" ht="17.6" hidden="false" customHeight="false" outlineLevel="0" collapsed="false">
      <c r="A1703" s="91" t="s">
        <v>1917</v>
      </c>
      <c r="B1703" s="90" t="s">
        <v>1328</v>
      </c>
      <c r="C1703" s="90" t="n">
        <v>35</v>
      </c>
      <c r="D1703" s="90" t="s">
        <v>1905</v>
      </c>
    </row>
    <row r="1704" customFormat="false" ht="17.6" hidden="false" customHeight="false" outlineLevel="0" collapsed="false">
      <c r="A1704" s="91" t="s">
        <v>1918</v>
      </c>
      <c r="B1704" s="90" t="s">
        <v>984</v>
      </c>
      <c r="C1704" s="90" t="n">
        <v>1800</v>
      </c>
      <c r="D1704" s="90" t="s">
        <v>1919</v>
      </c>
    </row>
    <row r="1705" customFormat="false" ht="17.6" hidden="false" customHeight="false" outlineLevel="0" collapsed="false">
      <c r="A1705" s="91" t="s">
        <v>1920</v>
      </c>
      <c r="B1705" s="90" t="s">
        <v>984</v>
      </c>
      <c r="C1705" s="90" t="n">
        <v>1400</v>
      </c>
      <c r="D1705" s="90" t="s">
        <v>1919</v>
      </c>
    </row>
    <row r="1706" customFormat="false" ht="17.6" hidden="false" customHeight="false" outlineLevel="0" collapsed="false">
      <c r="A1706" s="91" t="s">
        <v>1921</v>
      </c>
      <c r="B1706" s="90" t="s">
        <v>1922</v>
      </c>
      <c r="C1706" s="90" t="n">
        <v>220</v>
      </c>
      <c r="D1706" s="90" t="s">
        <v>1923</v>
      </c>
    </row>
    <row r="1707" customFormat="false" ht="17.6" hidden="false" customHeight="false" outlineLevel="0" collapsed="false">
      <c r="A1707" s="91" t="s">
        <v>1924</v>
      </c>
      <c r="B1707" s="90" t="s">
        <v>1925</v>
      </c>
      <c r="C1707" s="90" t="n">
        <v>10</v>
      </c>
      <c r="D1707" s="90" t="s">
        <v>1157</v>
      </c>
    </row>
    <row r="1708" customFormat="false" ht="17.6" hidden="false" customHeight="false" outlineLevel="0" collapsed="false">
      <c r="A1708" s="91" t="s">
        <v>1926</v>
      </c>
      <c r="B1708" s="90" t="s">
        <v>1927</v>
      </c>
      <c r="C1708" s="90" t="n">
        <f aca="false">10100+1500</f>
        <v>11600</v>
      </c>
      <c r="D1708" s="90" t="s">
        <v>1928</v>
      </c>
    </row>
    <row r="1709" customFormat="false" ht="17.6" hidden="false" customHeight="false" outlineLevel="0" collapsed="false">
      <c r="A1709" s="91" t="s">
        <v>1929</v>
      </c>
      <c r="B1709" s="90" t="s">
        <v>1927</v>
      </c>
      <c r="C1709" s="90" t="n">
        <f aca="false">11500+1500</f>
        <v>13000</v>
      </c>
      <c r="D1709" s="90" t="s">
        <v>1928</v>
      </c>
    </row>
    <row r="1710" customFormat="false" ht="17.6" hidden="false" customHeight="false" outlineLevel="0" collapsed="false">
      <c r="A1710" s="91" t="s">
        <v>1930</v>
      </c>
      <c r="B1710" s="90" t="s">
        <v>1927</v>
      </c>
      <c r="C1710" s="90" t="n">
        <f aca="false">13900+1500</f>
        <v>15400</v>
      </c>
      <c r="D1710" s="90" t="s">
        <v>1928</v>
      </c>
    </row>
    <row r="1711" customFormat="false" ht="17.6" hidden="false" customHeight="false" outlineLevel="0" collapsed="false">
      <c r="A1711" s="91" t="s">
        <v>1931</v>
      </c>
      <c r="B1711" s="90" t="s">
        <v>988</v>
      </c>
      <c r="C1711" s="90" t="n">
        <v>1804</v>
      </c>
      <c r="D1711" s="90" t="s">
        <v>1932</v>
      </c>
    </row>
    <row r="1712" customFormat="false" ht="17.6" hidden="false" customHeight="false" outlineLevel="0" collapsed="false">
      <c r="A1712" s="91" t="s">
        <v>1933</v>
      </c>
      <c r="B1712" s="90" t="s">
        <v>1164</v>
      </c>
      <c r="C1712" s="90" t="n">
        <v>65</v>
      </c>
      <c r="D1712" s="90" t="s">
        <v>1165</v>
      </c>
    </row>
    <row r="1713" customFormat="false" ht="17.6" hidden="false" customHeight="false" outlineLevel="0" collapsed="false">
      <c r="A1713" s="91" t="s">
        <v>1934</v>
      </c>
      <c r="B1713" s="90" t="s">
        <v>1164</v>
      </c>
      <c r="C1713" s="90" t="n">
        <v>23</v>
      </c>
      <c r="D1713" s="90" t="s">
        <v>1165</v>
      </c>
    </row>
    <row r="1714" customFormat="false" ht="17.6" hidden="false" customHeight="false" outlineLevel="0" collapsed="false">
      <c r="A1714" s="91" t="s">
        <v>1935</v>
      </c>
      <c r="B1714" s="90" t="s">
        <v>1164</v>
      </c>
      <c r="C1714" s="90" t="n">
        <v>23</v>
      </c>
      <c r="D1714" s="90" t="s">
        <v>1165</v>
      </c>
    </row>
    <row r="1715" customFormat="false" ht="17.6" hidden="false" customHeight="false" outlineLevel="0" collapsed="false">
      <c r="A1715" s="91" t="s">
        <v>1936</v>
      </c>
      <c r="B1715" s="90" t="s">
        <v>1164</v>
      </c>
      <c r="C1715" s="90" t="n">
        <v>28</v>
      </c>
      <c r="D1715" s="90" t="s">
        <v>1165</v>
      </c>
    </row>
    <row r="1716" customFormat="false" ht="17.6" hidden="false" customHeight="false" outlineLevel="0" collapsed="false">
      <c r="A1716" s="91" t="s">
        <v>1937</v>
      </c>
      <c r="B1716" s="90" t="s">
        <v>1164</v>
      </c>
      <c r="C1716" s="90" t="n">
        <v>32</v>
      </c>
      <c r="D1716" s="90" t="s">
        <v>1165</v>
      </c>
    </row>
    <row r="1717" customFormat="false" ht="17.6" hidden="false" customHeight="false" outlineLevel="0" collapsed="false">
      <c r="A1717" s="91" t="s">
        <v>1938</v>
      </c>
      <c r="B1717" s="90" t="s">
        <v>1164</v>
      </c>
      <c r="C1717" s="90" t="n">
        <v>45</v>
      </c>
      <c r="D1717" s="90" t="s">
        <v>1165</v>
      </c>
    </row>
    <row r="1718" customFormat="false" ht="17.6" hidden="false" customHeight="false" outlineLevel="0" collapsed="false">
      <c r="A1718" s="91" t="s">
        <v>1939</v>
      </c>
      <c r="B1718" s="90" t="s">
        <v>1164</v>
      </c>
      <c r="C1718" s="90" t="n">
        <v>23</v>
      </c>
      <c r="D1718" s="90" t="s">
        <v>1165</v>
      </c>
    </row>
    <row r="1719" customFormat="false" ht="17.6" hidden="false" customHeight="false" outlineLevel="0" collapsed="false">
      <c r="A1719" s="91" t="s">
        <v>56</v>
      </c>
      <c r="B1719" s="90" t="s">
        <v>1164</v>
      </c>
      <c r="C1719" s="90" t="n">
        <v>65</v>
      </c>
      <c r="D1719" s="90" t="s">
        <v>1165</v>
      </c>
    </row>
    <row r="1720" customFormat="false" ht="17.6" hidden="false" customHeight="false" outlineLevel="0" collapsed="false">
      <c r="A1720" s="91" t="s">
        <v>1940</v>
      </c>
      <c r="B1720" s="90" t="s">
        <v>1164</v>
      </c>
      <c r="C1720" s="90" t="n">
        <v>70</v>
      </c>
      <c r="D1720" s="90" t="s">
        <v>1165</v>
      </c>
    </row>
    <row r="1721" customFormat="false" ht="17.6" hidden="false" customHeight="false" outlineLevel="0" collapsed="false">
      <c r="A1721" s="91" t="s">
        <v>1941</v>
      </c>
      <c r="B1721" s="90" t="s">
        <v>1164</v>
      </c>
      <c r="C1721" s="90" t="n">
        <v>95</v>
      </c>
      <c r="D1721" s="90" t="s">
        <v>1165</v>
      </c>
    </row>
    <row r="1722" customFormat="false" ht="17.6" hidden="false" customHeight="false" outlineLevel="0" collapsed="false">
      <c r="A1722" s="91" t="s">
        <v>1942</v>
      </c>
      <c r="B1722" s="90" t="s">
        <v>1164</v>
      </c>
      <c r="C1722" s="90" t="n">
        <v>23</v>
      </c>
      <c r="D1722" s="90" t="s">
        <v>1165</v>
      </c>
    </row>
    <row r="1723" customFormat="false" ht="17.6" hidden="false" customHeight="false" outlineLevel="0" collapsed="false">
      <c r="A1723" s="91" t="s">
        <v>1943</v>
      </c>
      <c r="B1723" s="90" t="s">
        <v>1164</v>
      </c>
      <c r="C1723" s="90" t="n">
        <v>120</v>
      </c>
      <c r="D1723" s="90" t="s">
        <v>1165</v>
      </c>
    </row>
    <row r="1724" customFormat="false" ht="17.6" hidden="false" customHeight="false" outlineLevel="0" collapsed="false">
      <c r="A1724" s="91" t="s">
        <v>1944</v>
      </c>
      <c r="B1724" s="90" t="s">
        <v>1164</v>
      </c>
      <c r="C1724" s="90" t="n">
        <v>150</v>
      </c>
      <c r="D1724" s="90" t="s">
        <v>1165</v>
      </c>
    </row>
    <row r="1725" customFormat="false" ht="17.6" hidden="false" customHeight="false" outlineLevel="0" collapsed="false">
      <c r="A1725" s="91" t="s">
        <v>1945</v>
      </c>
      <c r="B1725" s="90" t="s">
        <v>1164</v>
      </c>
      <c r="C1725" s="90" t="n">
        <v>23</v>
      </c>
      <c r="D1725" s="90" t="s">
        <v>1165</v>
      </c>
    </row>
    <row r="1726" customFormat="false" ht="17.6" hidden="false" customHeight="false" outlineLevel="0" collapsed="false">
      <c r="A1726" s="91" t="s">
        <v>1946</v>
      </c>
      <c r="B1726" s="90" t="s">
        <v>1164</v>
      </c>
      <c r="C1726" s="90" t="n">
        <v>150</v>
      </c>
      <c r="D1726" s="90" t="s">
        <v>1165</v>
      </c>
    </row>
    <row r="1727" customFormat="false" ht="17.6" hidden="false" customHeight="false" outlineLevel="0" collapsed="false">
      <c r="A1727" s="91" t="s">
        <v>1947</v>
      </c>
      <c r="B1727" s="90" t="s">
        <v>1164</v>
      </c>
      <c r="C1727" s="90" t="n">
        <v>200</v>
      </c>
      <c r="D1727" s="90" t="s">
        <v>1165</v>
      </c>
    </row>
    <row r="1728" customFormat="false" ht="17.6" hidden="false" customHeight="false" outlineLevel="0" collapsed="false">
      <c r="A1728" s="91" t="s">
        <v>1948</v>
      </c>
      <c r="B1728" s="90" t="s">
        <v>1164</v>
      </c>
      <c r="C1728" s="90" t="n">
        <v>28</v>
      </c>
      <c r="D1728" s="90" t="s">
        <v>1165</v>
      </c>
    </row>
    <row r="1729" customFormat="false" ht="17.6" hidden="false" customHeight="false" outlineLevel="0" collapsed="false">
      <c r="A1729" s="91" t="s">
        <v>1949</v>
      </c>
      <c r="B1729" s="90" t="s">
        <v>1164</v>
      </c>
      <c r="C1729" s="90" t="n">
        <v>300</v>
      </c>
      <c r="D1729" s="90" t="s">
        <v>1165</v>
      </c>
    </row>
    <row r="1730" customFormat="false" ht="17.6" hidden="false" customHeight="false" outlineLevel="0" collapsed="false">
      <c r="A1730" s="91" t="s">
        <v>1950</v>
      </c>
      <c r="B1730" s="90" t="s">
        <v>1164</v>
      </c>
      <c r="C1730" s="90" t="n">
        <f aca="false">ROUND(E1730,0)</f>
        <v>23</v>
      </c>
      <c r="D1730" s="90" t="s">
        <v>1165</v>
      </c>
      <c r="E1730" s="90" t="n">
        <v>23</v>
      </c>
    </row>
    <row r="1731" customFormat="false" ht="17.6" hidden="false" customHeight="false" outlineLevel="0" collapsed="false">
      <c r="A1731" s="91" t="s">
        <v>1951</v>
      </c>
      <c r="B1731" s="90" t="s">
        <v>1164</v>
      </c>
      <c r="C1731" s="90" t="n">
        <v>32</v>
      </c>
      <c r="D1731" s="90" t="s">
        <v>1165</v>
      </c>
    </row>
    <row r="1732" customFormat="false" ht="17.6" hidden="false" customHeight="false" outlineLevel="0" collapsed="false">
      <c r="A1732" s="91" t="s">
        <v>1952</v>
      </c>
      <c r="B1732" s="90" t="s">
        <v>1164</v>
      </c>
      <c r="C1732" s="90" t="n">
        <v>500</v>
      </c>
      <c r="D1732" s="90" t="s">
        <v>1165</v>
      </c>
    </row>
    <row r="1733" customFormat="false" ht="17.6" hidden="false" customHeight="false" outlineLevel="0" collapsed="false">
      <c r="A1733" s="91" t="s">
        <v>54</v>
      </c>
      <c r="B1733" s="90" t="s">
        <v>1164</v>
      </c>
      <c r="C1733" s="90" t="n">
        <v>28</v>
      </c>
      <c r="D1733" s="90" t="s">
        <v>1165</v>
      </c>
      <c r="E1733" s="90" t="n">
        <v>32</v>
      </c>
    </row>
    <row r="1734" customFormat="false" ht="17.6" hidden="false" customHeight="false" outlineLevel="0" collapsed="false">
      <c r="A1734" s="91" t="s">
        <v>1953</v>
      </c>
      <c r="B1734" s="90" t="s">
        <v>1164</v>
      </c>
      <c r="C1734" s="90" t="n">
        <v>32</v>
      </c>
      <c r="D1734" s="90" t="s">
        <v>1165</v>
      </c>
    </row>
    <row r="1735" customFormat="false" ht="17.6" hidden="false" customHeight="false" outlineLevel="0" collapsed="false">
      <c r="A1735" s="91" t="s">
        <v>55</v>
      </c>
      <c r="B1735" s="90" t="s">
        <v>1164</v>
      </c>
      <c r="C1735" s="90" t="n">
        <v>45</v>
      </c>
      <c r="D1735" s="90" t="s">
        <v>1165</v>
      </c>
    </row>
    <row r="1736" customFormat="false" ht="17.6" hidden="false" customHeight="false" outlineLevel="0" collapsed="false">
      <c r="A1736" s="91" t="s">
        <v>1954</v>
      </c>
      <c r="B1736" s="90" t="s">
        <v>1164</v>
      </c>
      <c r="C1736" s="90" t="n">
        <v>75</v>
      </c>
      <c r="D1736" s="90" t="s">
        <v>1165</v>
      </c>
    </row>
    <row r="1737" customFormat="false" ht="17.6" hidden="false" customHeight="false" outlineLevel="0" collapsed="false">
      <c r="A1737" s="91" t="s">
        <v>1955</v>
      </c>
      <c r="B1737" s="90" t="s">
        <v>984</v>
      </c>
      <c r="C1737" s="90" t="n">
        <v>780</v>
      </c>
      <c r="D1737" s="90" t="s">
        <v>1374</v>
      </c>
    </row>
    <row r="1738" customFormat="false" ht="17.6" hidden="false" customHeight="false" outlineLevel="0" collapsed="false">
      <c r="A1738" s="91" t="s">
        <v>1956</v>
      </c>
      <c r="B1738" s="90" t="s">
        <v>988</v>
      </c>
      <c r="C1738" s="90" t="n">
        <v>1180</v>
      </c>
      <c r="D1738" s="90" t="s">
        <v>1374</v>
      </c>
    </row>
    <row r="1739" customFormat="false" ht="17.6" hidden="false" customHeight="false" outlineLevel="0" collapsed="false">
      <c r="A1739" s="91" t="s">
        <v>1957</v>
      </c>
      <c r="B1739" s="90" t="s">
        <v>1902</v>
      </c>
      <c r="C1739" s="90" t="n">
        <v>458</v>
      </c>
      <c r="D1739" s="90" t="s">
        <v>1958</v>
      </c>
    </row>
    <row r="1740" customFormat="false" ht="17.6" hidden="false" customHeight="false" outlineLevel="0" collapsed="false">
      <c r="A1740" s="91" t="s">
        <v>1959</v>
      </c>
      <c r="B1740" s="90" t="s">
        <v>1902</v>
      </c>
      <c r="C1740" s="90" t="n">
        <v>285</v>
      </c>
      <c r="D1740" s="90" t="s">
        <v>1958</v>
      </c>
    </row>
    <row r="1741" customFormat="false" ht="17.6" hidden="false" customHeight="false" outlineLevel="0" collapsed="false">
      <c r="A1741" s="91" t="s">
        <v>1960</v>
      </c>
      <c r="B1741" s="90" t="s">
        <v>1902</v>
      </c>
      <c r="C1741" s="90" t="n">
        <v>547</v>
      </c>
      <c r="D1741" s="90" t="s">
        <v>1958</v>
      </c>
    </row>
    <row r="1742" customFormat="false" ht="17.6" hidden="false" customHeight="false" outlineLevel="0" collapsed="false">
      <c r="A1742" s="91" t="s">
        <v>1961</v>
      </c>
      <c r="B1742" s="90" t="s">
        <v>1902</v>
      </c>
      <c r="C1742" s="90" t="n">
        <v>292</v>
      </c>
      <c r="D1742" s="90" t="s">
        <v>1958</v>
      </c>
    </row>
    <row r="1743" customFormat="false" ht="17.6" hidden="false" customHeight="false" outlineLevel="0" collapsed="false">
      <c r="A1743" s="91" t="s">
        <v>1962</v>
      </c>
      <c r="B1743" s="90" t="s">
        <v>1902</v>
      </c>
      <c r="C1743" s="90" t="n">
        <v>298</v>
      </c>
      <c r="D1743" s="90" t="s">
        <v>1958</v>
      </c>
    </row>
    <row r="1744" customFormat="false" ht="17.6" hidden="false" customHeight="false" outlineLevel="0" collapsed="false">
      <c r="A1744" s="91" t="s">
        <v>1963</v>
      </c>
      <c r="B1744" s="90" t="s">
        <v>1902</v>
      </c>
      <c r="C1744" s="90" t="n">
        <v>305</v>
      </c>
      <c r="D1744" s="90" t="s">
        <v>1958</v>
      </c>
    </row>
    <row r="1745" customFormat="false" ht="17.6" hidden="false" customHeight="false" outlineLevel="0" collapsed="false">
      <c r="A1745" s="91" t="s">
        <v>1964</v>
      </c>
      <c r="B1745" s="90" t="s">
        <v>1902</v>
      </c>
      <c r="C1745" s="90" t="n">
        <v>327</v>
      </c>
      <c r="D1745" s="90" t="s">
        <v>1958</v>
      </c>
    </row>
    <row r="1746" customFormat="false" ht="17.6" hidden="false" customHeight="false" outlineLevel="0" collapsed="false">
      <c r="A1746" s="91" t="s">
        <v>1965</v>
      </c>
      <c r="B1746" s="90" t="s">
        <v>1902</v>
      </c>
      <c r="C1746" s="90" t="n">
        <v>354</v>
      </c>
      <c r="D1746" s="90" t="s">
        <v>1958</v>
      </c>
    </row>
    <row r="1747" customFormat="false" ht="17.6" hidden="false" customHeight="false" outlineLevel="0" collapsed="false">
      <c r="A1747" s="91" t="s">
        <v>1966</v>
      </c>
      <c r="B1747" s="90" t="s">
        <v>1902</v>
      </c>
      <c r="C1747" s="90" t="n">
        <v>367</v>
      </c>
      <c r="D1747" s="90" t="s">
        <v>1958</v>
      </c>
    </row>
    <row r="1748" customFormat="false" ht="17.6" hidden="false" customHeight="false" outlineLevel="0" collapsed="false">
      <c r="A1748" s="91" t="s">
        <v>1967</v>
      </c>
      <c r="B1748" s="90" t="s">
        <v>1902</v>
      </c>
      <c r="C1748" s="90" t="n">
        <v>279</v>
      </c>
      <c r="D1748" s="90" t="s">
        <v>1958</v>
      </c>
    </row>
    <row r="1749" customFormat="false" ht="17.6" hidden="false" customHeight="false" outlineLevel="0" collapsed="false">
      <c r="A1749" s="91" t="s">
        <v>1968</v>
      </c>
      <c r="B1749" s="90" t="s">
        <v>1902</v>
      </c>
      <c r="C1749" s="90" t="n">
        <v>376</v>
      </c>
      <c r="D1749" s="90" t="s">
        <v>1958</v>
      </c>
    </row>
    <row r="1750" customFormat="false" ht="17.6" hidden="false" customHeight="false" outlineLevel="0" collapsed="false">
      <c r="A1750" s="91" t="s">
        <v>1969</v>
      </c>
      <c r="B1750" s="90" t="s">
        <v>1902</v>
      </c>
      <c r="C1750" s="90" t="n">
        <v>392</v>
      </c>
      <c r="D1750" s="90" t="s">
        <v>1958</v>
      </c>
    </row>
    <row r="1751" customFormat="false" ht="17.6" hidden="false" customHeight="false" outlineLevel="0" collapsed="false">
      <c r="A1751" s="91" t="s">
        <v>1970</v>
      </c>
      <c r="B1751" s="90" t="s">
        <v>1902</v>
      </c>
      <c r="C1751" s="90" t="n">
        <v>392</v>
      </c>
      <c r="D1751" s="90" t="s">
        <v>1958</v>
      </c>
    </row>
    <row r="1752" customFormat="false" ht="17.6" hidden="false" customHeight="false" outlineLevel="0" collapsed="false">
      <c r="A1752" s="91" t="s">
        <v>1971</v>
      </c>
      <c r="B1752" s="90" t="s">
        <v>1328</v>
      </c>
      <c r="C1752" s="90" t="n">
        <v>458</v>
      </c>
      <c r="D1752" s="90" t="s">
        <v>1958</v>
      </c>
    </row>
    <row r="1753" customFormat="false" ht="17.6" hidden="false" customHeight="false" outlineLevel="0" collapsed="false">
      <c r="A1753" s="91" t="s">
        <v>1972</v>
      </c>
      <c r="B1753" s="90" t="s">
        <v>1328</v>
      </c>
      <c r="C1753" s="90" t="n">
        <v>395</v>
      </c>
      <c r="D1753" s="90" t="s">
        <v>1958</v>
      </c>
    </row>
    <row r="1754" customFormat="false" ht="17.6" hidden="false" customHeight="false" outlineLevel="0" collapsed="false">
      <c r="A1754" s="91" t="s">
        <v>1973</v>
      </c>
      <c r="B1754" s="90" t="s">
        <v>1922</v>
      </c>
      <c r="C1754" s="90" t="n">
        <v>120</v>
      </c>
      <c r="D1754" s="90" t="s">
        <v>897</v>
      </c>
      <c r="G1754" s="90" t="n">
        <f aca="false">1600*0.7+150</f>
        <v>1270</v>
      </c>
    </row>
    <row r="1755" customFormat="false" ht="17.6" hidden="false" customHeight="false" outlineLevel="0" collapsed="false">
      <c r="A1755" s="91" t="s">
        <v>1974</v>
      </c>
      <c r="B1755" s="90" t="s">
        <v>40</v>
      </c>
      <c r="C1755" s="90" t="n">
        <f aca="false">1200*0.65</f>
        <v>780</v>
      </c>
      <c r="D1755" s="90" t="s">
        <v>1975</v>
      </c>
    </row>
    <row r="1756" customFormat="false" ht="17.6" hidden="false" customHeight="false" outlineLevel="0" collapsed="false">
      <c r="A1756" s="91" t="s">
        <v>1976</v>
      </c>
      <c r="B1756" s="90" t="s">
        <v>49</v>
      </c>
      <c r="C1756" s="90" t="n">
        <f aca="false">11800*0.65+500+100</f>
        <v>8270</v>
      </c>
      <c r="D1756" s="90" t="s">
        <v>1975</v>
      </c>
    </row>
    <row r="1757" customFormat="false" ht="17.6" hidden="false" customHeight="false" outlineLevel="0" collapsed="false">
      <c r="A1757" s="91" t="s">
        <v>1977</v>
      </c>
      <c r="B1757" s="90" t="s">
        <v>40</v>
      </c>
      <c r="C1757" s="90" t="n">
        <f aca="false">ROUND(E1757,0)</f>
        <v>1920</v>
      </c>
      <c r="D1757" s="90" t="s">
        <v>1978</v>
      </c>
      <c r="E1757" s="90" t="n">
        <f aca="false">2100*0.7+50+400</f>
        <v>1920</v>
      </c>
    </row>
    <row r="1758" customFormat="false" ht="17.6" hidden="false" customHeight="false" outlineLevel="0" collapsed="false">
      <c r="A1758" s="91" t="s">
        <v>1979</v>
      </c>
      <c r="B1758" s="90" t="s">
        <v>40</v>
      </c>
      <c r="C1758" s="90" t="n">
        <f aca="false">ROUND(E1758,0)</f>
        <v>2470</v>
      </c>
      <c r="D1758" s="90" t="s">
        <v>1978</v>
      </c>
      <c r="E1758" s="90" t="n">
        <f aca="false">2600*0.7+50+600</f>
        <v>2470</v>
      </c>
    </row>
    <row r="1759" customFormat="false" ht="17.6" hidden="false" customHeight="false" outlineLevel="0" collapsed="false">
      <c r="A1759" s="91" t="s">
        <v>1980</v>
      </c>
      <c r="B1759" s="90" t="s">
        <v>40</v>
      </c>
      <c r="C1759" s="90" t="n">
        <f aca="false">ROUND(E1759,0)</f>
        <v>891</v>
      </c>
      <c r="D1759" s="90" t="s">
        <v>1978</v>
      </c>
      <c r="E1759" s="90" t="n">
        <f aca="false">950*0.7+36+190</f>
        <v>891</v>
      </c>
    </row>
    <row r="1760" customFormat="false" ht="17.6" hidden="false" customHeight="false" outlineLevel="0" collapsed="false">
      <c r="A1760" s="91" t="s">
        <v>1981</v>
      </c>
      <c r="B1760" s="90" t="s">
        <v>40</v>
      </c>
      <c r="C1760" s="90" t="n">
        <f aca="false">ROUND(E1760,0)</f>
        <v>996</v>
      </c>
      <c r="D1760" s="90" t="s">
        <v>1978</v>
      </c>
      <c r="E1760" s="90" t="n">
        <f aca="false">1100*0.7+36+190</f>
        <v>996</v>
      </c>
    </row>
    <row r="1761" customFormat="false" ht="17.6" hidden="false" customHeight="false" outlineLevel="0" collapsed="false">
      <c r="A1761" s="91" t="s">
        <v>1982</v>
      </c>
      <c r="B1761" s="90" t="s">
        <v>40</v>
      </c>
      <c r="C1761" s="90" t="n">
        <f aca="false">ROUND(E1761,0)</f>
        <v>531</v>
      </c>
      <c r="D1761" s="90" t="s">
        <v>1978</v>
      </c>
      <c r="E1761" s="90" t="n">
        <f aca="false">570*0.7+32+100</f>
        <v>531</v>
      </c>
    </row>
    <row r="1762" customFormat="false" ht="17.6" hidden="false" customHeight="false" outlineLevel="0" collapsed="false">
      <c r="A1762" s="91" t="s">
        <v>1983</v>
      </c>
      <c r="B1762" s="90" t="s">
        <v>1922</v>
      </c>
      <c r="C1762" s="90" t="n">
        <v>980</v>
      </c>
      <c r="D1762" s="90" t="s">
        <v>1984</v>
      </c>
    </row>
    <row r="1763" customFormat="false" ht="17.6" hidden="false" customHeight="false" outlineLevel="0" collapsed="false">
      <c r="A1763" s="91" t="s">
        <v>1985</v>
      </c>
      <c r="B1763" s="90" t="s">
        <v>1333</v>
      </c>
      <c r="C1763" s="90" t="n">
        <v>516</v>
      </c>
      <c r="D1763" s="90" t="s">
        <v>1374</v>
      </c>
    </row>
    <row r="1764" customFormat="false" ht="17.6" hidden="false" customHeight="false" outlineLevel="0" collapsed="false">
      <c r="A1764" s="91" t="s">
        <v>1986</v>
      </c>
      <c r="B1764" s="90" t="s">
        <v>896</v>
      </c>
      <c r="C1764" s="90" t="n">
        <v>720</v>
      </c>
      <c r="D1764" s="90" t="s">
        <v>1984</v>
      </c>
    </row>
    <row r="1765" customFormat="false" ht="17.6" hidden="false" customHeight="false" outlineLevel="0" collapsed="false">
      <c r="A1765" s="91" t="s">
        <v>1987</v>
      </c>
      <c r="B1765" s="90" t="s">
        <v>896</v>
      </c>
      <c r="C1765" s="90" t="n">
        <v>1000</v>
      </c>
      <c r="D1765" s="90" t="s">
        <v>1984</v>
      </c>
    </row>
    <row r="1766" customFormat="false" ht="17.6" hidden="false" customHeight="false" outlineLevel="0" collapsed="false">
      <c r="A1766" s="91" t="s">
        <v>1988</v>
      </c>
      <c r="B1766" s="90" t="s">
        <v>237</v>
      </c>
      <c r="C1766" s="90" t="n">
        <f aca="false">83*0.65</f>
        <v>53.95</v>
      </c>
      <c r="D1766" s="90" t="s">
        <v>1989</v>
      </c>
    </row>
    <row r="1767" customFormat="false" ht="17.6" hidden="false" customHeight="false" outlineLevel="0" collapsed="false">
      <c r="A1767" s="91" t="s">
        <v>1990</v>
      </c>
      <c r="B1767" s="90" t="s">
        <v>237</v>
      </c>
      <c r="C1767" s="90" t="n">
        <f aca="false">64*0.65</f>
        <v>41.6</v>
      </c>
      <c r="D1767" s="90" t="s">
        <v>1989</v>
      </c>
    </row>
    <row r="1768" customFormat="false" ht="17.6" hidden="false" customHeight="false" outlineLevel="0" collapsed="false">
      <c r="A1768" s="91" t="s">
        <v>1991</v>
      </c>
      <c r="B1768" s="90" t="s">
        <v>237</v>
      </c>
      <c r="C1768" s="90" t="n">
        <f aca="false">97*0.65</f>
        <v>63.05</v>
      </c>
      <c r="D1768" s="90" t="s">
        <v>1989</v>
      </c>
    </row>
    <row r="1769" customFormat="false" ht="17.6" hidden="false" customHeight="false" outlineLevel="0" collapsed="false">
      <c r="A1769" s="91" t="s">
        <v>1992</v>
      </c>
      <c r="B1769" s="90" t="s">
        <v>40</v>
      </c>
      <c r="C1769" s="90" t="n">
        <f aca="false">420*0.7</f>
        <v>294</v>
      </c>
      <c r="D1769" s="90" t="s">
        <v>1989</v>
      </c>
    </row>
    <row r="1770" customFormat="false" ht="17.6" hidden="false" customHeight="false" outlineLevel="0" collapsed="false">
      <c r="A1770" s="91" t="s">
        <v>1993</v>
      </c>
      <c r="B1770" s="90" t="s">
        <v>40</v>
      </c>
      <c r="C1770" s="90" t="n">
        <f aca="false">300*0.7+150</f>
        <v>360</v>
      </c>
      <c r="D1770" s="90" t="s">
        <v>1989</v>
      </c>
    </row>
    <row r="1771" customFormat="false" ht="17.6" hidden="false" customHeight="false" outlineLevel="0" collapsed="false">
      <c r="A1771" s="91" t="s">
        <v>1994</v>
      </c>
      <c r="B1771" s="90" t="s">
        <v>40</v>
      </c>
      <c r="C1771" s="90" t="n">
        <f aca="false">500*0.7+180</f>
        <v>530</v>
      </c>
      <c r="D1771" s="90" t="s">
        <v>1989</v>
      </c>
    </row>
    <row r="1772" customFormat="false" ht="17.6" hidden="false" customHeight="false" outlineLevel="0" collapsed="false">
      <c r="A1772" s="91" t="s">
        <v>1995</v>
      </c>
      <c r="B1772" s="90" t="s">
        <v>40</v>
      </c>
      <c r="C1772" s="90" t="n">
        <f aca="false">600*0.7+220</f>
        <v>640</v>
      </c>
      <c r="D1772" s="90" t="s">
        <v>1989</v>
      </c>
    </row>
    <row r="1773" customFormat="false" ht="17.6" hidden="false" customHeight="false" outlineLevel="0" collapsed="false">
      <c r="A1773" s="91" t="s">
        <v>1996</v>
      </c>
      <c r="B1773" s="90" t="s">
        <v>40</v>
      </c>
      <c r="C1773" s="90" t="n">
        <f aca="false">760*0.7</f>
        <v>532</v>
      </c>
      <c r="D1773" s="90" t="s">
        <v>1989</v>
      </c>
    </row>
    <row r="1774" customFormat="false" ht="17.6" hidden="false" customHeight="false" outlineLevel="0" collapsed="false">
      <c r="A1774" s="91" t="s">
        <v>1997</v>
      </c>
      <c r="B1774" s="90" t="s">
        <v>40</v>
      </c>
      <c r="C1774" s="90" t="n">
        <f aca="false">1000*0.7+300</f>
        <v>1000</v>
      </c>
      <c r="D1774" s="90" t="s">
        <v>1989</v>
      </c>
    </row>
    <row r="1775" customFormat="false" ht="17.6" hidden="false" customHeight="false" outlineLevel="0" collapsed="false">
      <c r="A1775" s="91" t="s">
        <v>1998</v>
      </c>
      <c r="B1775" s="90" t="s">
        <v>40</v>
      </c>
      <c r="C1775" s="90" t="n">
        <f aca="false">1000*0.7</f>
        <v>700</v>
      </c>
      <c r="D1775" s="90" t="s">
        <v>1989</v>
      </c>
    </row>
    <row r="1776" customFormat="false" ht="17.6" hidden="false" customHeight="false" outlineLevel="0" collapsed="false">
      <c r="A1776" s="91" t="s">
        <v>1999</v>
      </c>
      <c r="B1776" s="90" t="s">
        <v>40</v>
      </c>
      <c r="C1776" s="90" t="n">
        <f aca="false">1300*0.7+650+300</f>
        <v>1860</v>
      </c>
      <c r="D1776" s="90" t="s">
        <v>1989</v>
      </c>
    </row>
    <row r="1777" customFormat="false" ht="17.6" hidden="false" customHeight="false" outlineLevel="0" collapsed="false">
      <c r="A1777" s="91" t="s">
        <v>2000</v>
      </c>
      <c r="B1777" s="90" t="s">
        <v>40</v>
      </c>
      <c r="C1777" s="90" t="n">
        <f aca="false">1300*0.7+650</f>
        <v>1560</v>
      </c>
      <c r="D1777" s="90" t="s">
        <v>1989</v>
      </c>
    </row>
    <row r="1778" customFormat="false" ht="17.6" hidden="false" customHeight="false" outlineLevel="0" collapsed="false">
      <c r="A1778" s="91" t="s">
        <v>2001</v>
      </c>
      <c r="B1778" s="90" t="s">
        <v>40</v>
      </c>
      <c r="C1778" s="90" t="n">
        <f aca="false">1300*0.7</f>
        <v>910</v>
      </c>
      <c r="D1778" s="90" t="s">
        <v>1989</v>
      </c>
    </row>
    <row r="1779" customFormat="false" ht="17.6" hidden="false" customHeight="false" outlineLevel="0" collapsed="false">
      <c r="A1779" s="91" t="s">
        <v>2002</v>
      </c>
      <c r="B1779" s="90" t="s">
        <v>40</v>
      </c>
      <c r="C1779" s="90" t="n">
        <f aca="false">2500*0.7+800</f>
        <v>2550</v>
      </c>
      <c r="D1779" s="90" t="s">
        <v>1989</v>
      </c>
    </row>
    <row r="1780" customFormat="false" ht="17.6" hidden="false" customHeight="false" outlineLevel="0" collapsed="false">
      <c r="A1780" s="91" t="s">
        <v>2003</v>
      </c>
      <c r="B1780" s="90" t="s">
        <v>40</v>
      </c>
      <c r="C1780" s="90" t="n">
        <f aca="false">585*0.7+40</f>
        <v>449.5</v>
      </c>
      <c r="D1780" s="90" t="s">
        <v>1989</v>
      </c>
    </row>
    <row r="1781" customFormat="false" ht="17.6" hidden="false" customHeight="false" outlineLevel="0" collapsed="false">
      <c r="A1781" s="91" t="s">
        <v>2004</v>
      </c>
      <c r="B1781" s="90" t="s">
        <v>40</v>
      </c>
      <c r="C1781" s="90" t="n">
        <f aca="false">1040*0.7+40</f>
        <v>768</v>
      </c>
      <c r="D1781" s="90" t="s">
        <v>1989</v>
      </c>
    </row>
    <row r="1782" customFormat="false" ht="17.6" hidden="false" customHeight="false" outlineLevel="0" collapsed="false">
      <c r="A1782" s="91" t="s">
        <v>2005</v>
      </c>
      <c r="B1782" s="90" t="s">
        <v>40</v>
      </c>
      <c r="C1782" s="90" t="n">
        <f aca="false">1800*0.7+50</f>
        <v>1310</v>
      </c>
      <c r="D1782" s="90" t="s">
        <v>1989</v>
      </c>
    </row>
    <row r="1783" customFormat="false" ht="17.6" hidden="false" customHeight="false" outlineLevel="0" collapsed="false">
      <c r="A1783" s="91" t="s">
        <v>2006</v>
      </c>
      <c r="B1783" s="90" t="s">
        <v>49</v>
      </c>
      <c r="C1783" s="90" t="n">
        <f aca="false">11350*0.75+4100+500+400*2+100+300</f>
        <v>14312.5</v>
      </c>
      <c r="D1783" s="90" t="s">
        <v>1989</v>
      </c>
    </row>
    <row r="1784" customFormat="false" ht="18" hidden="false" customHeight="false" outlineLevel="0" collapsed="false">
      <c r="A1784" s="91" t="s">
        <v>2007</v>
      </c>
      <c r="B1784" s="90" t="s">
        <v>49</v>
      </c>
      <c r="C1784" s="90" t="n">
        <f aca="false">9350*0.75+4100+500+400*2+100+300</f>
        <v>12812.5</v>
      </c>
      <c r="D1784" s="90" t="s">
        <v>1989</v>
      </c>
    </row>
    <row r="1785" customFormat="false" ht="18" hidden="false" customHeight="false" outlineLevel="0" collapsed="false">
      <c r="A1785" s="91" t="s">
        <v>2008</v>
      </c>
      <c r="B1785" s="90" t="s">
        <v>49</v>
      </c>
      <c r="C1785" s="90" t="n">
        <f aca="false">10350*0.75+4100+500+400*2+100+300</f>
        <v>13562.5</v>
      </c>
      <c r="D1785" s="90" t="s">
        <v>1989</v>
      </c>
    </row>
    <row r="1786" customFormat="false" ht="17.6" hidden="false" customHeight="false" outlineLevel="0" collapsed="false">
      <c r="A1786" s="91" t="s">
        <v>2009</v>
      </c>
      <c r="B1786" s="90" t="s">
        <v>49</v>
      </c>
      <c r="C1786" s="90" t="n">
        <f aca="false">26750*0.75+4200+500+400+400+150+300+160</f>
        <v>26172.5</v>
      </c>
      <c r="D1786" s="90" t="s">
        <v>1989</v>
      </c>
    </row>
    <row r="1787" customFormat="false" ht="17.6" hidden="false" customHeight="false" outlineLevel="0" collapsed="false">
      <c r="A1787" s="91" t="s">
        <v>2010</v>
      </c>
      <c r="B1787" s="90" t="s">
        <v>49</v>
      </c>
      <c r="C1787" s="90" t="n">
        <f aca="false">29350*0.75+4200+500+400*2+150+160</f>
        <v>27822.5</v>
      </c>
      <c r="D1787" s="90" t="s">
        <v>1989</v>
      </c>
    </row>
    <row r="1788" customFormat="false" ht="17.6" hidden="false" customHeight="false" outlineLevel="0" collapsed="false">
      <c r="A1788" s="91" t="s">
        <v>2011</v>
      </c>
      <c r="B1788" s="90" t="s">
        <v>49</v>
      </c>
      <c r="C1788" s="90" t="n">
        <f aca="false">37450*0.75+4200+500+400*2+150+160</f>
        <v>33897.5</v>
      </c>
      <c r="D1788" s="90" t="s">
        <v>1989</v>
      </c>
    </row>
    <row r="1789" customFormat="false" ht="17.6" hidden="false" customHeight="false" outlineLevel="0" collapsed="false">
      <c r="A1789" s="91" t="s">
        <v>2012</v>
      </c>
      <c r="B1789" s="90" t="s">
        <v>49</v>
      </c>
      <c r="C1789" s="90" t="n">
        <f aca="false">86750*0.75+7000+800+600*2+200+400</f>
        <v>74662.5</v>
      </c>
      <c r="D1789" s="90" t="s">
        <v>1989</v>
      </c>
    </row>
    <row r="1790" customFormat="false" ht="17.6" hidden="false" customHeight="false" outlineLevel="0" collapsed="false">
      <c r="A1790" s="91" t="s">
        <v>2013</v>
      </c>
      <c r="B1790" s="90" t="s">
        <v>873</v>
      </c>
      <c r="C1790" s="90" t="n">
        <f aca="false">2650*0.65</f>
        <v>1722.5</v>
      </c>
      <c r="D1790" s="90" t="s">
        <v>1989</v>
      </c>
    </row>
    <row r="1791" customFormat="false" ht="17.6" hidden="false" customHeight="false" outlineLevel="0" collapsed="false">
      <c r="A1791" s="91" t="s">
        <v>2014</v>
      </c>
      <c r="B1791" s="90" t="s">
        <v>873</v>
      </c>
      <c r="C1791" s="90" t="n">
        <f aca="false">3200*0.65</f>
        <v>2080</v>
      </c>
      <c r="D1791" s="90" t="s">
        <v>1989</v>
      </c>
    </row>
    <row r="1792" customFormat="false" ht="17.6" hidden="false" customHeight="false" outlineLevel="0" collapsed="false">
      <c r="A1792" s="91" t="s">
        <v>2015</v>
      </c>
      <c r="B1792" s="90" t="s">
        <v>1140</v>
      </c>
      <c r="C1792" s="90" t="n">
        <f aca="false">350*0.76</f>
        <v>266</v>
      </c>
      <c r="D1792" s="90" t="s">
        <v>163</v>
      </c>
    </row>
    <row r="1793" customFormat="false" ht="17.6" hidden="false" customHeight="false" outlineLevel="0" collapsed="false">
      <c r="A1793" s="91" t="s">
        <v>2016</v>
      </c>
      <c r="B1793" s="90" t="s">
        <v>1140</v>
      </c>
      <c r="C1793" s="90" t="n">
        <f aca="false">450*0.76</f>
        <v>342</v>
      </c>
      <c r="D1793" s="90" t="s">
        <v>163</v>
      </c>
    </row>
    <row r="1794" customFormat="false" ht="17.6" hidden="false" customHeight="false" outlineLevel="0" collapsed="false">
      <c r="A1794" s="91" t="s">
        <v>2017</v>
      </c>
      <c r="B1794" s="90" t="s">
        <v>1140</v>
      </c>
      <c r="C1794" s="90" t="n">
        <f aca="false">58*0.72</f>
        <v>41.76</v>
      </c>
      <c r="D1794" s="90" t="s">
        <v>163</v>
      </c>
    </row>
    <row r="1795" customFormat="false" ht="17.6" hidden="false" customHeight="false" outlineLevel="0" collapsed="false">
      <c r="A1795" s="91" t="s">
        <v>2018</v>
      </c>
      <c r="B1795" s="90" t="s">
        <v>1140</v>
      </c>
      <c r="C1795" s="90" t="n">
        <f aca="false">730*0.76</f>
        <v>554.8</v>
      </c>
      <c r="D1795" s="90" t="s">
        <v>163</v>
      </c>
    </row>
    <row r="1796" customFormat="false" ht="17.6" hidden="false" customHeight="false" outlineLevel="0" collapsed="false">
      <c r="A1796" s="91" t="s">
        <v>2019</v>
      </c>
      <c r="B1796" s="90" t="s">
        <v>1140</v>
      </c>
      <c r="C1796" s="90" t="n">
        <f aca="false">72*0.72</f>
        <v>51.84</v>
      </c>
      <c r="D1796" s="90" t="s">
        <v>163</v>
      </c>
    </row>
    <row r="1797" customFormat="false" ht="17.6" hidden="false" customHeight="false" outlineLevel="0" collapsed="false">
      <c r="A1797" s="91" t="s">
        <v>2020</v>
      </c>
      <c r="B1797" s="90" t="s">
        <v>1140</v>
      </c>
      <c r="C1797" s="90" t="n">
        <f aca="false">72*0.72</f>
        <v>51.84</v>
      </c>
      <c r="D1797" s="90" t="s">
        <v>163</v>
      </c>
    </row>
    <row r="1798" customFormat="false" ht="17.6" hidden="false" customHeight="false" outlineLevel="0" collapsed="false">
      <c r="A1798" s="91" t="s">
        <v>2021</v>
      </c>
      <c r="B1798" s="90" t="s">
        <v>1140</v>
      </c>
      <c r="C1798" s="90" t="n">
        <f aca="false">88*0.72</f>
        <v>63.36</v>
      </c>
      <c r="D1798" s="90" t="s">
        <v>163</v>
      </c>
    </row>
    <row r="1799" customFormat="false" ht="17.6" hidden="false" customHeight="false" outlineLevel="0" collapsed="false">
      <c r="A1799" s="91" t="s">
        <v>2022</v>
      </c>
      <c r="B1799" s="90" t="s">
        <v>1140</v>
      </c>
      <c r="C1799" s="90" t="n">
        <f aca="false">86*0.72</f>
        <v>61.92</v>
      </c>
      <c r="D1799" s="90" t="s">
        <v>163</v>
      </c>
    </row>
    <row r="1800" customFormat="false" ht="17.6" hidden="false" customHeight="false" outlineLevel="0" collapsed="false">
      <c r="A1800" s="91" t="s">
        <v>2023</v>
      </c>
      <c r="B1800" s="90" t="s">
        <v>1140</v>
      </c>
      <c r="C1800" s="90" t="n">
        <f aca="false">86*0.72</f>
        <v>61.92</v>
      </c>
      <c r="D1800" s="90" t="s">
        <v>163</v>
      </c>
    </row>
    <row r="1801" customFormat="false" ht="17.6" hidden="false" customHeight="false" outlineLevel="0" collapsed="false">
      <c r="A1801" s="91" t="s">
        <v>2024</v>
      </c>
      <c r="B1801" s="90" t="s">
        <v>1140</v>
      </c>
      <c r="C1801" s="90" t="n">
        <f aca="false">1200*0.76</f>
        <v>912</v>
      </c>
      <c r="D1801" s="90" t="s">
        <v>163</v>
      </c>
    </row>
    <row r="1802" customFormat="false" ht="17.6" hidden="false" customHeight="false" outlineLevel="0" collapsed="false">
      <c r="A1802" s="91" t="s">
        <v>2025</v>
      </c>
      <c r="B1802" s="90" t="s">
        <v>1140</v>
      </c>
      <c r="C1802" s="90" t="n">
        <f aca="false">1330*0.76</f>
        <v>1010.8</v>
      </c>
      <c r="D1802" s="90" t="s">
        <v>163</v>
      </c>
    </row>
    <row r="1803" customFormat="false" ht="17.6" hidden="false" customHeight="false" outlineLevel="0" collapsed="false">
      <c r="A1803" s="91" t="s">
        <v>2026</v>
      </c>
      <c r="B1803" s="90" t="s">
        <v>1140</v>
      </c>
      <c r="C1803" s="90" t="n">
        <f aca="false">1360*0.76</f>
        <v>1033.6</v>
      </c>
      <c r="D1803" s="90" t="s">
        <v>163</v>
      </c>
    </row>
    <row r="1804" customFormat="false" ht="17.6" hidden="false" customHeight="false" outlineLevel="0" collapsed="false">
      <c r="A1804" s="91" t="s">
        <v>2027</v>
      </c>
      <c r="B1804" s="90" t="s">
        <v>1140</v>
      </c>
      <c r="C1804" s="90" t="n">
        <f aca="false">90*0.72</f>
        <v>64.8</v>
      </c>
      <c r="D1804" s="90" t="s">
        <v>163</v>
      </c>
    </row>
    <row r="1805" customFormat="false" ht="17.6" hidden="false" customHeight="false" outlineLevel="0" collapsed="false">
      <c r="A1805" s="91" t="s">
        <v>2028</v>
      </c>
      <c r="B1805" s="90" t="s">
        <v>1140</v>
      </c>
      <c r="C1805" s="90" t="n">
        <f aca="false">98*0.72</f>
        <v>70.56</v>
      </c>
      <c r="D1805" s="90" t="s">
        <v>163</v>
      </c>
    </row>
    <row r="1806" customFormat="false" ht="17.6" hidden="false" customHeight="false" outlineLevel="0" collapsed="false">
      <c r="A1806" s="91" t="s">
        <v>2029</v>
      </c>
      <c r="B1806" s="90" t="s">
        <v>1140</v>
      </c>
      <c r="C1806" s="90" t="n">
        <f aca="false">92*0.72</f>
        <v>66.24</v>
      </c>
      <c r="D1806" s="90" t="s">
        <v>163</v>
      </c>
    </row>
    <row r="1807" customFormat="false" ht="17.6" hidden="false" customHeight="false" outlineLevel="0" collapsed="false">
      <c r="A1807" s="91" t="s">
        <v>2030</v>
      </c>
      <c r="B1807" s="90" t="s">
        <v>1140</v>
      </c>
      <c r="C1807" s="90" t="n">
        <f aca="false">192*0.72</f>
        <v>138.24</v>
      </c>
      <c r="D1807" s="90" t="s">
        <v>163</v>
      </c>
    </row>
    <row r="1808" customFormat="false" ht="17.6" hidden="false" customHeight="false" outlineLevel="0" collapsed="false">
      <c r="A1808" s="91" t="s">
        <v>2031</v>
      </c>
      <c r="B1808" s="90" t="s">
        <v>1140</v>
      </c>
      <c r="C1808" s="90" t="n">
        <f aca="false">198*0.72</f>
        <v>142.56</v>
      </c>
      <c r="D1808" s="90" t="s">
        <v>163</v>
      </c>
    </row>
    <row r="1809" customFormat="false" ht="17.6" hidden="false" customHeight="false" outlineLevel="0" collapsed="false">
      <c r="A1809" s="91" t="s">
        <v>2032</v>
      </c>
      <c r="B1809" s="90" t="s">
        <v>1140</v>
      </c>
      <c r="C1809" s="90" t="n">
        <f aca="false">192*0.72</f>
        <v>138.24</v>
      </c>
      <c r="D1809" s="90" t="s">
        <v>163</v>
      </c>
    </row>
    <row r="1810" customFormat="false" ht="17.6" hidden="false" customHeight="false" outlineLevel="0" collapsed="false">
      <c r="A1810" s="91" t="s">
        <v>2033</v>
      </c>
      <c r="B1810" s="90" t="s">
        <v>1140</v>
      </c>
      <c r="C1810" s="90" t="n">
        <f aca="false">193*0.72</f>
        <v>138.96</v>
      </c>
      <c r="D1810" s="90" t="s">
        <v>163</v>
      </c>
    </row>
    <row r="1811" customFormat="false" ht="17.6" hidden="false" customHeight="false" outlineLevel="0" collapsed="false">
      <c r="A1811" s="91" t="s">
        <v>2034</v>
      </c>
      <c r="B1811" s="90" t="s">
        <v>2035</v>
      </c>
      <c r="C1811" s="90" t="n">
        <v>85</v>
      </c>
      <c r="D1811" s="90" t="s">
        <v>1151</v>
      </c>
    </row>
    <row r="1812" customFormat="false" ht="17.6" hidden="false" customHeight="false" outlineLevel="0" collapsed="false">
      <c r="A1812" s="91" t="s">
        <v>2036</v>
      </c>
      <c r="B1812" s="90" t="s">
        <v>237</v>
      </c>
      <c r="C1812" s="90" t="n">
        <f aca="false">204.2*0.7</f>
        <v>142.94</v>
      </c>
      <c r="D1812" s="92" t="s">
        <v>2037</v>
      </c>
    </row>
    <row r="1813" customFormat="false" ht="17.6" hidden="false" customHeight="false" outlineLevel="0" collapsed="false">
      <c r="A1813" s="91" t="s">
        <v>2038</v>
      </c>
      <c r="B1813" s="90" t="s">
        <v>40</v>
      </c>
      <c r="C1813" s="90" t="n">
        <f aca="false">(1224+516)*0.65</f>
        <v>1131</v>
      </c>
      <c r="D1813" s="92" t="s">
        <v>2037</v>
      </c>
      <c r="N1813" s="14"/>
    </row>
    <row r="1814" customFormat="false" ht="17.6" hidden="false" customHeight="false" outlineLevel="0" collapsed="false">
      <c r="A1814" s="91" t="s">
        <v>2039</v>
      </c>
      <c r="B1814" s="90" t="s">
        <v>40</v>
      </c>
      <c r="C1814" s="90" t="n">
        <f aca="false">(705+329)*0.65</f>
        <v>672.1</v>
      </c>
      <c r="D1814" s="92" t="s">
        <v>2037</v>
      </c>
      <c r="N1814" s="14"/>
    </row>
    <row r="1815" customFormat="false" ht="17.6" hidden="false" customHeight="false" outlineLevel="0" collapsed="false">
      <c r="A1815" s="91" t="s">
        <v>2040</v>
      </c>
      <c r="B1815" s="90" t="s">
        <v>40</v>
      </c>
      <c r="C1815" s="90" t="n">
        <f aca="false">(705)*0.65</f>
        <v>458.25</v>
      </c>
      <c r="D1815" s="92" t="s">
        <v>2037</v>
      </c>
    </row>
    <row r="1816" customFormat="false" ht="17.6" hidden="false" customHeight="false" outlineLevel="0" collapsed="false">
      <c r="A1816" s="91" t="s">
        <v>2041</v>
      </c>
      <c r="B1816" s="90" t="s">
        <v>40</v>
      </c>
      <c r="C1816" s="90" t="n">
        <f aca="false">(705+329+95+43)*0.65</f>
        <v>761.8</v>
      </c>
      <c r="D1816" s="92" t="s">
        <v>2037</v>
      </c>
    </row>
    <row r="1817" customFormat="false" ht="17.6" hidden="false" customHeight="false" outlineLevel="0" collapsed="false">
      <c r="A1817" s="91" t="s">
        <v>2042</v>
      </c>
      <c r="B1817" s="90" t="s">
        <v>40</v>
      </c>
      <c r="C1817" s="90" t="n">
        <f aca="false">(562+130+216)*0.65</f>
        <v>590.2</v>
      </c>
      <c r="D1817" s="92" t="s">
        <v>2037</v>
      </c>
    </row>
    <row r="1818" customFormat="false" ht="17.6" hidden="false" customHeight="false" outlineLevel="0" collapsed="false">
      <c r="A1818" s="91" t="s">
        <v>2043</v>
      </c>
      <c r="B1818" s="90" t="s">
        <v>40</v>
      </c>
      <c r="C1818" s="90" t="n">
        <f aca="false">(988+140+238)*0.65</f>
        <v>887.9</v>
      </c>
      <c r="D1818" s="92" t="s">
        <v>2037</v>
      </c>
    </row>
    <row r="1819" customFormat="false" ht="17.6" hidden="false" customHeight="false" outlineLevel="0" collapsed="false">
      <c r="A1819" s="91" t="s">
        <v>2044</v>
      </c>
      <c r="B1819" s="90" t="s">
        <v>40</v>
      </c>
      <c r="C1819" s="90" t="n">
        <f aca="false">(1236+184+486)*0.65</f>
        <v>1238.9</v>
      </c>
      <c r="D1819" s="92" t="s">
        <v>2037</v>
      </c>
    </row>
    <row r="1820" customFormat="false" ht="17.6" hidden="false" customHeight="false" outlineLevel="0" collapsed="false">
      <c r="A1820" s="91" t="s">
        <v>2045</v>
      </c>
      <c r="B1820" s="90" t="s">
        <v>40</v>
      </c>
      <c r="C1820" s="90" t="n">
        <f aca="false">(1685+238+950)*0.65</f>
        <v>1867.45</v>
      </c>
      <c r="D1820" s="92" t="s">
        <v>2037</v>
      </c>
    </row>
    <row r="1821" customFormat="false" ht="17.6" hidden="false" customHeight="false" outlineLevel="0" collapsed="false">
      <c r="A1821" s="91" t="s">
        <v>2046</v>
      </c>
      <c r="B1821" s="90" t="s">
        <v>40</v>
      </c>
      <c r="C1821" s="90" t="n">
        <f aca="false">(1685+238+950)*0.65</f>
        <v>1867.45</v>
      </c>
      <c r="D1821" s="92" t="s">
        <v>2037</v>
      </c>
    </row>
    <row r="1822" customFormat="false" ht="17.6" hidden="false" customHeight="false" outlineLevel="0" collapsed="false">
      <c r="A1822" s="91" t="s">
        <v>2047</v>
      </c>
      <c r="B1822" s="90" t="s">
        <v>40</v>
      </c>
      <c r="C1822" s="90" t="n">
        <f aca="false">(2359+238+950)*0.65</f>
        <v>2305.55</v>
      </c>
      <c r="D1822" s="92" t="s">
        <v>2037</v>
      </c>
    </row>
    <row r="1823" customFormat="false" ht="17.6" hidden="false" customHeight="false" outlineLevel="0" collapsed="false">
      <c r="A1823" s="91" t="s">
        <v>2048</v>
      </c>
      <c r="B1823" s="90" t="s">
        <v>40</v>
      </c>
      <c r="C1823" s="90" t="n">
        <f aca="false">(1685+238)*0.65</f>
        <v>1249.95</v>
      </c>
      <c r="D1823" s="92" t="s">
        <v>2037</v>
      </c>
    </row>
    <row r="1824" customFormat="false" ht="17.6" hidden="false" customHeight="false" outlineLevel="0" collapsed="false">
      <c r="A1824" s="91" t="s">
        <v>2049</v>
      </c>
      <c r="B1824" s="90" t="s">
        <v>40</v>
      </c>
      <c r="C1824" s="90" t="n">
        <f aca="false">(2359+238)*0.65</f>
        <v>1688.05</v>
      </c>
      <c r="D1824" s="92" t="s">
        <v>2037</v>
      </c>
    </row>
    <row r="1825" customFormat="false" ht="17.6" hidden="false" customHeight="false" outlineLevel="0" collapsed="false">
      <c r="A1825" s="91" t="s">
        <v>2050</v>
      </c>
      <c r="B1825" s="90" t="s">
        <v>873</v>
      </c>
      <c r="C1825" s="90" t="n">
        <f aca="false">1497*0.7</f>
        <v>1047.9</v>
      </c>
      <c r="D1825" s="92" t="s">
        <v>2037</v>
      </c>
    </row>
    <row r="1826" customFormat="false" ht="17.6" hidden="false" customHeight="false" outlineLevel="0" collapsed="false">
      <c r="A1826" s="91" t="s">
        <v>2051</v>
      </c>
      <c r="B1826" s="90" t="s">
        <v>873</v>
      </c>
      <c r="C1826" s="90" t="n">
        <f aca="false">2527*0.7</f>
        <v>1768.9</v>
      </c>
      <c r="D1826" s="92" t="s">
        <v>2037</v>
      </c>
    </row>
    <row r="1827" customFormat="false" ht="17.6" hidden="false" customHeight="false" outlineLevel="0" collapsed="false">
      <c r="A1827" s="91" t="s">
        <v>2052</v>
      </c>
      <c r="B1827" s="90" t="s">
        <v>49</v>
      </c>
      <c r="C1827" s="90" t="n">
        <f aca="false">(18900+648+162)*0.75</f>
        <v>14782.5</v>
      </c>
      <c r="D1827" s="92" t="s">
        <v>2037</v>
      </c>
    </row>
    <row r="1828" customFormat="false" ht="17.6" hidden="false" customHeight="false" outlineLevel="0" collapsed="false">
      <c r="A1828" s="91" t="s">
        <v>2053</v>
      </c>
      <c r="B1828" s="90" t="s">
        <v>49</v>
      </c>
      <c r="C1828" s="90" t="n">
        <f aca="false">20579*0.75</f>
        <v>15434.25</v>
      </c>
      <c r="D1828" s="92" t="s">
        <v>2037</v>
      </c>
    </row>
    <row r="1829" customFormat="false" ht="17.6" hidden="false" customHeight="false" outlineLevel="0" collapsed="false">
      <c r="A1829" s="91" t="s">
        <v>2054</v>
      </c>
      <c r="B1829" s="90" t="s">
        <v>59</v>
      </c>
      <c r="C1829" s="90" t="n">
        <f aca="false">ROUND(E1829*F1829,)</f>
        <v>623</v>
      </c>
      <c r="D1829" s="90" t="s">
        <v>2055</v>
      </c>
      <c r="E1829" s="90" t="n">
        <f aca="false">1*8.9</f>
        <v>8.9</v>
      </c>
      <c r="F1829" s="90" t="n">
        <v>70</v>
      </c>
    </row>
    <row r="1830" customFormat="false" ht="17.6" hidden="false" customHeight="false" outlineLevel="0" collapsed="false">
      <c r="A1830" s="91" t="s">
        <v>2056</v>
      </c>
      <c r="B1830" s="90" t="s">
        <v>59</v>
      </c>
      <c r="C1830" s="90" t="n">
        <f aca="false">ROUND(E1830*F1830,)</f>
        <v>374</v>
      </c>
      <c r="D1830" s="90" t="s">
        <v>2055</v>
      </c>
      <c r="E1830" s="90" t="n">
        <f aca="false">0.6*8.9</f>
        <v>5.34</v>
      </c>
      <c r="F1830" s="90" t="n">
        <v>70</v>
      </c>
    </row>
    <row r="1831" customFormat="false" ht="17.6" hidden="false" customHeight="false" outlineLevel="0" collapsed="false">
      <c r="A1831" s="91" t="s">
        <v>2057</v>
      </c>
      <c r="B1831" s="90" t="s">
        <v>59</v>
      </c>
      <c r="C1831" s="90" t="n">
        <f aca="false">ROUND(E1831*F1831,)</f>
        <v>392</v>
      </c>
      <c r="D1831" s="90" t="s">
        <v>2055</v>
      </c>
      <c r="E1831" s="90" t="n">
        <f aca="false">0.63*8.9</f>
        <v>5.607</v>
      </c>
      <c r="F1831" s="90" t="n">
        <v>70</v>
      </c>
    </row>
    <row r="1832" customFormat="false" ht="17.6" hidden="false" customHeight="false" outlineLevel="0" collapsed="false">
      <c r="A1832" s="91" t="s">
        <v>2058</v>
      </c>
      <c r="B1832" s="90" t="s">
        <v>59</v>
      </c>
      <c r="C1832" s="90" t="n">
        <f aca="false">ROUND(E1832*F1832,)</f>
        <v>498</v>
      </c>
      <c r="D1832" s="90" t="s">
        <v>2055</v>
      </c>
      <c r="E1832" s="90" t="n">
        <f aca="false">0.8*8.9</f>
        <v>7.12</v>
      </c>
      <c r="F1832" s="90" t="n">
        <v>70</v>
      </c>
    </row>
    <row r="1833" customFormat="false" ht="17.6" hidden="false" customHeight="false" outlineLevel="0" collapsed="false">
      <c r="A1833" s="91" t="s">
        <v>2059</v>
      </c>
      <c r="B1833" s="90" t="s">
        <v>59</v>
      </c>
      <c r="C1833" s="90" t="n">
        <f aca="false">ROUND(E1833*F1833,)</f>
        <v>748</v>
      </c>
      <c r="D1833" s="90" t="s">
        <v>2055</v>
      </c>
      <c r="E1833" s="90" t="n">
        <f aca="false">1.2*8.9</f>
        <v>10.68</v>
      </c>
      <c r="F1833" s="90" t="n">
        <v>70</v>
      </c>
    </row>
    <row r="1834" customFormat="false" ht="17.6" hidden="false" customHeight="false" outlineLevel="0" collapsed="false">
      <c r="A1834" s="91" t="s">
        <v>2060</v>
      </c>
      <c r="B1834" s="90" t="s">
        <v>59</v>
      </c>
      <c r="C1834" s="90" t="n">
        <f aca="false">ROUND(E1834*F1834,)</f>
        <v>779</v>
      </c>
      <c r="D1834" s="90" t="s">
        <v>2055</v>
      </c>
      <c r="E1834" s="90" t="n">
        <f aca="false">1.25*8.9</f>
        <v>11.125</v>
      </c>
      <c r="F1834" s="90" t="n">
        <v>70</v>
      </c>
    </row>
    <row r="1835" customFormat="false" ht="17.6" hidden="false" customHeight="false" outlineLevel="0" collapsed="false">
      <c r="A1835" s="91" t="s">
        <v>2061</v>
      </c>
      <c r="B1835" s="90" t="s">
        <v>59</v>
      </c>
      <c r="C1835" s="90" t="n">
        <f aca="false">ROUND(E1835*F1835,)</f>
        <v>1246</v>
      </c>
      <c r="D1835" s="90" t="s">
        <v>2055</v>
      </c>
      <c r="E1835" s="90" t="n">
        <f aca="false">2*8.9</f>
        <v>17.8</v>
      </c>
      <c r="F1835" s="90" t="n">
        <v>70</v>
      </c>
    </row>
    <row r="1836" customFormat="false" ht="17.6" hidden="false" customHeight="false" outlineLevel="0" collapsed="false">
      <c r="A1836" s="91" t="s">
        <v>2062</v>
      </c>
      <c r="B1836" s="90" t="s">
        <v>59</v>
      </c>
      <c r="C1836" s="90" t="n">
        <f aca="false">ROUND(E1836*F1836,)</f>
        <v>997</v>
      </c>
      <c r="D1836" s="90" t="s">
        <v>2055</v>
      </c>
      <c r="E1836" s="90" t="n">
        <f aca="false">1.6*8.9</f>
        <v>14.24</v>
      </c>
      <c r="F1836" s="90" t="n">
        <v>70</v>
      </c>
    </row>
    <row r="1837" customFormat="false" ht="17.6" hidden="false" customHeight="false" outlineLevel="0" collapsed="false">
      <c r="A1837" s="91" t="s">
        <v>2063</v>
      </c>
      <c r="B1837" s="90" t="s">
        <v>59</v>
      </c>
      <c r="C1837" s="90" t="n">
        <f aca="false">ROUND(E1837*F1837,)</f>
        <v>50</v>
      </c>
      <c r="D1837" s="90" t="s">
        <v>2055</v>
      </c>
      <c r="E1837" s="90" t="n">
        <f aca="false">0.08*8.9</f>
        <v>0.712</v>
      </c>
      <c r="F1837" s="90" t="n">
        <v>70</v>
      </c>
    </row>
    <row r="1838" customFormat="false" ht="17.6" hidden="false" customHeight="false" outlineLevel="0" collapsed="false">
      <c r="A1838" s="91" t="s">
        <v>2064</v>
      </c>
      <c r="B1838" s="90" t="s">
        <v>59</v>
      </c>
      <c r="C1838" s="90" t="n">
        <f aca="false">ROUND(E1838*F1838,)</f>
        <v>187</v>
      </c>
      <c r="D1838" s="90" t="s">
        <v>2055</v>
      </c>
      <c r="E1838" s="90" t="n">
        <f aca="false">0.3*8.9</f>
        <v>2.67</v>
      </c>
      <c r="F1838" s="90" t="n">
        <v>70</v>
      </c>
    </row>
    <row r="1839" customFormat="false" ht="17.6" hidden="false" customHeight="false" outlineLevel="0" collapsed="false">
      <c r="A1839" s="91" t="s">
        <v>2065</v>
      </c>
      <c r="B1839" s="90" t="s">
        <v>59</v>
      </c>
      <c r="C1839" s="90" t="n">
        <f aca="false">ROUND(E1839*F1839,)</f>
        <v>56</v>
      </c>
      <c r="D1839" s="90" t="s">
        <v>2055</v>
      </c>
      <c r="E1839" s="90" t="n">
        <f aca="false">0.09*8.9</f>
        <v>0.801</v>
      </c>
      <c r="F1839" s="90" t="n">
        <v>70</v>
      </c>
    </row>
    <row r="1840" customFormat="false" ht="17.6" hidden="false" customHeight="false" outlineLevel="0" collapsed="false">
      <c r="A1840" s="91" t="s">
        <v>2066</v>
      </c>
      <c r="B1840" s="90" t="s">
        <v>59</v>
      </c>
      <c r="C1840" s="90" t="n">
        <f aca="false">ROUND(E1840*F1840,)</f>
        <v>75</v>
      </c>
      <c r="D1840" s="90" t="s">
        <v>2055</v>
      </c>
      <c r="E1840" s="90" t="n">
        <f aca="false">0.12*8.9</f>
        <v>1.068</v>
      </c>
      <c r="F1840" s="90" t="n">
        <v>70</v>
      </c>
    </row>
    <row r="1841" customFormat="false" ht="17.6" hidden="false" customHeight="false" outlineLevel="0" collapsed="false">
      <c r="A1841" s="91" t="s">
        <v>2067</v>
      </c>
      <c r="B1841" s="90" t="s">
        <v>59</v>
      </c>
      <c r="C1841" s="90" t="n">
        <f aca="false">ROUND(E1841*F1841,)</f>
        <v>100</v>
      </c>
      <c r="D1841" s="90" t="s">
        <v>2055</v>
      </c>
      <c r="E1841" s="90" t="n">
        <f aca="false">0.16*8.9</f>
        <v>1.424</v>
      </c>
      <c r="F1841" s="90" t="n">
        <v>70</v>
      </c>
    </row>
    <row r="1842" customFormat="false" ht="17.6" hidden="false" customHeight="false" outlineLevel="0" collapsed="false">
      <c r="A1842" s="91" t="s">
        <v>2068</v>
      </c>
      <c r="B1842" s="90" t="s">
        <v>59</v>
      </c>
      <c r="C1842" s="90" t="n">
        <f aca="false">ROUND(E1842*F1842,)</f>
        <v>125</v>
      </c>
      <c r="D1842" s="90" t="s">
        <v>2055</v>
      </c>
      <c r="E1842" s="90" t="n">
        <f aca="false">0.2*8.9</f>
        <v>1.78</v>
      </c>
      <c r="F1842" s="90" t="n">
        <v>70</v>
      </c>
    </row>
    <row r="1843" customFormat="false" ht="17.6" hidden="false" customHeight="false" outlineLevel="0" collapsed="false">
      <c r="A1843" s="91" t="s">
        <v>2069</v>
      </c>
      <c r="B1843" s="90" t="s">
        <v>59</v>
      </c>
      <c r="C1843" s="90" t="n">
        <f aca="false">ROUND(E1843*F1843,)</f>
        <v>156</v>
      </c>
      <c r="D1843" s="90" t="s">
        <v>2055</v>
      </c>
      <c r="E1843" s="90" t="n">
        <f aca="false">0.25*8.9</f>
        <v>2.225</v>
      </c>
      <c r="F1843" s="90" t="n">
        <v>70</v>
      </c>
    </row>
    <row r="1844" customFormat="false" ht="17.6" hidden="false" customHeight="false" outlineLevel="0" collapsed="false">
      <c r="A1844" s="91" t="s">
        <v>2070</v>
      </c>
      <c r="B1844" s="90" t="s">
        <v>59</v>
      </c>
      <c r="C1844" s="90" t="n">
        <f aca="false">ROUND(E1844*F1844,)</f>
        <v>187</v>
      </c>
      <c r="D1844" s="90" t="s">
        <v>2071</v>
      </c>
      <c r="E1844" s="90" t="n">
        <f aca="false">0.3*8.9</f>
        <v>2.67</v>
      </c>
      <c r="F1844" s="90" t="n">
        <v>70</v>
      </c>
    </row>
    <row r="1845" customFormat="false" ht="17.6" hidden="false" customHeight="false" outlineLevel="0" collapsed="false">
      <c r="A1845" s="91" t="s">
        <v>2072</v>
      </c>
      <c r="B1845" s="90" t="s">
        <v>59</v>
      </c>
      <c r="C1845" s="90" t="n">
        <f aca="false">ROUND(E1845*F1845,)</f>
        <v>196</v>
      </c>
      <c r="D1845" s="90" t="s">
        <v>2055</v>
      </c>
      <c r="E1845" s="90" t="n">
        <f aca="false">0.315*8.9</f>
        <v>2.8035</v>
      </c>
      <c r="F1845" s="90" t="n">
        <v>70</v>
      </c>
    </row>
    <row r="1846" customFormat="false" ht="17.6" hidden="false" customHeight="false" outlineLevel="0" collapsed="false">
      <c r="A1846" s="91" t="s">
        <v>2073</v>
      </c>
      <c r="B1846" s="90" t="s">
        <v>59</v>
      </c>
      <c r="C1846" s="90" t="n">
        <f aca="false">ROUND(E1846*F1846,)</f>
        <v>374</v>
      </c>
      <c r="D1846" s="90" t="s">
        <v>2055</v>
      </c>
      <c r="E1846" s="90" t="n">
        <f aca="false">0.6*8.9</f>
        <v>5.34</v>
      </c>
      <c r="F1846" s="90" t="n">
        <v>70</v>
      </c>
    </row>
    <row r="1847" customFormat="false" ht="17.6" hidden="false" customHeight="false" outlineLevel="0" collapsed="false">
      <c r="A1847" s="91" t="s">
        <v>2074</v>
      </c>
      <c r="B1847" s="90" t="s">
        <v>59</v>
      </c>
      <c r="C1847" s="90" t="n">
        <f aca="false">ROUND(E1847*F1847,)</f>
        <v>224</v>
      </c>
      <c r="D1847" s="90" t="s">
        <v>2055</v>
      </c>
      <c r="E1847" s="90" t="n">
        <f aca="false">0.36*8.9</f>
        <v>3.204</v>
      </c>
      <c r="F1847" s="90" t="n">
        <v>70</v>
      </c>
    </row>
    <row r="1848" customFormat="false" ht="17.6" hidden="false" customHeight="false" outlineLevel="0" collapsed="false">
      <c r="A1848" s="91" t="s">
        <v>2075</v>
      </c>
      <c r="B1848" s="90" t="s">
        <v>59</v>
      </c>
      <c r="C1848" s="90" t="n">
        <f aca="false">ROUND(E1848*F1848,)</f>
        <v>265</v>
      </c>
      <c r="D1848" s="90" t="s">
        <v>2055</v>
      </c>
      <c r="E1848" s="90" t="n">
        <f aca="false">0.6*6.3</f>
        <v>3.78</v>
      </c>
      <c r="F1848" s="90" t="n">
        <v>70</v>
      </c>
    </row>
    <row r="1849" customFormat="false" ht="17.6" hidden="false" customHeight="false" outlineLevel="0" collapsed="false">
      <c r="A1849" s="91" t="s">
        <v>2076</v>
      </c>
      <c r="B1849" s="90" t="s">
        <v>59</v>
      </c>
      <c r="C1849" s="90" t="n">
        <f aca="false">ROUND(E1849*F1849,)</f>
        <v>299</v>
      </c>
      <c r="D1849" s="90" t="s">
        <v>2055</v>
      </c>
      <c r="E1849" s="90" t="n">
        <f aca="false">0.48*8.9</f>
        <v>4.272</v>
      </c>
      <c r="F1849" s="90" t="n">
        <v>70</v>
      </c>
    </row>
    <row r="1850" customFormat="false" ht="17.6" hidden="false" customHeight="false" outlineLevel="0" collapsed="false">
      <c r="A1850" s="91" t="s">
        <v>2077</v>
      </c>
      <c r="B1850" s="90" t="s">
        <v>59</v>
      </c>
      <c r="C1850" s="90" t="n">
        <f aca="false">ROUND(E1850*F1850,)</f>
        <v>392</v>
      </c>
      <c r="D1850" s="90" t="s">
        <v>2055</v>
      </c>
      <c r="E1850" s="90" t="n">
        <f aca="false">0.63*8.9</f>
        <v>5.607</v>
      </c>
      <c r="F1850" s="90" t="n">
        <v>70</v>
      </c>
    </row>
    <row r="1851" customFormat="false" ht="17.6" hidden="false" customHeight="false" outlineLevel="0" collapsed="false">
      <c r="A1851" s="91" t="s">
        <v>2078</v>
      </c>
      <c r="B1851" s="90" t="s">
        <v>59</v>
      </c>
      <c r="C1851" s="90" t="n">
        <f aca="false">ROUND(E1851*F1851,)</f>
        <v>247</v>
      </c>
      <c r="D1851" s="90" t="s">
        <v>2055</v>
      </c>
      <c r="E1851" s="90" t="n">
        <f aca="false">0.3969*8.9</f>
        <v>3.53241</v>
      </c>
      <c r="F1851" s="90" t="n">
        <v>70</v>
      </c>
    </row>
    <row r="1852" customFormat="false" ht="17.6" hidden="false" customHeight="false" outlineLevel="0" collapsed="false">
      <c r="A1852" s="91" t="s">
        <v>2079</v>
      </c>
      <c r="B1852" s="90" t="s">
        <v>59</v>
      </c>
      <c r="C1852" s="90" t="n">
        <f aca="false">ROUND(E1852*F1852,)</f>
        <v>498</v>
      </c>
      <c r="D1852" s="90" t="s">
        <v>2071</v>
      </c>
      <c r="E1852" s="90" t="n">
        <f aca="false">0.8*8.9</f>
        <v>7.12</v>
      </c>
      <c r="F1852" s="90" t="n">
        <v>70</v>
      </c>
    </row>
    <row r="1853" customFormat="false" ht="17.6" hidden="false" customHeight="false" outlineLevel="0" collapsed="false">
      <c r="A1853" s="91" t="s">
        <v>2080</v>
      </c>
      <c r="B1853" s="90" t="s">
        <v>59</v>
      </c>
      <c r="C1853" s="90" t="n">
        <f aca="false">ROUND(E1853*F1853,)</f>
        <v>299</v>
      </c>
      <c r="D1853" s="90" t="s">
        <v>2055</v>
      </c>
      <c r="E1853" s="90" t="n">
        <f aca="false">0.48*8.9</f>
        <v>4.272</v>
      </c>
      <c r="F1853" s="90" t="n">
        <v>70</v>
      </c>
    </row>
    <row r="1854" customFormat="false" ht="17.6" hidden="false" customHeight="false" outlineLevel="0" collapsed="false">
      <c r="A1854" s="91" t="s">
        <v>2081</v>
      </c>
      <c r="B1854" s="90" t="s">
        <v>59</v>
      </c>
      <c r="C1854" s="90" t="n">
        <f aca="false">ROUND(E1854*F1854,)</f>
        <v>314</v>
      </c>
      <c r="D1854" s="90" t="s">
        <v>2055</v>
      </c>
      <c r="E1854" s="90" t="n">
        <f aca="false">0.504*8.9</f>
        <v>4.4856</v>
      </c>
      <c r="F1854" s="90" t="n">
        <v>70</v>
      </c>
    </row>
    <row r="1855" customFormat="false" ht="17.6" hidden="false" customHeight="false" outlineLevel="0" collapsed="false">
      <c r="A1855" s="91" t="s">
        <v>2082</v>
      </c>
      <c r="B1855" s="90" t="s">
        <v>59</v>
      </c>
      <c r="C1855" s="90" t="n">
        <f aca="false">ROUND(E1855*F1855,)</f>
        <v>399</v>
      </c>
      <c r="D1855" s="90" t="s">
        <v>2055</v>
      </c>
      <c r="E1855" s="90" t="n">
        <f aca="false">0.64*8.9</f>
        <v>5.696</v>
      </c>
      <c r="F1855" s="90" t="n">
        <v>70</v>
      </c>
    </row>
    <row r="1856" customFormat="false" ht="17.6" hidden="false" customHeight="false" outlineLevel="0" collapsed="false">
      <c r="A1856" s="91" t="s">
        <v>2083</v>
      </c>
      <c r="B1856" s="90" t="s">
        <v>57</v>
      </c>
      <c r="C1856" s="90" t="n">
        <v>980</v>
      </c>
      <c r="D1856" s="90" t="s">
        <v>2084</v>
      </c>
    </row>
    <row r="1857" customFormat="false" ht="17.6" hidden="false" customHeight="false" outlineLevel="0" collapsed="false">
      <c r="A1857" s="91" t="s">
        <v>2085</v>
      </c>
      <c r="B1857" s="90" t="s">
        <v>57</v>
      </c>
      <c r="C1857" s="90" t="n">
        <v>450</v>
      </c>
      <c r="D1857" s="90" t="s">
        <v>2084</v>
      </c>
    </row>
    <row r="1858" customFormat="false" ht="17.6" hidden="false" customHeight="false" outlineLevel="0" collapsed="false">
      <c r="A1858" s="91" t="s">
        <v>2086</v>
      </c>
      <c r="B1858" s="90" t="s">
        <v>57</v>
      </c>
      <c r="C1858" s="90" t="n">
        <f aca="false">550</f>
        <v>550</v>
      </c>
      <c r="D1858" s="90" t="s">
        <v>2084</v>
      </c>
    </row>
    <row r="1859" customFormat="false" ht="17.6" hidden="false" customHeight="false" outlineLevel="0" collapsed="false">
      <c r="A1859" s="91" t="s">
        <v>2087</v>
      </c>
      <c r="B1859" s="90" t="s">
        <v>57</v>
      </c>
      <c r="C1859" s="90" t="n">
        <v>850</v>
      </c>
      <c r="D1859" s="90" t="s">
        <v>2084</v>
      </c>
    </row>
    <row r="1860" customFormat="false" ht="17.6" hidden="false" customHeight="false" outlineLevel="0" collapsed="false">
      <c r="A1860" s="91" t="s">
        <v>2088</v>
      </c>
      <c r="B1860" s="90" t="s">
        <v>40</v>
      </c>
      <c r="C1860" s="90" t="n">
        <f aca="false">910*0.67</f>
        <v>609.7</v>
      </c>
      <c r="D1860" s="92" t="s">
        <v>142</v>
      </c>
    </row>
    <row r="1861" customFormat="false" ht="17.6" hidden="false" customHeight="false" outlineLevel="0" collapsed="false">
      <c r="A1861" s="91" t="s">
        <v>2089</v>
      </c>
      <c r="B1861" s="90" t="s">
        <v>40</v>
      </c>
      <c r="C1861" s="90" t="n">
        <f aca="false">1263*0.67</f>
        <v>846.21</v>
      </c>
      <c r="D1861" s="92" t="s">
        <v>142</v>
      </c>
    </row>
    <row r="1862" customFormat="false" ht="17.6" hidden="false" customHeight="false" outlineLevel="0" collapsed="false">
      <c r="A1862" s="91" t="s">
        <v>2090</v>
      </c>
      <c r="B1862" s="90" t="s">
        <v>40</v>
      </c>
      <c r="C1862" s="90" t="n">
        <f aca="false">1641*0.67</f>
        <v>1099.47</v>
      </c>
      <c r="D1862" s="92" t="s">
        <v>142</v>
      </c>
    </row>
    <row r="1863" customFormat="false" ht="17.6" hidden="false" customHeight="false" outlineLevel="0" collapsed="false">
      <c r="A1863" s="91" t="s">
        <v>2091</v>
      </c>
      <c r="B1863" s="90" t="s">
        <v>40</v>
      </c>
      <c r="C1863" s="90" t="n">
        <f aca="false">3687*0.67</f>
        <v>2470.29</v>
      </c>
      <c r="D1863" s="92" t="s">
        <v>142</v>
      </c>
    </row>
    <row r="1864" customFormat="false" ht="17.6" hidden="false" customHeight="false" outlineLevel="0" collapsed="false">
      <c r="A1864" s="91" t="s">
        <v>2092</v>
      </c>
      <c r="B1864" s="90" t="s">
        <v>873</v>
      </c>
      <c r="C1864" s="90" t="n">
        <v>1212.75</v>
      </c>
      <c r="D1864" s="90" t="s">
        <v>199</v>
      </c>
    </row>
    <row r="1865" customFormat="false" ht="17.6" hidden="false" customHeight="false" outlineLevel="0" collapsed="false">
      <c r="A1865" s="91" t="s">
        <v>2093</v>
      </c>
      <c r="B1865" s="90" t="s">
        <v>873</v>
      </c>
      <c r="C1865" s="90" t="n">
        <v>2134</v>
      </c>
      <c r="D1865" s="90" t="s">
        <v>199</v>
      </c>
    </row>
    <row r="1866" customFormat="false" ht="17.6" hidden="false" customHeight="false" outlineLevel="0" collapsed="false">
      <c r="A1866" s="91" t="s">
        <v>2094</v>
      </c>
      <c r="B1866" s="90" t="s">
        <v>873</v>
      </c>
      <c r="C1866" s="90" t="n">
        <v>2134</v>
      </c>
      <c r="D1866" s="90" t="s">
        <v>199</v>
      </c>
    </row>
    <row r="1867" customFormat="false" ht="17.6" hidden="false" customHeight="false" outlineLevel="0" collapsed="false">
      <c r="A1867" s="91" t="s">
        <v>2095</v>
      </c>
      <c r="B1867" s="90" t="s">
        <v>2096</v>
      </c>
      <c r="C1867" s="90" t="n">
        <v>23</v>
      </c>
    </row>
    <row r="1868" customFormat="false" ht="17.6" hidden="false" customHeight="false" outlineLevel="0" collapsed="false">
      <c r="A1868" s="91" t="s">
        <v>2097</v>
      </c>
      <c r="B1868" s="90" t="s">
        <v>1181</v>
      </c>
      <c r="C1868" s="90" t="n">
        <v>9800</v>
      </c>
      <c r="D1868" s="90" t="s">
        <v>1182</v>
      </c>
    </row>
    <row r="1869" customFormat="false" ht="17.6" hidden="false" customHeight="false" outlineLevel="0" collapsed="false">
      <c r="A1869" s="91" t="s">
        <v>2098</v>
      </c>
      <c r="B1869" s="90" t="s">
        <v>86</v>
      </c>
      <c r="C1869" s="90" t="n">
        <v>39819</v>
      </c>
      <c r="D1869" s="90" t="s">
        <v>199</v>
      </c>
    </row>
    <row r="1870" customFormat="false" ht="17.6" hidden="false" customHeight="false" outlineLevel="0" collapsed="false">
      <c r="A1870" s="91" t="s">
        <v>2099</v>
      </c>
      <c r="B1870" s="90" t="s">
        <v>86</v>
      </c>
      <c r="C1870" s="90" t="n">
        <v>33969</v>
      </c>
      <c r="D1870" s="90" t="s">
        <v>199</v>
      </c>
    </row>
    <row r="1871" customFormat="false" ht="17.6" hidden="false" customHeight="false" outlineLevel="0" collapsed="false">
      <c r="A1871" s="91" t="s">
        <v>2100</v>
      </c>
      <c r="B1871" s="90" t="s">
        <v>86</v>
      </c>
      <c r="C1871" s="90" t="n">
        <v>39690</v>
      </c>
      <c r="D1871" s="90" t="s">
        <v>199</v>
      </c>
    </row>
    <row r="1872" customFormat="false" ht="17.6" hidden="false" customHeight="false" outlineLevel="0" collapsed="false">
      <c r="A1872" s="91" t="s">
        <v>2101</v>
      </c>
      <c r="B1872" s="90" t="s">
        <v>86</v>
      </c>
      <c r="C1872" s="90" t="n">
        <v>37972</v>
      </c>
      <c r="D1872" s="90" t="s">
        <v>2102</v>
      </c>
    </row>
    <row r="1873" customFormat="false" ht="17.6" hidden="false" customHeight="false" outlineLevel="0" collapsed="false">
      <c r="A1873" s="91" t="s">
        <v>2103</v>
      </c>
      <c r="B1873" s="90" t="s">
        <v>86</v>
      </c>
      <c r="C1873" s="90" t="n">
        <v>32114</v>
      </c>
      <c r="D1873" s="90" t="s">
        <v>2102</v>
      </c>
    </row>
    <row r="1874" customFormat="false" ht="17.6" hidden="false" customHeight="false" outlineLevel="0" collapsed="false">
      <c r="A1874" s="91" t="s">
        <v>2104</v>
      </c>
      <c r="B1874" s="90" t="s">
        <v>150</v>
      </c>
      <c r="C1874" s="90" t="n">
        <v>6827</v>
      </c>
      <c r="D1874" s="90" t="s">
        <v>139</v>
      </c>
    </row>
    <row r="1875" customFormat="false" ht="17.6" hidden="false" customHeight="false" outlineLevel="0" collapsed="false">
      <c r="A1875" s="91" t="s">
        <v>2105</v>
      </c>
      <c r="B1875" s="90" t="s">
        <v>150</v>
      </c>
      <c r="C1875" s="90" t="n">
        <v>10382</v>
      </c>
      <c r="D1875" s="90" t="s">
        <v>139</v>
      </c>
    </row>
    <row r="1876" customFormat="false" ht="17.6" hidden="false" customHeight="false" outlineLevel="0" collapsed="false">
      <c r="A1876" s="91" t="s">
        <v>2106</v>
      </c>
      <c r="B1876" s="90" t="s">
        <v>86</v>
      </c>
      <c r="C1876" s="90" t="n">
        <v>26200</v>
      </c>
      <c r="D1876" s="90" t="s">
        <v>2107</v>
      </c>
    </row>
    <row r="1877" customFormat="false" ht="17.6" hidden="false" customHeight="false" outlineLevel="0" collapsed="false">
      <c r="A1877" s="91" t="s">
        <v>2108</v>
      </c>
      <c r="B1877" s="90" t="s">
        <v>86</v>
      </c>
      <c r="C1877" s="90" t="n">
        <v>24200</v>
      </c>
      <c r="D1877" s="90" t="s">
        <v>2107</v>
      </c>
    </row>
    <row r="1878" customFormat="false" ht="17.6" hidden="false" customHeight="false" outlineLevel="0" collapsed="false">
      <c r="A1878" s="91"/>
    </row>
    <row r="1879" customFormat="false" ht="17.6" hidden="false" customHeight="false" outlineLevel="0" collapsed="false">
      <c r="A1879" s="91"/>
    </row>
    <row r="1880" customFormat="false" ht="17.6" hidden="false" customHeight="false" outlineLevel="0" collapsed="false">
      <c r="A1880" s="91"/>
    </row>
    <row r="1881" customFormat="false" ht="17.6" hidden="false" customHeight="false" outlineLevel="0" collapsed="false">
      <c r="A1881" s="91" t="s">
        <v>2109</v>
      </c>
      <c r="B1881" s="90" t="s">
        <v>86</v>
      </c>
      <c r="C1881" s="90" t="n">
        <v>7400</v>
      </c>
      <c r="D1881" s="90" t="s">
        <v>2110</v>
      </c>
    </row>
    <row r="1882" customFormat="false" ht="17.6" hidden="false" customHeight="false" outlineLevel="0" collapsed="false">
      <c r="A1882" s="91" t="s">
        <v>2111</v>
      </c>
      <c r="B1882" s="90" t="s">
        <v>86</v>
      </c>
      <c r="C1882" s="90" t="n">
        <v>7600</v>
      </c>
      <c r="D1882" s="90" t="s">
        <v>2110</v>
      </c>
    </row>
    <row r="1883" customFormat="false" ht="17.6" hidden="false" customHeight="false" outlineLevel="0" collapsed="false">
      <c r="A1883" s="91" t="s">
        <v>2112</v>
      </c>
      <c r="B1883" s="90" t="s">
        <v>86</v>
      </c>
      <c r="C1883" s="90" t="n">
        <v>6900</v>
      </c>
      <c r="D1883" s="90" t="s">
        <v>2110</v>
      </c>
    </row>
    <row r="1884" customFormat="false" ht="17.6" hidden="false" customHeight="false" outlineLevel="0" collapsed="false">
      <c r="A1884" s="91" t="s">
        <v>2113</v>
      </c>
      <c r="B1884" s="90" t="s">
        <v>86</v>
      </c>
      <c r="C1884" s="90" t="n">
        <v>7400</v>
      </c>
      <c r="D1884" s="90" t="s">
        <v>2110</v>
      </c>
      <c r="F1884" s="90" t="e">
        <f aca="false">C1876-</f>
        <v>#N/A</v>
      </c>
    </row>
    <row r="1885" customFormat="false" ht="17.6" hidden="false" customHeight="false" outlineLevel="0" collapsed="false">
      <c r="A1885" s="91" t="s">
        <v>2114</v>
      </c>
      <c r="B1885" s="90" t="s">
        <v>86</v>
      </c>
      <c r="C1885" s="90" t="n">
        <v>7900</v>
      </c>
      <c r="D1885" s="90" t="s">
        <v>2110</v>
      </c>
      <c r="F1885" s="90" t="e">
        <f aca="false">F1884*3</f>
        <v>#N/A</v>
      </c>
    </row>
    <row r="1886" customFormat="false" ht="17.6" hidden="false" customHeight="false" outlineLevel="0" collapsed="false">
      <c r="A1886" s="91" t="s">
        <v>2115</v>
      </c>
      <c r="B1886" s="90" t="s">
        <v>2116</v>
      </c>
      <c r="C1886" s="90" t="n">
        <v>35</v>
      </c>
      <c r="D1886" s="90" t="s">
        <v>2117</v>
      </c>
    </row>
    <row r="1887" customFormat="false" ht="17.6" hidden="false" customHeight="false" outlineLevel="0" collapsed="false">
      <c r="A1887" s="91" t="s">
        <v>2118</v>
      </c>
      <c r="B1887" s="90" t="s">
        <v>2116</v>
      </c>
      <c r="C1887" s="90" t="n">
        <v>58</v>
      </c>
      <c r="D1887" s="90" t="s">
        <v>2117</v>
      </c>
    </row>
    <row r="1888" customFormat="false" ht="17.6" hidden="false" customHeight="false" outlineLevel="0" collapsed="false">
      <c r="A1888" s="91" t="s">
        <v>2119</v>
      </c>
      <c r="B1888" s="90" t="s">
        <v>2116</v>
      </c>
      <c r="C1888" s="90" t="n">
        <v>58</v>
      </c>
      <c r="D1888" s="90" t="s">
        <v>2117</v>
      </c>
    </row>
    <row r="1889" customFormat="false" ht="17.6" hidden="false" customHeight="false" outlineLevel="0" collapsed="false">
      <c r="A1889" s="91" t="s">
        <v>2120</v>
      </c>
      <c r="B1889" s="90" t="s">
        <v>2116</v>
      </c>
      <c r="C1889" s="90" t="n">
        <v>58</v>
      </c>
      <c r="D1889" s="90" t="s">
        <v>2117</v>
      </c>
    </row>
    <row r="1890" customFormat="false" ht="17.6" hidden="false" customHeight="false" outlineLevel="0" collapsed="false">
      <c r="A1890" s="91" t="s">
        <v>2121</v>
      </c>
      <c r="C1890" s="90" t="n">
        <v>15000</v>
      </c>
      <c r="D1890" s="90" t="s">
        <v>199</v>
      </c>
    </row>
    <row r="1891" customFormat="false" ht="17.6" hidden="false" customHeight="false" outlineLevel="0" collapsed="false">
      <c r="A1891" s="91" t="s">
        <v>2122</v>
      </c>
      <c r="B1891" s="90" t="s">
        <v>2123</v>
      </c>
      <c r="C1891" s="90" t="n">
        <v>110</v>
      </c>
      <c r="D1891" s="90" t="s">
        <v>2124</v>
      </c>
    </row>
    <row r="1892" customFormat="false" ht="17.6" hidden="false" customHeight="false" outlineLevel="0" collapsed="false">
      <c r="A1892" s="91" t="s">
        <v>2125</v>
      </c>
      <c r="B1892" s="90" t="s">
        <v>2123</v>
      </c>
      <c r="C1892" s="90" t="n">
        <v>280</v>
      </c>
      <c r="D1892" s="90" t="s">
        <v>2124</v>
      </c>
    </row>
    <row r="1893" customFormat="false" ht="17.6" hidden="false" customHeight="false" outlineLevel="0" collapsed="false">
      <c r="A1893" s="91" t="s">
        <v>2126</v>
      </c>
      <c r="B1893" s="90" t="s">
        <v>2123</v>
      </c>
      <c r="C1893" s="90" t="n">
        <v>420</v>
      </c>
      <c r="D1893" s="90" t="s">
        <v>2124</v>
      </c>
    </row>
    <row r="1894" customFormat="false" ht="17.6" hidden="false" customHeight="false" outlineLevel="0" collapsed="false">
      <c r="A1894" s="91" t="s">
        <v>2127</v>
      </c>
      <c r="B1894" s="90" t="s">
        <v>150</v>
      </c>
      <c r="C1894" s="90" t="n">
        <v>9000</v>
      </c>
      <c r="D1894" s="90" t="s">
        <v>2128</v>
      </c>
    </row>
    <row r="1895" customFormat="false" ht="17.6" hidden="false" customHeight="false" outlineLevel="0" collapsed="false">
      <c r="A1895" s="91" t="s">
        <v>2129</v>
      </c>
      <c r="B1895" s="90" t="s">
        <v>904</v>
      </c>
      <c r="C1895" s="90" t="n">
        <v>2800</v>
      </c>
      <c r="D1895" s="90" t="s">
        <v>2124</v>
      </c>
    </row>
    <row r="1896" customFormat="false" ht="17.6" hidden="false" customHeight="false" outlineLevel="0" collapsed="false">
      <c r="A1896" s="91" t="s">
        <v>2130</v>
      </c>
      <c r="B1896" s="90" t="s">
        <v>1328</v>
      </c>
      <c r="C1896" s="90" t="n">
        <v>143</v>
      </c>
      <c r="D1896" s="90" t="s">
        <v>1958</v>
      </c>
    </row>
    <row r="1897" customFormat="false" ht="17.6" hidden="false" customHeight="false" outlineLevel="0" collapsed="false">
      <c r="A1897" s="91" t="s">
        <v>2131</v>
      </c>
      <c r="B1897" s="90" t="s">
        <v>1328</v>
      </c>
      <c r="C1897" s="90" t="n">
        <v>143</v>
      </c>
      <c r="D1897" s="90" t="s">
        <v>1958</v>
      </c>
    </row>
    <row r="1898" customFormat="false" ht="17.6" hidden="false" customHeight="false" outlineLevel="0" collapsed="false">
      <c r="A1898" s="91" t="s">
        <v>2132</v>
      </c>
      <c r="B1898" s="90" t="s">
        <v>2133</v>
      </c>
      <c r="C1898" s="90" t="n">
        <v>233</v>
      </c>
      <c r="D1898" s="90" t="s">
        <v>2134</v>
      </c>
    </row>
    <row r="1899" customFormat="false" ht="17.6" hidden="false" customHeight="false" outlineLevel="0" collapsed="false">
      <c r="A1899" s="91" t="s">
        <v>2135</v>
      </c>
      <c r="B1899" s="90" t="s">
        <v>158</v>
      </c>
      <c r="C1899" s="90" t="n">
        <v>120000</v>
      </c>
      <c r="D1899" s="90" t="s">
        <v>199</v>
      </c>
    </row>
    <row r="1900" customFormat="false" ht="17.6" hidden="false" customHeight="false" outlineLevel="0" collapsed="false">
      <c r="A1900" s="91" t="s">
        <v>2136</v>
      </c>
      <c r="B1900" s="90" t="s">
        <v>873</v>
      </c>
      <c r="C1900" s="90" t="n">
        <v>1760</v>
      </c>
      <c r="D1900" s="90" t="s">
        <v>2137</v>
      </c>
    </row>
    <row r="1901" customFormat="false" ht="17.6" hidden="false" customHeight="false" outlineLevel="0" collapsed="false">
      <c r="A1901" s="91" t="s">
        <v>2138</v>
      </c>
      <c r="B1901" s="90" t="s">
        <v>145</v>
      </c>
      <c r="C1901" s="90" t="n">
        <v>1200</v>
      </c>
      <c r="D1901" s="90" t="s">
        <v>2139</v>
      </c>
    </row>
    <row r="1902" customFormat="false" ht="17.6" hidden="false" customHeight="false" outlineLevel="0" collapsed="false">
      <c r="A1902" s="91" t="s">
        <v>2140</v>
      </c>
      <c r="B1902" s="90" t="s">
        <v>2141</v>
      </c>
      <c r="C1902" s="90" t="n">
        <v>40</v>
      </c>
      <c r="D1902" s="90" t="s">
        <v>913</v>
      </c>
    </row>
    <row r="1903" customFormat="false" ht="17.6" hidden="false" customHeight="false" outlineLevel="0" collapsed="false">
      <c r="A1903" s="91" t="s">
        <v>2142</v>
      </c>
      <c r="B1903" s="90" t="s">
        <v>2143</v>
      </c>
      <c r="C1903" s="90" t="n">
        <v>530</v>
      </c>
      <c r="D1903" s="90" t="s">
        <v>2144</v>
      </c>
    </row>
    <row r="1904" customFormat="false" ht="17.6" hidden="false" customHeight="false" outlineLevel="0" collapsed="false">
      <c r="A1904" s="91" t="s">
        <v>2145</v>
      </c>
      <c r="B1904" s="90" t="s">
        <v>2143</v>
      </c>
      <c r="C1904" s="90" t="n">
        <v>1600</v>
      </c>
      <c r="D1904" s="90" t="s">
        <v>2144</v>
      </c>
    </row>
    <row r="1905" customFormat="false" ht="17.6" hidden="false" customHeight="false" outlineLevel="0" collapsed="false">
      <c r="A1905" s="91" t="s">
        <v>2146</v>
      </c>
      <c r="B1905" s="90" t="s">
        <v>2143</v>
      </c>
      <c r="C1905" s="90" t="n">
        <v>850</v>
      </c>
      <c r="D1905" s="90" t="s">
        <v>2144</v>
      </c>
    </row>
    <row r="1906" customFormat="false" ht="17.6" hidden="false" customHeight="false" outlineLevel="0" collapsed="false">
      <c r="A1906" s="91" t="s">
        <v>2147</v>
      </c>
      <c r="B1906" s="90" t="s">
        <v>2143</v>
      </c>
      <c r="C1906" s="90" t="n">
        <v>550</v>
      </c>
      <c r="D1906" s="90" t="s">
        <v>2144</v>
      </c>
    </row>
    <row r="1907" customFormat="false" ht="17.6" hidden="false" customHeight="false" outlineLevel="0" collapsed="false">
      <c r="A1907" s="91" t="s">
        <v>2148</v>
      </c>
      <c r="B1907" s="90" t="s">
        <v>2149</v>
      </c>
      <c r="C1907" s="90" t="n">
        <v>1925</v>
      </c>
      <c r="D1907" s="90" t="s">
        <v>2150</v>
      </c>
    </row>
    <row r="1908" customFormat="false" ht="17.6" hidden="false" customHeight="false" outlineLevel="0" collapsed="false">
      <c r="A1908" s="91" t="s">
        <v>2151</v>
      </c>
      <c r="B1908" s="90" t="s">
        <v>2149</v>
      </c>
      <c r="C1908" s="90" t="n">
        <v>1995</v>
      </c>
      <c r="D1908" s="90" t="s">
        <v>2150</v>
      </c>
    </row>
    <row r="1909" customFormat="false" ht="17.6" hidden="false" customHeight="false" outlineLevel="0" collapsed="false">
      <c r="A1909" s="91" t="s">
        <v>2152</v>
      </c>
      <c r="B1909" s="90" t="s">
        <v>2149</v>
      </c>
      <c r="C1909" s="90" t="n">
        <v>1729</v>
      </c>
      <c r="D1909" s="90" t="s">
        <v>2150</v>
      </c>
    </row>
    <row r="1910" customFormat="false" ht="17.6" hidden="false" customHeight="false" outlineLevel="0" collapsed="false">
      <c r="A1910" s="91" t="s">
        <v>2153</v>
      </c>
      <c r="B1910" s="90" t="s">
        <v>873</v>
      </c>
      <c r="C1910" s="90" t="n">
        <f aca="false">2200*0.6</f>
        <v>1320</v>
      </c>
      <c r="D1910" s="90" t="s">
        <v>1978</v>
      </c>
    </row>
    <row r="1911" customFormat="false" ht="17.6" hidden="false" customHeight="false" outlineLevel="0" collapsed="false">
      <c r="A1911" s="91" t="s">
        <v>2154</v>
      </c>
      <c r="B1911" s="90" t="s">
        <v>49</v>
      </c>
      <c r="C1911" s="90" t="n">
        <f aca="false">ROUND(E1911,0)</f>
        <v>11090</v>
      </c>
      <c r="D1911" s="90" t="s">
        <v>1978</v>
      </c>
      <c r="E1911" s="90" t="n">
        <f aca="false">15700*0.7+100</f>
        <v>11090</v>
      </c>
    </row>
    <row r="1912" customFormat="false" ht="17.6" hidden="false" customHeight="false" outlineLevel="0" collapsed="false">
      <c r="A1912" s="91" t="s">
        <v>2155</v>
      </c>
      <c r="B1912" s="90" t="s">
        <v>49</v>
      </c>
      <c r="C1912" s="90" t="n">
        <f aca="false">ROUND(E1912,0)</f>
        <v>11790</v>
      </c>
      <c r="D1912" s="90" t="s">
        <v>1978</v>
      </c>
      <c r="E1912" s="90" t="n">
        <f aca="false">16700*0.7+100</f>
        <v>11790</v>
      </c>
    </row>
    <row r="1913" customFormat="false" ht="17.6" hidden="false" customHeight="false" outlineLevel="0" collapsed="false">
      <c r="A1913" s="91" t="s">
        <v>2156</v>
      </c>
      <c r="B1913" s="90" t="s">
        <v>49</v>
      </c>
      <c r="C1913" s="90" t="n">
        <f aca="false">ROUND(E1913,0)</f>
        <v>10390</v>
      </c>
      <c r="D1913" s="90" t="s">
        <v>1978</v>
      </c>
      <c r="E1913" s="90" t="n">
        <f aca="false">14700*0.7+100</f>
        <v>10390</v>
      </c>
    </row>
    <row r="1914" customFormat="false" ht="17.6" hidden="false" customHeight="false" outlineLevel="0" collapsed="false">
      <c r="A1914" s="91" t="s">
        <v>2157</v>
      </c>
      <c r="B1914" s="90" t="s">
        <v>49</v>
      </c>
      <c r="C1914" s="90" t="n">
        <f aca="false">ROUND(E1914*G1914+F1914,0)</f>
        <v>11590</v>
      </c>
      <c r="D1914" s="90" t="s">
        <v>1978</v>
      </c>
      <c r="E1914" s="90" t="n">
        <v>15700</v>
      </c>
      <c r="F1914" s="90" t="n">
        <f aca="false">500+100</f>
        <v>600</v>
      </c>
      <c r="G1914" s="90" t="n">
        <v>0.7</v>
      </c>
    </row>
    <row r="1915" customFormat="false" ht="17.6" hidden="false" customHeight="false" outlineLevel="0" collapsed="false">
      <c r="A1915" s="91" t="s">
        <v>2158</v>
      </c>
      <c r="B1915" s="90" t="s">
        <v>49</v>
      </c>
      <c r="C1915" s="90" t="n">
        <f aca="false">ROUND(E1915*G1915+F1915,0)</f>
        <v>9420</v>
      </c>
      <c r="D1915" s="90" t="s">
        <v>1978</v>
      </c>
      <c r="E1915" s="90" t="n">
        <v>12600</v>
      </c>
      <c r="F1915" s="90" t="n">
        <f aca="false">500+100</f>
        <v>600</v>
      </c>
      <c r="G1915" s="90" t="n">
        <v>0.7</v>
      </c>
    </row>
    <row r="1916" customFormat="false" ht="17.6" hidden="false" customHeight="false" outlineLevel="0" collapsed="false">
      <c r="A1916" s="91" t="s">
        <v>2159</v>
      </c>
      <c r="B1916" s="90" t="s">
        <v>49</v>
      </c>
      <c r="C1916" s="90" t="n">
        <f aca="false">ROUND(E1916*G1916+F1916,0)</f>
        <v>14880</v>
      </c>
      <c r="D1916" s="90" t="s">
        <v>1978</v>
      </c>
      <c r="E1916" s="90" t="n">
        <v>20400</v>
      </c>
      <c r="F1916" s="90" t="n">
        <f aca="false">500+100</f>
        <v>600</v>
      </c>
      <c r="G1916" s="90" t="n">
        <v>0.7</v>
      </c>
    </row>
    <row r="1917" customFormat="false" ht="17.6" hidden="false" customHeight="false" outlineLevel="0" collapsed="false">
      <c r="A1917" s="91" t="s">
        <v>2160</v>
      </c>
      <c r="B1917" s="90" t="s">
        <v>49</v>
      </c>
      <c r="C1917" s="90" t="n">
        <f aca="false">ROUND(E1917*G1917+F1917,0)</f>
        <v>12080</v>
      </c>
      <c r="D1917" s="90" t="s">
        <v>1978</v>
      </c>
      <c r="E1917" s="90" t="n">
        <v>16400</v>
      </c>
      <c r="F1917" s="90" t="n">
        <f aca="false">500+100</f>
        <v>600</v>
      </c>
      <c r="G1917" s="90" t="n">
        <v>0.7</v>
      </c>
    </row>
    <row r="1918" customFormat="false" ht="17.6" hidden="false" customHeight="false" outlineLevel="0" collapsed="false">
      <c r="A1918" s="91" t="s">
        <v>2161</v>
      </c>
      <c r="B1918" s="90" t="s">
        <v>49</v>
      </c>
      <c r="C1918" s="90" t="n">
        <f aca="false">ROUND(E1918*G1918+F1918,0)</f>
        <v>12290</v>
      </c>
      <c r="D1918" s="90" t="s">
        <v>1978</v>
      </c>
      <c r="E1918" s="90" t="n">
        <v>16700</v>
      </c>
      <c r="F1918" s="90" t="n">
        <f aca="false">500+100</f>
        <v>600</v>
      </c>
      <c r="G1918" s="90" t="n">
        <v>0.7</v>
      </c>
    </row>
    <row r="1919" customFormat="false" ht="17.6" hidden="false" customHeight="false" outlineLevel="0" collapsed="false">
      <c r="A1919" s="91" t="s">
        <v>2162</v>
      </c>
      <c r="B1919" s="90" t="s">
        <v>49</v>
      </c>
      <c r="C1919" s="90" t="n">
        <f aca="false">ROUND(E1919*G1919+F1919,0)</f>
        <v>10120</v>
      </c>
      <c r="D1919" s="90" t="s">
        <v>1978</v>
      </c>
      <c r="E1919" s="90" t="n">
        <v>13600</v>
      </c>
      <c r="F1919" s="90" t="n">
        <f aca="false">500+100</f>
        <v>600</v>
      </c>
      <c r="G1919" s="90" t="n">
        <v>0.7</v>
      </c>
    </row>
    <row r="1920" customFormat="false" ht="17.6" hidden="false" customHeight="false" outlineLevel="0" collapsed="false">
      <c r="A1920" s="91" t="s">
        <v>2163</v>
      </c>
      <c r="B1920" s="90" t="s">
        <v>49</v>
      </c>
      <c r="C1920" s="90" t="n">
        <f aca="false">ROUND(E1920*G1920+F1920,0)</f>
        <v>15790</v>
      </c>
      <c r="D1920" s="90" t="s">
        <v>1978</v>
      </c>
      <c r="E1920" s="90" t="n">
        <v>21700</v>
      </c>
      <c r="F1920" s="90" t="n">
        <f aca="false">500+100</f>
        <v>600</v>
      </c>
      <c r="G1920" s="90" t="n">
        <v>0.7</v>
      </c>
    </row>
    <row r="1921" customFormat="false" ht="17.6" hidden="false" customHeight="false" outlineLevel="0" collapsed="false">
      <c r="A1921" s="91" t="s">
        <v>2164</v>
      </c>
      <c r="B1921" s="90" t="s">
        <v>49</v>
      </c>
      <c r="C1921" s="90" t="n">
        <f aca="false">ROUND(E1921*G1921+F1921,0)</f>
        <v>12990</v>
      </c>
      <c r="D1921" s="90" t="s">
        <v>1978</v>
      </c>
      <c r="E1921" s="90" t="n">
        <v>17700</v>
      </c>
      <c r="F1921" s="90" t="n">
        <f aca="false">500+100</f>
        <v>600</v>
      </c>
      <c r="G1921" s="90" t="n">
        <v>0.7</v>
      </c>
    </row>
    <row r="1922" customFormat="false" ht="17.6" hidden="false" customHeight="false" outlineLevel="0" collapsed="false">
      <c r="A1922" s="91" t="s">
        <v>2165</v>
      </c>
      <c r="B1922" s="90" t="s">
        <v>49</v>
      </c>
      <c r="C1922" s="90" t="n">
        <f aca="false">ROUND(E1922*G1922+F1922,0)</f>
        <v>12990</v>
      </c>
      <c r="D1922" s="90" t="s">
        <v>1978</v>
      </c>
      <c r="E1922" s="90" t="n">
        <v>17700</v>
      </c>
      <c r="F1922" s="90" t="n">
        <f aca="false">500+100</f>
        <v>600</v>
      </c>
      <c r="G1922" s="90" t="n">
        <v>0.7</v>
      </c>
    </row>
    <row r="1923" customFormat="false" ht="17.6" hidden="false" customHeight="false" outlineLevel="0" collapsed="false">
      <c r="A1923" s="91" t="s">
        <v>2166</v>
      </c>
      <c r="B1923" s="90" t="s">
        <v>49</v>
      </c>
      <c r="C1923" s="90" t="n">
        <f aca="false">ROUND(E1923*G1923+F1923,0)</f>
        <v>10820</v>
      </c>
      <c r="D1923" s="90" t="s">
        <v>1978</v>
      </c>
      <c r="E1923" s="90" t="n">
        <v>14600</v>
      </c>
      <c r="F1923" s="90" t="n">
        <f aca="false">500+100</f>
        <v>600</v>
      </c>
      <c r="G1923" s="90" t="n">
        <v>0.7</v>
      </c>
    </row>
    <row r="1924" customFormat="false" ht="17.6" hidden="false" customHeight="false" outlineLevel="0" collapsed="false">
      <c r="A1924" s="91" t="s">
        <v>2167</v>
      </c>
      <c r="B1924" s="90" t="s">
        <v>49</v>
      </c>
      <c r="C1924" s="90" t="n">
        <f aca="false">ROUND(E1924*G1924+F1924,0)</f>
        <v>16700</v>
      </c>
      <c r="D1924" s="90" t="s">
        <v>1978</v>
      </c>
      <c r="E1924" s="90" t="n">
        <v>23000</v>
      </c>
      <c r="F1924" s="90" t="n">
        <f aca="false">500+100</f>
        <v>600</v>
      </c>
      <c r="G1924" s="90" t="n">
        <v>0.7</v>
      </c>
    </row>
    <row r="1925" customFormat="false" ht="17.6" hidden="false" customHeight="false" outlineLevel="0" collapsed="false">
      <c r="A1925" s="91" t="s">
        <v>2168</v>
      </c>
      <c r="B1925" s="90" t="s">
        <v>49</v>
      </c>
      <c r="C1925" s="90" t="n">
        <f aca="false">ROUND(E1925*G1925+F1925,0)</f>
        <v>13900</v>
      </c>
      <c r="D1925" s="90" t="s">
        <v>1978</v>
      </c>
      <c r="E1925" s="90" t="n">
        <v>19000</v>
      </c>
      <c r="F1925" s="90" t="n">
        <f aca="false">500+100</f>
        <v>600</v>
      </c>
      <c r="G1925" s="90" t="n">
        <v>0.7</v>
      </c>
    </row>
    <row r="1926" customFormat="false" ht="17.6" hidden="false" customHeight="false" outlineLevel="0" collapsed="false">
      <c r="A1926" s="91" t="s">
        <v>2169</v>
      </c>
      <c r="B1926" s="90" t="s">
        <v>49</v>
      </c>
      <c r="C1926" s="90" t="n">
        <f aca="false">ROUND(E1926*G1926+F1926,0)</f>
        <v>15790</v>
      </c>
      <c r="D1926" s="90" t="s">
        <v>1978</v>
      </c>
      <c r="E1926" s="90" t="n">
        <v>21700</v>
      </c>
      <c r="F1926" s="90" t="n">
        <f aca="false">500+100</f>
        <v>600</v>
      </c>
      <c r="G1926" s="90" t="n">
        <v>0.7</v>
      </c>
    </row>
    <row r="1927" customFormat="false" ht="17.6" hidden="false" customHeight="false" outlineLevel="0" collapsed="false">
      <c r="A1927" s="91" t="s">
        <v>2170</v>
      </c>
      <c r="B1927" s="90" t="s">
        <v>49</v>
      </c>
      <c r="C1927" s="90" t="n">
        <f aca="false">ROUND(E1927*G1927+F1927,0)</f>
        <v>13620</v>
      </c>
      <c r="D1927" s="90" t="s">
        <v>1978</v>
      </c>
      <c r="E1927" s="90" t="n">
        <v>18600</v>
      </c>
      <c r="F1927" s="90" t="n">
        <f aca="false">500+100</f>
        <v>600</v>
      </c>
      <c r="G1927" s="90" t="n">
        <v>0.7</v>
      </c>
    </row>
    <row r="1928" customFormat="false" ht="17.6" hidden="false" customHeight="false" outlineLevel="0" collapsed="false">
      <c r="A1928" s="91" t="s">
        <v>2171</v>
      </c>
      <c r="B1928" s="90" t="s">
        <v>49</v>
      </c>
      <c r="C1928" s="90" t="n">
        <f aca="false">ROUND(E1928*G1928+F1928,0)</f>
        <v>20340</v>
      </c>
      <c r="D1928" s="90" t="s">
        <v>1978</v>
      </c>
      <c r="E1928" s="90" t="n">
        <v>28200</v>
      </c>
      <c r="F1928" s="90" t="n">
        <f aca="false">500+100</f>
        <v>600</v>
      </c>
      <c r="G1928" s="90" t="n">
        <v>0.7</v>
      </c>
    </row>
    <row r="1929" customFormat="false" ht="17.6" hidden="false" customHeight="false" outlineLevel="0" collapsed="false">
      <c r="A1929" s="91" t="s">
        <v>2172</v>
      </c>
      <c r="B1929" s="90" t="s">
        <v>49</v>
      </c>
      <c r="C1929" s="90" t="n">
        <f aca="false">ROUND(E1929*G1929+F1929,0)</f>
        <v>17540</v>
      </c>
      <c r="D1929" s="90" t="s">
        <v>1978</v>
      </c>
      <c r="E1929" s="90" t="n">
        <v>24200</v>
      </c>
      <c r="F1929" s="90" t="n">
        <f aca="false">500+100</f>
        <v>600</v>
      </c>
      <c r="G1929" s="90" t="n">
        <v>0.7</v>
      </c>
    </row>
    <row r="1930" customFormat="false" ht="17.6" hidden="false" customHeight="false" outlineLevel="0" collapsed="false">
      <c r="A1930" s="91" t="s">
        <v>2173</v>
      </c>
      <c r="B1930" s="90" t="s">
        <v>49</v>
      </c>
      <c r="C1930" s="90" t="n">
        <f aca="false">ROUND(E1930*G1930+F1930,0)</f>
        <v>10190</v>
      </c>
      <c r="D1930" s="90" t="s">
        <v>1978</v>
      </c>
      <c r="E1930" s="90" t="n">
        <v>13700</v>
      </c>
      <c r="F1930" s="90" t="n">
        <f aca="false">500+100</f>
        <v>600</v>
      </c>
      <c r="G1930" s="90" t="n">
        <v>0.7</v>
      </c>
    </row>
    <row r="1931" customFormat="false" ht="17.6" hidden="false" customHeight="false" outlineLevel="0" collapsed="false">
      <c r="A1931" s="91" t="s">
        <v>2174</v>
      </c>
      <c r="B1931" s="90" t="s">
        <v>49</v>
      </c>
      <c r="C1931" s="90" t="n">
        <f aca="false">ROUND(E1931*G1931+F1931,0)</f>
        <v>8020</v>
      </c>
      <c r="D1931" s="90" t="s">
        <v>1978</v>
      </c>
      <c r="E1931" s="90" t="n">
        <v>10600</v>
      </c>
      <c r="F1931" s="90" t="n">
        <f aca="false">500+100</f>
        <v>600</v>
      </c>
      <c r="G1931" s="90" t="n">
        <v>0.7</v>
      </c>
    </row>
    <row r="1932" customFormat="false" ht="17.6" hidden="false" customHeight="false" outlineLevel="0" collapsed="false">
      <c r="A1932" s="91" t="s">
        <v>2175</v>
      </c>
      <c r="B1932" s="90" t="s">
        <v>49</v>
      </c>
      <c r="C1932" s="90" t="n">
        <f aca="false">ROUND(E1932*G1932+F1932,0)</f>
        <v>13060</v>
      </c>
      <c r="D1932" s="90" t="s">
        <v>1978</v>
      </c>
      <c r="E1932" s="90" t="n">
        <v>17800</v>
      </c>
      <c r="F1932" s="90" t="n">
        <f aca="false">500+100</f>
        <v>600</v>
      </c>
      <c r="G1932" s="90" t="n">
        <v>0.7</v>
      </c>
    </row>
    <row r="1933" customFormat="false" ht="17.6" hidden="false" customHeight="false" outlineLevel="0" collapsed="false">
      <c r="A1933" s="91" t="s">
        <v>2176</v>
      </c>
      <c r="B1933" s="90" t="s">
        <v>49</v>
      </c>
      <c r="C1933" s="90" t="n">
        <f aca="false">ROUND(E1933*G1933+F1933,0)</f>
        <v>10260</v>
      </c>
      <c r="D1933" s="90" t="s">
        <v>1978</v>
      </c>
      <c r="E1933" s="90" t="n">
        <v>13800</v>
      </c>
      <c r="F1933" s="90" t="n">
        <f aca="false">500+100</f>
        <v>600</v>
      </c>
      <c r="G1933" s="90" t="n">
        <v>0.7</v>
      </c>
    </row>
    <row r="1934" customFormat="false" ht="17.6" hidden="false" customHeight="false" outlineLevel="0" collapsed="false">
      <c r="A1934" s="91" t="s">
        <v>2177</v>
      </c>
      <c r="B1934" s="90" t="s">
        <v>49</v>
      </c>
      <c r="C1934" s="90" t="n">
        <f aca="false">ROUND(E1934*G1934+F1934,0)</f>
        <v>10890</v>
      </c>
      <c r="D1934" s="90" t="s">
        <v>1978</v>
      </c>
      <c r="E1934" s="90" t="n">
        <v>14700</v>
      </c>
      <c r="F1934" s="90" t="n">
        <f aca="false">500+100</f>
        <v>600</v>
      </c>
      <c r="G1934" s="90" t="n">
        <v>0.7</v>
      </c>
    </row>
    <row r="1935" customFormat="false" ht="17.6" hidden="false" customHeight="false" outlineLevel="0" collapsed="false">
      <c r="A1935" s="91" t="s">
        <v>2178</v>
      </c>
      <c r="B1935" s="90" t="s">
        <v>49</v>
      </c>
      <c r="C1935" s="90" t="n">
        <f aca="false">ROUND(E1935*G1935+F1935,0)</f>
        <v>8720</v>
      </c>
      <c r="D1935" s="90" t="s">
        <v>1978</v>
      </c>
      <c r="E1935" s="90" t="n">
        <v>11600</v>
      </c>
      <c r="F1935" s="90" t="n">
        <f aca="false">500+100</f>
        <v>600</v>
      </c>
      <c r="G1935" s="90" t="n">
        <v>0.7</v>
      </c>
    </row>
    <row r="1936" customFormat="false" ht="17.6" hidden="false" customHeight="false" outlineLevel="0" collapsed="false">
      <c r="A1936" s="91" t="s">
        <v>2179</v>
      </c>
      <c r="B1936" s="90" t="s">
        <v>49</v>
      </c>
      <c r="C1936" s="90" t="n">
        <f aca="false">ROUND(E1936*G1936+F1936,0)</f>
        <v>13970</v>
      </c>
      <c r="D1936" s="90" t="s">
        <v>1978</v>
      </c>
      <c r="E1936" s="90" t="n">
        <v>19100</v>
      </c>
      <c r="F1936" s="90" t="n">
        <f aca="false">500+100</f>
        <v>600</v>
      </c>
      <c r="G1936" s="90" t="n">
        <v>0.7</v>
      </c>
    </row>
    <row r="1937" customFormat="false" ht="17.6" hidden="false" customHeight="false" outlineLevel="0" collapsed="false">
      <c r="A1937" s="91" t="s">
        <v>2180</v>
      </c>
      <c r="B1937" s="90" t="s">
        <v>49</v>
      </c>
      <c r="C1937" s="90" t="n">
        <f aca="false">ROUND(E1937*G1937+F1937,0)</f>
        <v>11170</v>
      </c>
      <c r="D1937" s="90" t="s">
        <v>1978</v>
      </c>
      <c r="E1937" s="90" t="n">
        <v>15100</v>
      </c>
      <c r="F1937" s="90" t="n">
        <f aca="false">500+100</f>
        <v>600</v>
      </c>
      <c r="G1937" s="90" t="n">
        <v>0.7</v>
      </c>
    </row>
    <row r="1938" customFormat="false" ht="17.6" hidden="false" customHeight="false" outlineLevel="0" collapsed="false">
      <c r="A1938" s="91" t="s">
        <v>2181</v>
      </c>
      <c r="B1938" s="90" t="s">
        <v>49</v>
      </c>
      <c r="C1938" s="90" t="n">
        <f aca="false">ROUND(E1938*G1938+F1938,0)</f>
        <v>17890</v>
      </c>
      <c r="D1938" s="90" t="s">
        <v>1978</v>
      </c>
      <c r="E1938" s="90" t="n">
        <v>24700</v>
      </c>
      <c r="F1938" s="90" t="n">
        <f aca="false">500+100</f>
        <v>600</v>
      </c>
      <c r="G1938" s="90" t="n">
        <v>0.7</v>
      </c>
    </row>
    <row r="1939" customFormat="false" ht="17.6" hidden="false" customHeight="false" outlineLevel="0" collapsed="false">
      <c r="A1939" s="91" t="s">
        <v>2182</v>
      </c>
      <c r="B1939" s="90" t="s">
        <v>49</v>
      </c>
      <c r="C1939" s="90" t="n">
        <f aca="false">ROUND(E1939*G1939+F1939,0)</f>
        <v>15720</v>
      </c>
      <c r="D1939" s="90" t="s">
        <v>1978</v>
      </c>
      <c r="E1939" s="90" t="n">
        <v>21600</v>
      </c>
      <c r="F1939" s="90" t="n">
        <f aca="false">500+100</f>
        <v>600</v>
      </c>
      <c r="G1939" s="90" t="n">
        <v>0.7</v>
      </c>
    </row>
    <row r="1940" customFormat="false" ht="17.6" hidden="false" customHeight="false" outlineLevel="0" collapsed="false">
      <c r="A1940" s="91" t="s">
        <v>2183</v>
      </c>
      <c r="B1940" s="90" t="s">
        <v>49</v>
      </c>
      <c r="C1940" s="90" t="n">
        <f aca="false">ROUND(E1940*G1940+F1940,0)</f>
        <v>23070</v>
      </c>
      <c r="D1940" s="90" t="s">
        <v>1978</v>
      </c>
      <c r="E1940" s="90" t="n">
        <v>32100</v>
      </c>
      <c r="F1940" s="90" t="n">
        <f aca="false">500+100</f>
        <v>600</v>
      </c>
      <c r="G1940" s="90" t="n">
        <v>0.7</v>
      </c>
    </row>
    <row r="1941" customFormat="false" ht="17.6" hidden="false" customHeight="false" outlineLevel="0" collapsed="false">
      <c r="A1941" s="91" t="s">
        <v>2184</v>
      </c>
      <c r="B1941" s="90" t="s">
        <v>49</v>
      </c>
      <c r="C1941" s="90" t="n">
        <f aca="false">ROUND(E1941*G1941+F1941,0)</f>
        <v>20270</v>
      </c>
      <c r="D1941" s="90" t="s">
        <v>1978</v>
      </c>
      <c r="E1941" s="90" t="n">
        <v>28100</v>
      </c>
      <c r="F1941" s="90" t="n">
        <f aca="false">500+100</f>
        <v>600</v>
      </c>
      <c r="G1941" s="90" t="n">
        <v>0.7</v>
      </c>
    </row>
    <row r="1942" customFormat="false" ht="17.6" hidden="false" customHeight="false" outlineLevel="0" collapsed="false">
      <c r="A1942" s="91" t="s">
        <v>2185</v>
      </c>
      <c r="B1942" s="90" t="s">
        <v>49</v>
      </c>
      <c r="C1942" s="90" t="n">
        <f aca="false">ROUND(E1942*G1942+F1942,0)</f>
        <v>19290</v>
      </c>
      <c r="D1942" s="90" t="s">
        <v>1978</v>
      </c>
      <c r="E1942" s="90" t="n">
        <v>26700</v>
      </c>
      <c r="F1942" s="90" t="n">
        <f aca="false">500+100</f>
        <v>600</v>
      </c>
      <c r="G1942" s="90" t="n">
        <v>0.7</v>
      </c>
    </row>
    <row r="1943" customFormat="false" ht="17.6" hidden="false" customHeight="false" outlineLevel="0" collapsed="false">
      <c r="A1943" s="91" t="s">
        <v>2186</v>
      </c>
      <c r="B1943" s="90" t="s">
        <v>49</v>
      </c>
      <c r="C1943" s="90" t="n">
        <f aca="false">ROUND(E1943*G1943+F1943,0)</f>
        <v>16420</v>
      </c>
      <c r="D1943" s="90" t="s">
        <v>1978</v>
      </c>
      <c r="E1943" s="90" t="n">
        <v>22600</v>
      </c>
      <c r="F1943" s="90" t="n">
        <f aca="false">500+100</f>
        <v>600</v>
      </c>
      <c r="G1943" s="90" t="n">
        <v>0.7</v>
      </c>
    </row>
    <row r="1944" customFormat="false" ht="17.6" hidden="false" customHeight="false" outlineLevel="0" collapsed="false">
      <c r="A1944" s="91" t="s">
        <v>2187</v>
      </c>
      <c r="B1944" s="90" t="s">
        <v>49</v>
      </c>
      <c r="C1944" s="90" t="n">
        <f aca="false">ROUND(E1944*G1944+F1944,0)</f>
        <v>24890</v>
      </c>
      <c r="D1944" s="90" t="s">
        <v>1978</v>
      </c>
      <c r="E1944" s="90" t="n">
        <v>34700</v>
      </c>
      <c r="F1944" s="90" t="n">
        <f aca="false">500+100</f>
        <v>600</v>
      </c>
      <c r="G1944" s="90" t="n">
        <v>0.7</v>
      </c>
    </row>
    <row r="1945" customFormat="false" ht="17.6" hidden="false" customHeight="false" outlineLevel="0" collapsed="false">
      <c r="A1945" s="91" t="s">
        <v>2188</v>
      </c>
      <c r="B1945" s="90" t="s">
        <v>49</v>
      </c>
      <c r="C1945" s="90" t="n">
        <f aca="false">ROUND(E1945*G1945+F1945,0)</f>
        <v>21180</v>
      </c>
      <c r="D1945" s="90" t="s">
        <v>1978</v>
      </c>
      <c r="E1945" s="90" t="n">
        <v>29400</v>
      </c>
      <c r="F1945" s="90" t="n">
        <f aca="false">500+100</f>
        <v>600</v>
      </c>
      <c r="G1945" s="90" t="n">
        <v>0.7</v>
      </c>
    </row>
    <row r="1946" customFormat="false" ht="17.6" hidden="false" customHeight="false" outlineLevel="0" collapsed="false">
      <c r="A1946" s="91" t="s">
        <v>2189</v>
      </c>
      <c r="B1946" s="90" t="s">
        <v>49</v>
      </c>
      <c r="C1946" s="90" t="n">
        <f aca="false">ROUND(E1946*G1946+F1946,0)</f>
        <v>20690</v>
      </c>
      <c r="D1946" s="90" t="s">
        <v>1978</v>
      </c>
      <c r="E1946" s="90" t="n">
        <v>28700</v>
      </c>
      <c r="F1946" s="90" t="n">
        <f aca="false">500+100</f>
        <v>600</v>
      </c>
      <c r="G1946" s="90" t="n">
        <v>0.7</v>
      </c>
    </row>
    <row r="1947" customFormat="false" ht="17.6" hidden="false" customHeight="false" outlineLevel="0" collapsed="false">
      <c r="A1947" s="91" t="s">
        <v>2190</v>
      </c>
      <c r="B1947" s="90" t="s">
        <v>49</v>
      </c>
      <c r="C1947" s="90" t="n">
        <f aca="false">ROUND(E1947*G1947+F1947,0)</f>
        <v>17820</v>
      </c>
      <c r="D1947" s="90" t="s">
        <v>1978</v>
      </c>
      <c r="E1947" s="90" t="n">
        <v>24600</v>
      </c>
      <c r="F1947" s="90" t="n">
        <f aca="false">500+100</f>
        <v>600</v>
      </c>
      <c r="G1947" s="90" t="n">
        <v>0.7</v>
      </c>
    </row>
    <row r="1948" customFormat="false" ht="17.6" hidden="false" customHeight="false" outlineLevel="0" collapsed="false">
      <c r="A1948" s="91" t="s">
        <v>2191</v>
      </c>
      <c r="B1948" s="90" t="s">
        <v>49</v>
      </c>
      <c r="C1948" s="90" t="n">
        <f aca="false">ROUND(E1948*G1948+F1948,0)</f>
        <v>26710</v>
      </c>
      <c r="D1948" s="90" t="s">
        <v>1978</v>
      </c>
      <c r="E1948" s="90" t="n">
        <v>37300</v>
      </c>
      <c r="F1948" s="90" t="n">
        <f aca="false">500+100</f>
        <v>600</v>
      </c>
      <c r="G1948" s="90" t="n">
        <v>0.7</v>
      </c>
    </row>
    <row r="1949" customFormat="false" ht="17.6" hidden="false" customHeight="false" outlineLevel="0" collapsed="false">
      <c r="A1949" s="91" t="s">
        <v>2192</v>
      </c>
      <c r="B1949" s="90" t="s">
        <v>49</v>
      </c>
      <c r="C1949" s="90" t="n">
        <f aca="false">ROUND(E1949*G1949+F1949,0)</f>
        <v>23000</v>
      </c>
      <c r="D1949" s="90" t="s">
        <v>1978</v>
      </c>
      <c r="E1949" s="90" t="n">
        <v>32000</v>
      </c>
      <c r="F1949" s="90" t="n">
        <f aca="false">500+100</f>
        <v>600</v>
      </c>
      <c r="G1949" s="90" t="n">
        <v>0.7</v>
      </c>
    </row>
    <row r="1950" customFormat="false" ht="17.6" hidden="false" customHeight="false" outlineLevel="0" collapsed="false">
      <c r="A1950" s="91" t="s">
        <v>2193</v>
      </c>
      <c r="B1950" s="90" t="s">
        <v>49</v>
      </c>
      <c r="C1950" s="90" t="n">
        <f aca="false">ROUND(E1950*G1950+F1950,0)</f>
        <v>22790</v>
      </c>
      <c r="D1950" s="90" t="s">
        <v>1978</v>
      </c>
      <c r="E1950" s="90" t="n">
        <v>31700</v>
      </c>
      <c r="F1950" s="90" t="n">
        <f aca="false">500+100</f>
        <v>600</v>
      </c>
      <c r="G1950" s="90" t="n">
        <v>0.7</v>
      </c>
    </row>
    <row r="1951" customFormat="false" ht="17.6" hidden="false" customHeight="false" outlineLevel="0" collapsed="false">
      <c r="A1951" s="91" t="s">
        <v>2194</v>
      </c>
      <c r="B1951" s="90" t="s">
        <v>49</v>
      </c>
      <c r="C1951" s="90" t="n">
        <f aca="false">ROUND(E1951*G1951+F1951,0)</f>
        <v>19920</v>
      </c>
      <c r="D1951" s="90" t="s">
        <v>1978</v>
      </c>
      <c r="E1951" s="90" t="n">
        <v>27600</v>
      </c>
      <c r="F1951" s="90" t="n">
        <f aca="false">500+100</f>
        <v>600</v>
      </c>
      <c r="G1951" s="90" t="n">
        <v>0.7</v>
      </c>
    </row>
    <row r="1952" customFormat="false" ht="17.6" hidden="false" customHeight="false" outlineLevel="0" collapsed="false">
      <c r="A1952" s="91" t="s">
        <v>2195</v>
      </c>
      <c r="B1952" s="90" t="s">
        <v>49</v>
      </c>
      <c r="C1952" s="90" t="n">
        <f aca="false">ROUND(E1952*G1952+F1952,0)</f>
        <v>29440</v>
      </c>
      <c r="D1952" s="90" t="s">
        <v>1978</v>
      </c>
      <c r="E1952" s="90" t="n">
        <v>41200</v>
      </c>
      <c r="F1952" s="90" t="n">
        <f aca="false">500+100</f>
        <v>600</v>
      </c>
      <c r="G1952" s="90" t="n">
        <v>0.7</v>
      </c>
    </row>
    <row r="1953" customFormat="false" ht="17.6" hidden="false" customHeight="false" outlineLevel="0" collapsed="false">
      <c r="A1953" s="91" t="s">
        <v>2196</v>
      </c>
      <c r="B1953" s="90" t="s">
        <v>49</v>
      </c>
      <c r="C1953" s="90" t="n">
        <f aca="false">ROUND(E1953*G1953+F1953,0)</f>
        <v>25730</v>
      </c>
      <c r="D1953" s="90" t="s">
        <v>1978</v>
      </c>
      <c r="E1953" s="90" t="n">
        <v>35900</v>
      </c>
      <c r="F1953" s="90" t="n">
        <f aca="false">500+100</f>
        <v>600</v>
      </c>
      <c r="G1953" s="90" t="n">
        <v>0.7</v>
      </c>
    </row>
    <row r="1954" customFormat="false" ht="17.6" hidden="false" customHeight="false" outlineLevel="0" collapsed="false">
      <c r="A1954" s="91" t="s">
        <v>2197</v>
      </c>
      <c r="B1954" s="90" t="s">
        <v>49</v>
      </c>
      <c r="C1954" s="90" t="n">
        <f aca="false">ROUND(E1954*G1954+F1954,0)</f>
        <v>30490</v>
      </c>
      <c r="D1954" s="90" t="s">
        <v>1978</v>
      </c>
      <c r="E1954" s="90" t="n">
        <v>42700</v>
      </c>
      <c r="F1954" s="90" t="n">
        <f aca="false">500+100</f>
        <v>600</v>
      </c>
      <c r="G1954" s="90" t="n">
        <v>0.7</v>
      </c>
    </row>
    <row r="1955" customFormat="false" ht="17.6" hidden="false" customHeight="false" outlineLevel="0" collapsed="false">
      <c r="A1955" s="91" t="s">
        <v>2198</v>
      </c>
      <c r="B1955" s="90" t="s">
        <v>49</v>
      </c>
      <c r="C1955" s="90" t="n">
        <f aca="false">ROUND(E1955*G1955+F1955,0)</f>
        <v>43825</v>
      </c>
      <c r="D1955" s="90" t="s">
        <v>1978</v>
      </c>
      <c r="E1955" s="90" t="n">
        <v>61750</v>
      </c>
      <c r="F1955" s="90" t="n">
        <f aca="false">500+100</f>
        <v>600</v>
      </c>
      <c r="G1955" s="90" t="n">
        <v>0.7</v>
      </c>
    </row>
    <row r="1956" customFormat="false" ht="17.6" hidden="false" customHeight="false" outlineLevel="0" collapsed="false">
      <c r="A1956" s="91" t="s">
        <v>2199</v>
      </c>
      <c r="B1956" s="90" t="s">
        <v>49</v>
      </c>
      <c r="C1956" s="90" t="n">
        <f aca="false">ROUND(E1956*G1956+F1956,0)</f>
        <v>31190</v>
      </c>
      <c r="D1956" s="90" t="s">
        <v>1978</v>
      </c>
      <c r="E1956" s="90" t="n">
        <v>43700</v>
      </c>
      <c r="F1956" s="90" t="n">
        <f aca="false">500+100</f>
        <v>600</v>
      </c>
      <c r="G1956" s="90" t="n">
        <v>0.7</v>
      </c>
    </row>
    <row r="1957" customFormat="false" ht="17.6" hidden="false" customHeight="false" outlineLevel="0" collapsed="false">
      <c r="A1957" s="91" t="s">
        <v>2200</v>
      </c>
      <c r="B1957" s="90" t="s">
        <v>49</v>
      </c>
      <c r="C1957" s="90" t="n">
        <f aca="false">ROUND(E1957*G1957+F1957,0)</f>
        <v>44525</v>
      </c>
      <c r="D1957" s="90" t="s">
        <v>1978</v>
      </c>
      <c r="E1957" s="90" t="n">
        <v>62750</v>
      </c>
      <c r="F1957" s="90" t="n">
        <f aca="false">500+100</f>
        <v>600</v>
      </c>
      <c r="G1957" s="90" t="n">
        <v>0.7</v>
      </c>
    </row>
    <row r="1958" customFormat="false" ht="17.6" hidden="false" customHeight="false" outlineLevel="0" collapsed="false">
      <c r="A1958" s="91" t="s">
        <v>2201</v>
      </c>
      <c r="B1958" s="90" t="s">
        <v>49</v>
      </c>
      <c r="C1958" s="90" t="n">
        <f aca="false">ROUND(E1958*G1958+F1958,0)</f>
        <v>31890</v>
      </c>
      <c r="D1958" s="90" t="s">
        <v>1978</v>
      </c>
      <c r="E1958" s="90" t="n">
        <v>44700</v>
      </c>
      <c r="F1958" s="90" t="n">
        <f aca="false">500+100</f>
        <v>600</v>
      </c>
      <c r="G1958" s="90" t="n">
        <v>0.7</v>
      </c>
    </row>
    <row r="1959" customFormat="false" ht="17.6" hidden="false" customHeight="false" outlineLevel="0" collapsed="false">
      <c r="A1959" s="91" t="s">
        <v>2202</v>
      </c>
      <c r="B1959" s="90" t="s">
        <v>49</v>
      </c>
      <c r="C1959" s="90" t="n">
        <f aca="false">ROUND(E1959*G1959+F1959,0)</f>
        <v>45925</v>
      </c>
      <c r="D1959" s="90" t="s">
        <v>1978</v>
      </c>
      <c r="E1959" s="90" t="n">
        <v>64750</v>
      </c>
      <c r="F1959" s="90" t="n">
        <f aca="false">500+100</f>
        <v>600</v>
      </c>
      <c r="G1959" s="90" t="n">
        <v>0.7</v>
      </c>
    </row>
    <row r="1960" customFormat="false" ht="17.6" hidden="false" customHeight="false" outlineLevel="0" collapsed="false">
      <c r="A1960" s="91" t="s">
        <v>2203</v>
      </c>
      <c r="B1960" s="90" t="s">
        <v>49</v>
      </c>
      <c r="C1960" s="90" t="n">
        <f aca="false">ROUND(E1960*G1960+F1960,0)</f>
        <v>51490</v>
      </c>
      <c r="D1960" s="90" t="s">
        <v>1978</v>
      </c>
      <c r="E1960" s="90" t="n">
        <v>72700</v>
      </c>
      <c r="F1960" s="90" t="n">
        <f aca="false">500+100</f>
        <v>600</v>
      </c>
      <c r="G1960" s="90" t="n">
        <v>0.7</v>
      </c>
    </row>
    <row r="1961" customFormat="false" ht="17.6" hidden="false" customHeight="false" outlineLevel="0" collapsed="false">
      <c r="A1961" s="91" t="s">
        <v>2204</v>
      </c>
      <c r="B1961" s="90" t="s">
        <v>49</v>
      </c>
      <c r="C1961" s="90" t="n">
        <f aca="false">ROUND(E1961*G1961+F1961,0)</f>
        <v>66750</v>
      </c>
      <c r="D1961" s="90" t="s">
        <v>1978</v>
      </c>
      <c r="E1961" s="90" t="n">
        <v>94500</v>
      </c>
      <c r="F1961" s="90" t="n">
        <f aca="false">500+100</f>
        <v>600</v>
      </c>
      <c r="G1961" s="90" t="n">
        <v>0.7</v>
      </c>
    </row>
    <row r="1962" customFormat="false" ht="17.6" hidden="false" customHeight="false" outlineLevel="0" collapsed="false">
      <c r="A1962" s="91" t="s">
        <v>2205</v>
      </c>
      <c r="B1962" s="90" t="s">
        <v>49</v>
      </c>
      <c r="C1962" s="90" t="n">
        <f aca="false">ROUND(E1962*G1962+F1962,0)</f>
        <v>57090</v>
      </c>
      <c r="D1962" s="90" t="s">
        <v>1978</v>
      </c>
      <c r="E1962" s="90" t="n">
        <v>80700</v>
      </c>
      <c r="F1962" s="90" t="n">
        <f aca="false">500+100</f>
        <v>600</v>
      </c>
      <c r="G1962" s="90" t="n">
        <v>0.7</v>
      </c>
    </row>
    <row r="1963" customFormat="false" ht="17.6" hidden="false" customHeight="false" outlineLevel="0" collapsed="false">
      <c r="A1963" s="91" t="s">
        <v>2206</v>
      </c>
      <c r="B1963" s="90" t="s">
        <v>49</v>
      </c>
      <c r="C1963" s="90" t="n">
        <f aca="false">ROUND(E1963*G1963+F1963,0)</f>
        <v>74030</v>
      </c>
      <c r="D1963" s="90" t="s">
        <v>1978</v>
      </c>
      <c r="E1963" s="90" t="n">
        <v>104900</v>
      </c>
      <c r="F1963" s="90" t="n">
        <f aca="false">500+100</f>
        <v>600</v>
      </c>
      <c r="G1963" s="90" t="n">
        <v>0.7</v>
      </c>
    </row>
    <row r="1964" customFormat="false" ht="17.6" hidden="false" customHeight="false" outlineLevel="0" collapsed="false">
      <c r="A1964" s="91" t="s">
        <v>2207</v>
      </c>
      <c r="B1964" s="90" t="s">
        <v>49</v>
      </c>
      <c r="C1964" s="90" t="n">
        <f aca="false">ROUND(E1964*G1964+F1964,0)</f>
        <v>79385</v>
      </c>
      <c r="D1964" s="90" t="s">
        <v>1978</v>
      </c>
      <c r="E1964" s="90" t="n">
        <v>112550</v>
      </c>
      <c r="F1964" s="90" t="n">
        <f aca="false">500+100</f>
        <v>600</v>
      </c>
      <c r="G1964" s="90" t="n">
        <v>0.7</v>
      </c>
    </row>
    <row r="1965" customFormat="false" ht="17.6" hidden="false" customHeight="false" outlineLevel="0" collapsed="false">
      <c r="A1965" s="91" t="s">
        <v>2208</v>
      </c>
      <c r="B1965" s="90" t="s">
        <v>49</v>
      </c>
      <c r="C1965" s="90" t="n">
        <f aca="false">ROUND(E1965*G1965+F1965,0)</f>
        <v>101330</v>
      </c>
      <c r="D1965" s="90" t="s">
        <v>1978</v>
      </c>
      <c r="E1965" s="90" t="n">
        <v>143900</v>
      </c>
      <c r="F1965" s="90" t="n">
        <f aca="false">500+100</f>
        <v>600</v>
      </c>
      <c r="G1965" s="90" t="n">
        <v>0.7</v>
      </c>
    </row>
    <row r="1966" customFormat="false" ht="17.6" hidden="false" customHeight="false" outlineLevel="0" collapsed="false">
      <c r="A1966" s="91" t="s">
        <v>2209</v>
      </c>
      <c r="B1966" s="90" t="s">
        <v>49</v>
      </c>
      <c r="C1966" s="90" t="n">
        <f aca="false">ROUND(E1966,0)</f>
        <v>16090</v>
      </c>
      <c r="D1966" s="90" t="s">
        <v>1978</v>
      </c>
      <c r="E1966" s="90" t="n">
        <f aca="false">21700*0.7+500+100+300</f>
        <v>16090</v>
      </c>
    </row>
    <row r="1967" customFormat="false" ht="17.6" hidden="false" customHeight="false" outlineLevel="0" collapsed="false">
      <c r="A1967" s="91" t="s">
        <v>2210</v>
      </c>
      <c r="B1967" s="90" t="s">
        <v>49</v>
      </c>
      <c r="C1967" s="90" t="n">
        <f aca="false">51400*0.7+500+100</f>
        <v>36580</v>
      </c>
      <c r="D1967" s="90" t="s">
        <v>1978</v>
      </c>
    </row>
    <row r="1968" customFormat="false" ht="17.6" hidden="false" customHeight="false" outlineLevel="0" collapsed="false">
      <c r="A1968" s="89" t="s">
        <v>2211</v>
      </c>
      <c r="B1968" s="90" t="s">
        <v>2211</v>
      </c>
      <c r="C1968" s="90" t="n">
        <v>2400</v>
      </c>
      <c r="D1968" s="90" t="s">
        <v>1420</v>
      </c>
    </row>
    <row r="1969" customFormat="false" ht="17.6" hidden="false" customHeight="false" outlineLevel="0" collapsed="false">
      <c r="A1969" s="89" t="s">
        <v>63</v>
      </c>
      <c r="D1969" s="90" t="s">
        <v>1420</v>
      </c>
    </row>
    <row r="1970" customFormat="false" ht="17.6" hidden="false" customHeight="false" outlineLevel="0" collapsed="false">
      <c r="A1970" s="89" t="s">
        <v>2212</v>
      </c>
      <c r="B1970" s="90" t="s">
        <v>2213</v>
      </c>
      <c r="C1970" s="90" t="n">
        <v>160</v>
      </c>
      <c r="D1970" s="90" t="s">
        <v>2214</v>
      </c>
    </row>
    <row r="1971" customFormat="false" ht="17.6" hidden="false" customHeight="false" outlineLevel="0" collapsed="false">
      <c r="A1971" s="89" t="s">
        <v>2215</v>
      </c>
      <c r="B1971" s="90" t="s">
        <v>2213</v>
      </c>
      <c r="C1971" s="90" t="n">
        <v>130</v>
      </c>
      <c r="D1971" s="90" t="s">
        <v>2214</v>
      </c>
    </row>
    <row r="1972" customFormat="false" ht="17.6" hidden="false" customHeight="false" outlineLevel="0" collapsed="false">
      <c r="A1972" s="89" t="s">
        <v>2216</v>
      </c>
      <c r="B1972" s="90" t="s">
        <v>59</v>
      </c>
      <c r="D1972" s="90" t="s">
        <v>2055</v>
      </c>
    </row>
    <row r="1973" customFormat="false" ht="17.6" hidden="false" customHeight="false" outlineLevel="0" collapsed="false">
      <c r="A1973" s="89" t="s">
        <v>2217</v>
      </c>
      <c r="D1973" s="90" t="s">
        <v>2218</v>
      </c>
    </row>
    <row r="1974" customFormat="false" ht="17.6" hidden="false" customHeight="false" outlineLevel="0" collapsed="false">
      <c r="A1974" s="89" t="s">
        <v>2219</v>
      </c>
      <c r="B1974" s="90" t="s">
        <v>2220</v>
      </c>
      <c r="C1974" s="90" t="n">
        <f aca="false">1500*0.7+300*0.7</f>
        <v>1260</v>
      </c>
      <c r="D1974" s="90" t="s">
        <v>1433</v>
      </c>
    </row>
    <row r="1975" customFormat="false" ht="17.6" hidden="false" customHeight="false" outlineLevel="0" collapsed="false">
      <c r="A1975" s="89" t="s">
        <v>2221</v>
      </c>
      <c r="B1975" s="90" t="s">
        <v>2221</v>
      </c>
      <c r="C1975" s="90" t="n">
        <v>45</v>
      </c>
      <c r="D1975" s="90" t="s">
        <v>2222</v>
      </c>
    </row>
    <row r="1976" customFormat="false" ht="17.6" hidden="false" customHeight="false" outlineLevel="0" collapsed="false">
      <c r="A1976" s="89" t="s">
        <v>2223</v>
      </c>
      <c r="B1976" s="90" t="s">
        <v>2223</v>
      </c>
      <c r="C1976" s="90" t="n">
        <v>40</v>
      </c>
      <c r="D1976" s="90" t="s">
        <v>2222</v>
      </c>
    </row>
    <row r="1977" customFormat="false" ht="17.6" hidden="false" customHeight="false" outlineLevel="0" collapsed="false">
      <c r="A1977" s="89" t="s">
        <v>59</v>
      </c>
      <c r="B1977" s="90" t="s">
        <v>59</v>
      </c>
      <c r="D1977" s="90" t="s">
        <v>2055</v>
      </c>
    </row>
    <row r="1978" customFormat="false" ht="17.6" hidden="false" customHeight="false" outlineLevel="0" collapsed="false">
      <c r="A1978" s="89" t="s">
        <v>2224</v>
      </c>
      <c r="D1978" s="90" t="s">
        <v>2055</v>
      </c>
    </row>
    <row r="1979" customFormat="false" ht="17.6" hidden="false" customHeight="false" outlineLevel="0" collapsed="false">
      <c r="A1979" s="89" t="s">
        <v>2225</v>
      </c>
      <c r="D1979" s="90" t="s">
        <v>1420</v>
      </c>
    </row>
    <row r="1980" customFormat="false" ht="17.6" hidden="false" customHeight="false" outlineLevel="0" collapsed="false">
      <c r="A1980" s="91"/>
    </row>
    <row r="1981" customFormat="false" ht="17.6" hidden="false" customHeight="false" outlineLevel="0" collapsed="false">
      <c r="A1981" s="91"/>
    </row>
    <row r="1982" customFormat="false" ht="17.6" hidden="false" customHeight="false" outlineLevel="0" collapsed="false">
      <c r="A1982" s="91" t="s">
        <v>2226</v>
      </c>
      <c r="C1982" s="90" t="n">
        <f aca="false">ROUND(1180*0.7,)</f>
        <v>826</v>
      </c>
      <c r="D1982" s="90" t="s">
        <v>1078</v>
      </c>
    </row>
    <row r="1983" customFormat="false" ht="17.6" hidden="false" customHeight="false" outlineLevel="0" collapsed="false">
      <c r="A1983" s="91" t="s">
        <v>2227</v>
      </c>
      <c r="C1983" s="90" t="n">
        <f aca="false">ROUND(1588*0.7,)</f>
        <v>1112</v>
      </c>
      <c r="D1983" s="90" t="s">
        <v>1078</v>
      </c>
    </row>
    <row r="1984" customFormat="false" ht="17.6" hidden="false" customHeight="false" outlineLevel="0" collapsed="false">
      <c r="A1984" s="91" t="s">
        <v>2228</v>
      </c>
      <c r="C1984" s="90" t="n">
        <f aca="false">ROUND(2188*0.7,)</f>
        <v>1532</v>
      </c>
      <c r="D1984" s="90" t="s">
        <v>1078</v>
      </c>
    </row>
    <row r="1985" customFormat="false" ht="17.6" hidden="false" customHeight="false" outlineLevel="0" collapsed="false">
      <c r="A1985" s="91" t="s">
        <v>2229</v>
      </c>
      <c r="C1985" s="90" t="n">
        <f aca="false">ROUND(2688*0.7,)</f>
        <v>1882</v>
      </c>
      <c r="D1985" s="90" t="s">
        <v>1078</v>
      </c>
    </row>
    <row r="1986" customFormat="false" ht="17.6" hidden="false" customHeight="false" outlineLevel="0" collapsed="false">
      <c r="A1986" s="91" t="s">
        <v>2230</v>
      </c>
      <c r="C1986" s="90" t="n">
        <f aca="false">3645*0.8</f>
        <v>2916</v>
      </c>
      <c r="D1986" s="90" t="s">
        <v>905</v>
      </c>
    </row>
    <row r="1987" customFormat="false" ht="17.6" hidden="false" customHeight="false" outlineLevel="0" collapsed="false">
      <c r="A1987" s="91" t="s">
        <v>2231</v>
      </c>
      <c r="C1987" s="90" t="n">
        <f aca="false">1740*0.8</f>
        <v>1392</v>
      </c>
      <c r="D1987" s="90" t="s">
        <v>905</v>
      </c>
    </row>
    <row r="1988" customFormat="false" ht="17.6" hidden="false" customHeight="false" outlineLevel="0" collapsed="false">
      <c r="A1988" s="91" t="s">
        <v>2232</v>
      </c>
      <c r="C1988" s="90" t="n">
        <v>2100</v>
      </c>
      <c r="D1988" s="90" t="s">
        <v>2233</v>
      </c>
    </row>
    <row r="1989" customFormat="false" ht="17.6" hidden="false" customHeight="false" outlineLevel="0" collapsed="false">
      <c r="A1989" s="91" t="s">
        <v>2234</v>
      </c>
      <c r="C1989" s="90" t="n">
        <v>1300</v>
      </c>
      <c r="D1989" s="90" t="s">
        <v>2233</v>
      </c>
    </row>
    <row r="1990" customFormat="false" ht="17.6" hidden="false" customHeight="false" outlineLevel="0" collapsed="false">
      <c r="A1990" s="91" t="s">
        <v>2235</v>
      </c>
      <c r="C1990" s="90" t="n">
        <v>1600</v>
      </c>
      <c r="D1990" s="90" t="s">
        <v>2233</v>
      </c>
    </row>
    <row r="1991" customFormat="false" ht="17.6" hidden="false" customHeight="false" outlineLevel="0" collapsed="false">
      <c r="A1991" s="91" t="s">
        <v>2236</v>
      </c>
      <c r="C1991" s="90" t="n">
        <v>24</v>
      </c>
      <c r="D1991" s="90" t="s">
        <v>1232</v>
      </c>
    </row>
    <row r="1992" customFormat="false" ht="17.6" hidden="false" customHeight="false" outlineLevel="0" collapsed="false">
      <c r="A1992" s="91" t="s">
        <v>2237</v>
      </c>
      <c r="C1992" s="90" t="n">
        <f aca="false">854.7*0.58</f>
        <v>495.726</v>
      </c>
      <c r="D1992" s="90" t="s">
        <v>1205</v>
      </c>
    </row>
    <row r="1993" customFormat="false" ht="17.6" hidden="false" customHeight="false" outlineLevel="0" collapsed="false">
      <c r="A1993" s="91" t="s">
        <v>2238</v>
      </c>
      <c r="C1993" s="90" t="n">
        <f aca="false">844*0.58</f>
        <v>489.52</v>
      </c>
      <c r="D1993" s="90" t="s">
        <v>1205</v>
      </c>
    </row>
    <row r="1994" customFormat="false" ht="17.6" hidden="false" customHeight="false" outlineLevel="0" collapsed="false">
      <c r="A1994" s="91" t="s">
        <v>2239</v>
      </c>
      <c r="C1994" s="90" t="n">
        <f aca="false">9735*0.58</f>
        <v>5646.3</v>
      </c>
      <c r="D1994" s="90" t="s">
        <v>1205</v>
      </c>
    </row>
    <row r="1995" customFormat="false" ht="18" hidden="false" customHeight="false" outlineLevel="0" collapsed="false">
      <c r="A1995" s="101" t="s">
        <v>2240</v>
      </c>
      <c r="C1995" s="90" t="n">
        <f aca="false">844*0.58</f>
        <v>489.52</v>
      </c>
      <c r="D1995" s="90" t="s">
        <v>1205</v>
      </c>
    </row>
    <row r="1996" customFormat="false" ht="18" hidden="false" customHeight="false" outlineLevel="0" collapsed="false">
      <c r="A1996" s="101" t="s">
        <v>2241</v>
      </c>
      <c r="C1996" s="90" t="n">
        <f aca="false">2084*0.58</f>
        <v>1208.72</v>
      </c>
      <c r="D1996" s="90" t="s">
        <v>1205</v>
      </c>
    </row>
    <row r="1997" customFormat="false" ht="18" hidden="false" customHeight="false" outlineLevel="0" collapsed="false">
      <c r="A1997" s="101" t="s">
        <v>2242</v>
      </c>
      <c r="C1997" s="90" t="n">
        <f aca="false">2084*0.58</f>
        <v>1208.72</v>
      </c>
      <c r="D1997" s="90" t="s">
        <v>1205</v>
      </c>
    </row>
    <row r="1998" customFormat="false" ht="18" hidden="false" customHeight="false" outlineLevel="0" collapsed="false">
      <c r="A1998" s="101" t="s">
        <v>2243</v>
      </c>
      <c r="C1998" s="90" t="n">
        <f aca="false">3853*0.58</f>
        <v>2234.74</v>
      </c>
      <c r="D1998" s="90" t="s">
        <v>1205</v>
      </c>
    </row>
    <row r="1999" customFormat="false" ht="18" hidden="false" customHeight="false" outlineLevel="0" collapsed="false">
      <c r="A1999" s="101" t="s">
        <v>2244</v>
      </c>
      <c r="C1999" s="90" t="n">
        <f aca="false">3853*0.58</f>
        <v>2234.74</v>
      </c>
      <c r="D1999" s="90" t="s">
        <v>1205</v>
      </c>
    </row>
    <row r="2000" customFormat="false" ht="17.6" hidden="false" customHeight="false" outlineLevel="0" collapsed="false">
      <c r="A2000" s="91" t="s">
        <v>2245</v>
      </c>
      <c r="C2000" s="90" t="n">
        <f aca="false">3853*0.58</f>
        <v>2234.74</v>
      </c>
      <c r="D2000" s="90" t="s">
        <v>1205</v>
      </c>
    </row>
    <row r="2001" customFormat="false" ht="17.6" hidden="false" customHeight="false" outlineLevel="0" collapsed="false">
      <c r="A2001" s="91" t="s">
        <v>2246</v>
      </c>
      <c r="C2001" s="90" t="n">
        <f aca="false">1167*0.58</f>
        <v>676.86</v>
      </c>
      <c r="D2001" s="90" t="s">
        <v>1205</v>
      </c>
    </row>
    <row r="2002" customFormat="false" ht="17.6" hidden="false" customHeight="false" outlineLevel="0" collapsed="false">
      <c r="A2002" s="91" t="s">
        <v>2247</v>
      </c>
      <c r="C2002" s="90" t="n">
        <f aca="false">1167*0.58</f>
        <v>676.86</v>
      </c>
      <c r="D2002" s="90" t="s">
        <v>1205</v>
      </c>
    </row>
    <row r="2003" customFormat="false" ht="17.6" hidden="false" customHeight="false" outlineLevel="0" collapsed="false">
      <c r="A2003" s="91" t="s">
        <v>2248</v>
      </c>
      <c r="C2003" s="90" t="n">
        <f aca="false">844*0.58</f>
        <v>489.52</v>
      </c>
      <c r="D2003" s="90" t="s">
        <v>1205</v>
      </c>
    </row>
    <row r="2004" customFormat="false" ht="18" hidden="false" customHeight="false" outlineLevel="0" collapsed="false">
      <c r="A2004" s="102" t="s">
        <v>2249</v>
      </c>
      <c r="C2004" s="90" t="n">
        <f aca="false">1350*0.7+130+50</f>
        <v>1125</v>
      </c>
      <c r="D2004" s="90" t="s">
        <v>1433</v>
      </c>
    </row>
    <row r="2005" customFormat="false" ht="17.6" hidden="false" customHeight="false" outlineLevel="0" collapsed="false">
      <c r="A2005" s="91"/>
    </row>
    <row r="2006" customFormat="false" ht="17.6" hidden="false" customHeight="false" outlineLevel="0" collapsed="false">
      <c r="A2006" s="91"/>
    </row>
    <row r="2007" customFormat="false" ht="17.6" hidden="false" customHeight="false" outlineLevel="0" collapsed="false">
      <c r="A2007" s="91"/>
    </row>
    <row r="2008" customFormat="false" ht="17.6" hidden="false" customHeight="false" outlineLevel="0" collapsed="false">
      <c r="A2008" s="91"/>
    </row>
    <row r="2009" customFormat="false" ht="17.6" hidden="false" customHeight="false" outlineLevel="0" collapsed="false">
      <c r="A2009" s="91"/>
    </row>
    <row r="2010" customFormat="false" ht="17.6" hidden="false" customHeight="false" outlineLevel="0" collapsed="false">
      <c r="A2010" s="91" t="s">
        <v>2250</v>
      </c>
      <c r="C2010" s="90" t="n">
        <f aca="false">46916*0.58</f>
        <v>27211.28</v>
      </c>
      <c r="D2010" s="90" t="s">
        <v>1061</v>
      </c>
    </row>
    <row r="2011" customFormat="false" ht="17.6" hidden="false" customHeight="false" outlineLevel="0" collapsed="false">
      <c r="A2011" s="91" t="s">
        <v>2251</v>
      </c>
      <c r="C2011" s="90" t="n">
        <f aca="false">79210*0.58</f>
        <v>45941.8</v>
      </c>
      <c r="D2011" s="90" t="s">
        <v>1061</v>
      </c>
    </row>
    <row r="2012" customFormat="false" ht="17.6" hidden="false" customHeight="false" outlineLevel="0" collapsed="false">
      <c r="A2012" s="91" t="s">
        <v>2252</v>
      </c>
      <c r="C2012" s="90" t="n">
        <f aca="false">76329*0.58</f>
        <v>44270.82</v>
      </c>
      <c r="D2012" s="90" t="s">
        <v>1061</v>
      </c>
    </row>
    <row r="2013" customFormat="false" ht="17.6" hidden="false" customHeight="false" outlineLevel="0" collapsed="false">
      <c r="A2013" s="91" t="s">
        <v>2253</v>
      </c>
      <c r="C2013" s="90" t="n">
        <f aca="false">68767*0.58</f>
        <v>39884.86</v>
      </c>
      <c r="D2013" s="90" t="s">
        <v>1061</v>
      </c>
    </row>
    <row r="2014" customFormat="false" ht="17.6" hidden="false" customHeight="false" outlineLevel="0" collapsed="false">
      <c r="A2014" s="91" t="s">
        <v>2254</v>
      </c>
      <c r="C2014" s="90" t="n">
        <f aca="false">65886*0.58</f>
        <v>38213.88</v>
      </c>
      <c r="D2014" s="90" t="s">
        <v>1061</v>
      </c>
    </row>
    <row r="2015" customFormat="false" ht="17.6" hidden="false" customHeight="false" outlineLevel="0" collapsed="false">
      <c r="A2015" s="91" t="s">
        <v>2255</v>
      </c>
      <c r="C2015" s="90" t="n">
        <f aca="false">63803*0.58</f>
        <v>37005.74</v>
      </c>
      <c r="D2015" s="90" t="s">
        <v>1061</v>
      </c>
    </row>
    <row r="2016" customFormat="false" ht="17.6" hidden="false" customHeight="false" outlineLevel="0" collapsed="false">
      <c r="A2016" s="91" t="s">
        <v>2256</v>
      </c>
      <c r="C2016" s="90" t="n">
        <f aca="false">60922*0.58</f>
        <v>35334.76</v>
      </c>
      <c r="D2016" s="90" t="s">
        <v>1061</v>
      </c>
    </row>
    <row r="2017" customFormat="false" ht="17.6" hidden="false" customHeight="false" outlineLevel="0" collapsed="false">
      <c r="A2017" s="91" t="s">
        <v>2257</v>
      </c>
      <c r="C2017" s="90" t="n">
        <f aca="false">2457*0.5</f>
        <v>1228.5</v>
      </c>
      <c r="D2017" s="90" t="s">
        <v>1061</v>
      </c>
    </row>
    <row r="2018" customFormat="false" ht="18" hidden="false" customHeight="false" outlineLevel="0" collapsed="false">
      <c r="A2018" s="101" t="s">
        <v>2258</v>
      </c>
      <c r="C2018" s="90" t="n">
        <f aca="false">3881*0.5</f>
        <v>1940.5</v>
      </c>
      <c r="D2018" s="90" t="s">
        <v>1061</v>
      </c>
    </row>
    <row r="2019" customFormat="false" ht="17.6" hidden="false" customHeight="false" outlineLevel="0" collapsed="false">
      <c r="A2019" s="91" t="s">
        <v>2259</v>
      </c>
      <c r="C2019" s="90" t="n">
        <f aca="false">6647*0.5</f>
        <v>3323.5</v>
      </c>
      <c r="D2019" s="90" t="s">
        <v>1061</v>
      </c>
    </row>
    <row r="2020" customFormat="false" ht="17.6" hidden="false" customHeight="false" outlineLevel="0" collapsed="false">
      <c r="A2020" s="91" t="s">
        <v>2260</v>
      </c>
      <c r="C2020" s="90" t="n">
        <f aca="false">6896*0.6</f>
        <v>4137.6</v>
      </c>
      <c r="D2020" s="90" t="s">
        <v>1374</v>
      </c>
    </row>
    <row r="2021" customFormat="false" ht="17.6" hidden="false" customHeight="false" outlineLevel="0" collapsed="false">
      <c r="A2021" s="91" t="s">
        <v>2261</v>
      </c>
      <c r="C2021" s="90" t="n">
        <f aca="false">1275*0.6</f>
        <v>765</v>
      </c>
      <c r="D2021" s="90" t="s">
        <v>1374</v>
      </c>
    </row>
    <row r="2022" customFormat="false" ht="17.6" hidden="false" customHeight="false" outlineLevel="0" collapsed="false">
      <c r="A2022" s="91" t="s">
        <v>2262</v>
      </c>
      <c r="C2022" s="90" t="n">
        <f aca="false">5947*0.6</f>
        <v>3568.2</v>
      </c>
      <c r="D2022" s="90" t="s">
        <v>1374</v>
      </c>
    </row>
    <row r="2023" customFormat="false" ht="17.6" hidden="false" customHeight="false" outlineLevel="0" collapsed="false">
      <c r="A2023" s="91" t="s">
        <v>2263</v>
      </c>
      <c r="C2023" s="90" t="n">
        <v>1056</v>
      </c>
      <c r="D2023" s="90" t="s">
        <v>2264</v>
      </c>
    </row>
    <row r="2024" customFormat="false" ht="17.6" hidden="false" customHeight="false" outlineLevel="0" collapsed="false">
      <c r="A2024" s="91" t="s">
        <v>2265</v>
      </c>
      <c r="C2024" s="90" t="n">
        <v>288</v>
      </c>
      <c r="D2024" s="90" t="s">
        <v>2264</v>
      </c>
    </row>
    <row r="2025" customFormat="false" ht="17.6" hidden="false" customHeight="false" outlineLevel="0" collapsed="false">
      <c r="A2025" s="91" t="s">
        <v>2266</v>
      </c>
      <c r="C2025" s="90" t="n">
        <v>5525</v>
      </c>
      <c r="D2025" s="90" t="s">
        <v>2264</v>
      </c>
    </row>
    <row r="2026" customFormat="false" ht="17.6" hidden="false" customHeight="false" outlineLevel="0" collapsed="false">
      <c r="A2026" s="91" t="s">
        <v>2267</v>
      </c>
      <c r="C2026" s="90" t="n">
        <v>5525</v>
      </c>
      <c r="D2026" s="90" t="s">
        <v>2264</v>
      </c>
    </row>
    <row r="2027" customFormat="false" ht="17.6" hidden="false" customHeight="false" outlineLevel="0" collapsed="false">
      <c r="A2027" s="91" t="s">
        <v>2268</v>
      </c>
      <c r="C2027" s="90" t="n">
        <v>780</v>
      </c>
      <c r="D2027" s="90" t="s">
        <v>2269</v>
      </c>
    </row>
    <row r="2028" customFormat="false" ht="17.6" hidden="false" customHeight="false" outlineLevel="0" collapsed="false">
      <c r="A2028" s="91" t="s">
        <v>2270</v>
      </c>
      <c r="C2028" s="90" t="n">
        <v>1300</v>
      </c>
      <c r="D2028" s="90" t="s">
        <v>2269</v>
      </c>
    </row>
    <row r="2029" customFormat="false" ht="17.6" hidden="false" customHeight="false" outlineLevel="0" collapsed="false">
      <c r="A2029" s="91"/>
    </row>
    <row r="2030" customFormat="false" ht="17.6" hidden="false" customHeight="false" outlineLevel="0" collapsed="false">
      <c r="A2030" s="89" t="s">
        <v>2271</v>
      </c>
      <c r="C2030" s="90" t="n">
        <v>550</v>
      </c>
      <c r="D2030" s="90" t="s">
        <v>2218</v>
      </c>
    </row>
    <row r="2031" customFormat="false" ht="17.6" hidden="false" customHeight="false" outlineLevel="0" collapsed="false">
      <c r="A2031" s="89" t="s">
        <v>2272</v>
      </c>
      <c r="C2031" s="90" t="n">
        <v>700</v>
      </c>
      <c r="D2031" s="90" t="s">
        <v>2218</v>
      </c>
    </row>
    <row r="2032" customFormat="false" ht="17.6" hidden="false" customHeight="false" outlineLevel="0" collapsed="false">
      <c r="A2032" s="89" t="s">
        <v>2273</v>
      </c>
      <c r="C2032" s="90" t="n">
        <v>800</v>
      </c>
      <c r="D2032" s="90" t="s">
        <v>2218</v>
      </c>
    </row>
    <row r="2033" customFormat="false" ht="17.6" hidden="false" customHeight="false" outlineLevel="0" collapsed="false">
      <c r="A2033" s="89" t="s">
        <v>2274</v>
      </c>
      <c r="C2033" s="90" t="n">
        <v>900</v>
      </c>
      <c r="D2033" s="90" t="s">
        <v>2218</v>
      </c>
    </row>
    <row r="2034" customFormat="false" ht="17.6" hidden="false" customHeight="false" outlineLevel="0" collapsed="false">
      <c r="A2034" s="89" t="s">
        <v>2275</v>
      </c>
      <c r="C2034" s="90" t="n">
        <v>500</v>
      </c>
      <c r="D2034" s="90" t="s">
        <v>2218</v>
      </c>
    </row>
    <row r="2035" customFormat="false" ht="17.6" hidden="false" customHeight="false" outlineLevel="0" collapsed="false">
      <c r="A2035" s="89" t="s">
        <v>2276</v>
      </c>
      <c r="C2035" s="90" t="n">
        <v>650</v>
      </c>
      <c r="D2035" s="90" t="s">
        <v>2218</v>
      </c>
    </row>
    <row r="2036" customFormat="false" ht="17.6" hidden="false" customHeight="false" outlineLevel="0" collapsed="false">
      <c r="A2036" s="89" t="s">
        <v>2277</v>
      </c>
      <c r="C2036" s="90" t="n">
        <v>750</v>
      </c>
      <c r="D2036" s="90" t="s">
        <v>2218</v>
      </c>
    </row>
    <row r="2037" customFormat="false" ht="17.6" hidden="false" customHeight="false" outlineLevel="0" collapsed="false">
      <c r="A2037" s="89" t="s">
        <v>2278</v>
      </c>
      <c r="C2037" s="90" t="n">
        <v>850</v>
      </c>
      <c r="D2037" s="90" t="s">
        <v>2218</v>
      </c>
    </row>
    <row r="2038" customFormat="false" ht="17.6" hidden="false" customHeight="false" outlineLevel="0" collapsed="false">
      <c r="A2038" s="89" t="s">
        <v>2279</v>
      </c>
      <c r="C2038" s="90" t="n">
        <v>700</v>
      </c>
      <c r="D2038" s="90" t="s">
        <v>2218</v>
      </c>
    </row>
    <row r="2039" customFormat="false" ht="17.6" hidden="false" customHeight="false" outlineLevel="0" collapsed="false">
      <c r="A2039" s="89" t="s">
        <v>2280</v>
      </c>
      <c r="C2039" s="90" t="n">
        <v>800</v>
      </c>
      <c r="D2039" s="90" t="s">
        <v>2218</v>
      </c>
    </row>
    <row r="2040" customFormat="false" ht="17.6" hidden="false" customHeight="false" outlineLevel="0" collapsed="false">
      <c r="A2040" s="89" t="s">
        <v>2281</v>
      </c>
      <c r="C2040" s="90" t="n">
        <v>1000</v>
      </c>
      <c r="D2040" s="90" t="s">
        <v>2218</v>
      </c>
    </row>
    <row r="2041" customFormat="false" ht="17.6" hidden="false" customHeight="false" outlineLevel="0" collapsed="false">
      <c r="A2041" s="89" t="s">
        <v>2282</v>
      </c>
      <c r="C2041" s="90" t="n">
        <v>1200</v>
      </c>
      <c r="D2041" s="90" t="s">
        <v>2218</v>
      </c>
    </row>
    <row r="2042" customFormat="false" ht="17.6" hidden="false" customHeight="false" outlineLevel="0" collapsed="false">
      <c r="A2042" s="89" t="s">
        <v>2283</v>
      </c>
      <c r="C2042" s="90" t="n">
        <v>1200</v>
      </c>
      <c r="D2042" s="90" t="s">
        <v>2218</v>
      </c>
    </row>
    <row r="2043" customFormat="false" ht="17.6" hidden="false" customHeight="false" outlineLevel="0" collapsed="false">
      <c r="A2043" s="89" t="s">
        <v>2284</v>
      </c>
      <c r="C2043" s="90" t="n">
        <v>400</v>
      </c>
      <c r="D2043" s="90" t="s">
        <v>2218</v>
      </c>
    </row>
    <row r="2044" customFormat="false" ht="17.6" hidden="false" customHeight="false" outlineLevel="0" collapsed="false">
      <c r="A2044" s="89" t="s">
        <v>2285</v>
      </c>
      <c r="C2044" s="90" t="n">
        <v>450</v>
      </c>
      <c r="D2044" s="90" t="s">
        <v>2218</v>
      </c>
    </row>
    <row r="2045" customFormat="false" ht="17.6" hidden="false" customHeight="false" outlineLevel="0" collapsed="false">
      <c r="A2045" s="89" t="s">
        <v>2286</v>
      </c>
      <c r="C2045" s="90" t="n">
        <v>500</v>
      </c>
      <c r="D2045" s="90" t="s">
        <v>2218</v>
      </c>
    </row>
    <row r="2046" customFormat="false" ht="17.6" hidden="false" customHeight="false" outlineLevel="0" collapsed="false">
      <c r="A2046" s="89" t="s">
        <v>2287</v>
      </c>
      <c r="C2046" s="90" t="n">
        <v>550</v>
      </c>
      <c r="D2046" s="90" t="s">
        <v>2218</v>
      </c>
    </row>
    <row r="2047" customFormat="false" ht="17.6" hidden="false" customHeight="false" outlineLevel="0" collapsed="false">
      <c r="A2047" s="89" t="s">
        <v>2288</v>
      </c>
      <c r="C2047" s="90" t="n">
        <v>600</v>
      </c>
      <c r="D2047" s="90" t="s">
        <v>2218</v>
      </c>
    </row>
    <row r="2048" customFormat="false" ht="17.6" hidden="false" customHeight="false" outlineLevel="0" collapsed="false">
      <c r="A2048" s="89" t="s">
        <v>2289</v>
      </c>
      <c r="C2048" s="90" t="n">
        <v>650</v>
      </c>
      <c r="D2048" s="90" t="s">
        <v>2218</v>
      </c>
    </row>
    <row r="2049" customFormat="false" ht="17.6" hidden="false" customHeight="false" outlineLevel="0" collapsed="false">
      <c r="A2049" s="89" t="s">
        <v>2290</v>
      </c>
      <c r="C2049" s="90" t="n">
        <v>700</v>
      </c>
      <c r="D2049" s="90" t="s">
        <v>2218</v>
      </c>
    </row>
    <row r="2050" customFormat="false" ht="17.6" hidden="false" customHeight="false" outlineLevel="0" collapsed="false">
      <c r="A2050" s="89" t="s">
        <v>2291</v>
      </c>
      <c r="C2050" s="90" t="n">
        <v>750</v>
      </c>
      <c r="D2050" s="90" t="s">
        <v>2218</v>
      </c>
    </row>
    <row r="2051" customFormat="false" ht="17.6" hidden="false" customHeight="false" outlineLevel="0" collapsed="false">
      <c r="A2051" s="89" t="s">
        <v>2292</v>
      </c>
      <c r="C2051" s="90" t="n">
        <v>800</v>
      </c>
      <c r="D2051" s="90" t="s">
        <v>2218</v>
      </c>
    </row>
    <row r="2052" customFormat="false" ht="17.6" hidden="false" customHeight="false" outlineLevel="0" collapsed="false">
      <c r="A2052" s="89" t="s">
        <v>2293</v>
      </c>
      <c r="C2052" s="90" t="n">
        <v>850</v>
      </c>
      <c r="D2052" s="90" t="s">
        <v>2218</v>
      </c>
    </row>
    <row r="2053" customFormat="false" ht="17.6" hidden="false" customHeight="false" outlineLevel="0" collapsed="false">
      <c r="A2053" s="89" t="s">
        <v>2294</v>
      </c>
      <c r="C2053" s="90" t="n">
        <v>900</v>
      </c>
      <c r="D2053" s="90" t="s">
        <v>2218</v>
      </c>
    </row>
    <row r="2054" customFormat="false" ht="17.6" hidden="false" customHeight="false" outlineLevel="0" collapsed="false">
      <c r="A2054" s="89" t="s">
        <v>2295</v>
      </c>
      <c r="C2054" s="90" t="n">
        <v>950</v>
      </c>
      <c r="D2054" s="90" t="s">
        <v>2218</v>
      </c>
    </row>
    <row r="2055" customFormat="false" ht="17.6" hidden="false" customHeight="false" outlineLevel="0" collapsed="false">
      <c r="A2055" s="89" t="s">
        <v>2296</v>
      </c>
      <c r="C2055" s="90" t="n">
        <v>1000</v>
      </c>
      <c r="D2055" s="90" t="s">
        <v>2218</v>
      </c>
    </row>
    <row r="2056" customFormat="false" ht="17.6" hidden="false" customHeight="false" outlineLevel="0" collapsed="false">
      <c r="A2056" s="89" t="s">
        <v>2297</v>
      </c>
      <c r="B2056" s="90" t="s">
        <v>2298</v>
      </c>
      <c r="C2056" s="90" t="n">
        <v>6500</v>
      </c>
      <c r="D2056" s="90" t="s">
        <v>1420</v>
      </c>
    </row>
    <row r="2057" customFormat="false" ht="17.6" hidden="false" customHeight="false" outlineLevel="0" collapsed="false">
      <c r="A2057" s="89" t="s">
        <v>2299</v>
      </c>
      <c r="B2057" s="90" t="s">
        <v>2298</v>
      </c>
      <c r="C2057" s="90" t="n">
        <v>6100</v>
      </c>
      <c r="D2057" s="90" t="s">
        <v>1420</v>
      </c>
    </row>
    <row r="2058" customFormat="false" ht="17.6" hidden="false" customHeight="false" outlineLevel="0" collapsed="false">
      <c r="A2058" s="89" t="s">
        <v>2300</v>
      </c>
      <c r="B2058" s="90" t="s">
        <v>2298</v>
      </c>
      <c r="C2058" s="90" t="n">
        <v>1700</v>
      </c>
      <c r="D2058" s="90" t="s">
        <v>1420</v>
      </c>
    </row>
    <row r="2059" customFormat="false" ht="17.6" hidden="false" customHeight="false" outlineLevel="0" collapsed="false">
      <c r="A2059" s="89" t="s">
        <v>2301</v>
      </c>
      <c r="B2059" s="90" t="s">
        <v>2298</v>
      </c>
      <c r="C2059" s="90" t="n">
        <v>2200</v>
      </c>
      <c r="D2059" s="90" t="s">
        <v>1420</v>
      </c>
    </row>
    <row r="2060" customFormat="false" ht="17.6" hidden="false" customHeight="false" outlineLevel="0" collapsed="false">
      <c r="A2060" s="89" t="s">
        <v>2302</v>
      </c>
      <c r="B2060" s="90" t="s">
        <v>2298</v>
      </c>
      <c r="C2060" s="90" t="n">
        <v>2000</v>
      </c>
      <c r="D2060" s="90" t="s">
        <v>1420</v>
      </c>
      <c r="E2060" s="4"/>
    </row>
    <row r="2061" customFormat="false" ht="17.6" hidden="false" customHeight="false" outlineLevel="0" collapsed="false">
      <c r="A2061" s="89" t="s">
        <v>2303</v>
      </c>
      <c r="B2061" s="90" t="s">
        <v>2298</v>
      </c>
      <c r="C2061" s="90" t="n">
        <v>1800</v>
      </c>
      <c r="D2061" s="90" t="s">
        <v>1420</v>
      </c>
      <c r="E2061" s="4"/>
    </row>
    <row r="2062" customFormat="false" ht="17.6" hidden="false" customHeight="false" outlineLevel="0" collapsed="false">
      <c r="A2062" s="89" t="s">
        <v>2304</v>
      </c>
      <c r="B2062" s="90" t="s">
        <v>2298</v>
      </c>
      <c r="C2062" s="90" t="n">
        <f aca="false">ROUND(E2062*G2062,)</f>
        <v>4695</v>
      </c>
      <c r="D2062" s="90" t="s">
        <v>1420</v>
      </c>
      <c r="E2062" s="90" t="n">
        <v>5103</v>
      </c>
      <c r="G2062" s="90" t="n">
        <v>0.92</v>
      </c>
    </row>
    <row r="2063" customFormat="false" ht="17.6" hidden="false" customHeight="false" outlineLevel="0" collapsed="false">
      <c r="A2063" s="89" t="s">
        <v>2305</v>
      </c>
      <c r="B2063" s="90" t="s">
        <v>2298</v>
      </c>
      <c r="C2063" s="90" t="n">
        <f aca="false">ROUND(E2063*G2063,)</f>
        <v>5199</v>
      </c>
      <c r="D2063" s="90" t="s">
        <v>1420</v>
      </c>
      <c r="E2063" s="90" t="n">
        <v>5651</v>
      </c>
      <c r="G2063" s="90" t="n">
        <v>0.92</v>
      </c>
    </row>
    <row r="2064" customFormat="false" ht="17.6" hidden="false" customHeight="false" outlineLevel="0" collapsed="false">
      <c r="A2064" s="89" t="s">
        <v>2306</v>
      </c>
      <c r="B2064" s="90" t="s">
        <v>2298</v>
      </c>
      <c r="C2064" s="90" t="n">
        <f aca="false">ROUND(E2064*G2064,)</f>
        <v>5270</v>
      </c>
      <c r="D2064" s="90" t="s">
        <v>1420</v>
      </c>
      <c r="E2064" s="90" t="n">
        <v>5728</v>
      </c>
      <c r="G2064" s="90" t="n">
        <v>0.92</v>
      </c>
    </row>
    <row r="2065" customFormat="false" ht="17.6" hidden="false" customHeight="false" outlineLevel="0" collapsed="false">
      <c r="A2065" s="89" t="s">
        <v>2307</v>
      </c>
      <c r="B2065" s="90" t="s">
        <v>2298</v>
      </c>
      <c r="C2065" s="90" t="n">
        <f aca="false">ROUND(E2065*G2065,)</f>
        <v>5004</v>
      </c>
      <c r="D2065" s="90" t="s">
        <v>1420</v>
      </c>
      <c r="E2065" s="90" t="n">
        <v>5438.7</v>
      </c>
      <c r="G2065" s="90" t="n">
        <v>0.92</v>
      </c>
    </row>
    <row r="2066" customFormat="false" ht="17.6" hidden="false" customHeight="false" outlineLevel="0" collapsed="false">
      <c r="A2066" s="89" t="s">
        <v>2308</v>
      </c>
      <c r="B2066" s="90" t="s">
        <v>2298</v>
      </c>
      <c r="C2066" s="90" t="n">
        <f aca="false">ROUND(E2066*G2066,)</f>
        <v>5264</v>
      </c>
      <c r="D2066" s="90" t="s">
        <v>1420</v>
      </c>
      <c r="E2066" s="90" t="n">
        <v>5722.2</v>
      </c>
      <c r="G2066" s="90" t="n">
        <v>0.92</v>
      </c>
    </row>
    <row r="2067" customFormat="false" ht="17.6" hidden="false" customHeight="false" outlineLevel="0" collapsed="false">
      <c r="A2067" s="89" t="s">
        <v>2309</v>
      </c>
      <c r="B2067" s="90" t="s">
        <v>2298</v>
      </c>
      <c r="C2067" s="90" t="n">
        <f aca="false">ROUND(E2067*G2067,)</f>
        <v>6139</v>
      </c>
      <c r="D2067" s="90" t="s">
        <v>1420</v>
      </c>
      <c r="E2067" s="90" t="n">
        <v>6673</v>
      </c>
      <c r="G2067" s="90" t="n">
        <v>0.92</v>
      </c>
    </row>
    <row r="2068" customFormat="false" ht="17.6" hidden="false" customHeight="false" outlineLevel="0" collapsed="false">
      <c r="A2068" s="89" t="s">
        <v>2310</v>
      </c>
      <c r="B2068" s="90" t="s">
        <v>2298</v>
      </c>
      <c r="C2068" s="90" t="n">
        <f aca="false">ROUND(E2068*G2068,)</f>
        <v>6429</v>
      </c>
      <c r="D2068" s="90" t="s">
        <v>1420</v>
      </c>
      <c r="E2068" s="90" t="n">
        <v>6988</v>
      </c>
      <c r="G2068" s="90" t="n">
        <v>0.92</v>
      </c>
    </row>
    <row r="2069" customFormat="false" ht="17.6" hidden="false" customHeight="false" outlineLevel="0" collapsed="false">
      <c r="A2069" s="89" t="s">
        <v>2311</v>
      </c>
      <c r="B2069" s="90" t="s">
        <v>2298</v>
      </c>
      <c r="C2069" s="90" t="n">
        <f aca="false">ROUND(E2069*G2069,)</f>
        <v>6719</v>
      </c>
      <c r="D2069" s="90" t="s">
        <v>1420</v>
      </c>
      <c r="E2069" s="90" t="n">
        <v>7303</v>
      </c>
      <c r="G2069" s="90" t="n">
        <v>0.92</v>
      </c>
    </row>
    <row r="2070" customFormat="false" ht="17.6" hidden="false" customHeight="false" outlineLevel="0" collapsed="false">
      <c r="A2070" s="89" t="s">
        <v>2312</v>
      </c>
      <c r="B2070" s="90" t="s">
        <v>2298</v>
      </c>
      <c r="C2070" s="90" t="n">
        <f aca="false">ROUND(E2070*G2070,)</f>
        <v>7009</v>
      </c>
      <c r="D2070" s="90" t="s">
        <v>1420</v>
      </c>
      <c r="E2070" s="90" t="n">
        <v>7618</v>
      </c>
      <c r="G2070" s="90" t="n">
        <v>0.92</v>
      </c>
    </row>
    <row r="2071" customFormat="false" ht="17.6" hidden="false" customHeight="false" outlineLevel="0" collapsed="false">
      <c r="A2071" s="89" t="s">
        <v>2313</v>
      </c>
      <c r="B2071" s="90" t="s">
        <v>2298</v>
      </c>
      <c r="C2071" s="90" t="n">
        <f aca="false">ROUND(E2071*G2071,)</f>
        <v>6569</v>
      </c>
      <c r="D2071" s="90" t="s">
        <v>1420</v>
      </c>
      <c r="E2071" s="90" t="n">
        <v>7139.7</v>
      </c>
      <c r="G2071" s="90" t="n">
        <v>0.92</v>
      </c>
    </row>
    <row r="2072" customFormat="false" ht="17.6" hidden="false" customHeight="false" outlineLevel="0" collapsed="false">
      <c r="A2072" s="89" t="s">
        <v>2314</v>
      </c>
      <c r="B2072" s="90" t="s">
        <v>2298</v>
      </c>
      <c r="C2072" s="90" t="n">
        <f aca="false">ROUND(E2072*G2072,)</f>
        <v>7588</v>
      </c>
      <c r="D2072" s="90" t="s">
        <v>1420</v>
      </c>
      <c r="E2072" s="90" t="n">
        <v>8248</v>
      </c>
      <c r="G2072" s="90" t="n">
        <v>0.92</v>
      </c>
    </row>
    <row r="2073" customFormat="false" ht="17.6" hidden="false" customHeight="false" outlineLevel="0" collapsed="false">
      <c r="A2073" s="89" t="s">
        <v>2315</v>
      </c>
      <c r="B2073" s="90" t="s">
        <v>2298</v>
      </c>
      <c r="C2073" s="90" t="n">
        <f aca="false">ROUND(E2073*G2073,)</f>
        <v>7849</v>
      </c>
      <c r="D2073" s="90" t="s">
        <v>1420</v>
      </c>
      <c r="E2073" s="90" t="n">
        <v>8531.5</v>
      </c>
      <c r="G2073" s="90" t="n">
        <v>0.92</v>
      </c>
    </row>
    <row r="2074" customFormat="false" ht="17.6" hidden="false" customHeight="false" outlineLevel="0" collapsed="false">
      <c r="A2074" s="89" t="s">
        <v>2316</v>
      </c>
      <c r="B2074" s="90" t="s">
        <v>2298</v>
      </c>
      <c r="C2074" s="90" t="n">
        <f aca="false">ROUND(E2074*G2074,)</f>
        <v>8110</v>
      </c>
      <c r="D2074" s="90" t="s">
        <v>1420</v>
      </c>
      <c r="E2074" s="90" t="n">
        <v>8815</v>
      </c>
      <c r="G2074" s="90" t="n">
        <v>0.92</v>
      </c>
    </row>
    <row r="2075" customFormat="false" ht="17.6" hidden="false" customHeight="false" outlineLevel="0" collapsed="false">
      <c r="A2075" s="89" t="s">
        <v>2317</v>
      </c>
      <c r="B2075" s="90" t="s">
        <v>2298</v>
      </c>
      <c r="C2075" s="90" t="n">
        <f aca="false">ROUND(E2075*G2075,)</f>
        <v>8371</v>
      </c>
      <c r="D2075" s="90" t="s">
        <v>1420</v>
      </c>
      <c r="E2075" s="90" t="n">
        <v>9098.5</v>
      </c>
      <c r="G2075" s="90" t="n">
        <v>0.92</v>
      </c>
    </row>
    <row r="2076" customFormat="false" ht="17.6" hidden="false" customHeight="false" outlineLevel="0" collapsed="false">
      <c r="A2076" s="89" t="s">
        <v>2318</v>
      </c>
      <c r="B2076" s="90" t="s">
        <v>2298</v>
      </c>
      <c r="C2076" s="90" t="n">
        <f aca="false">ROUND(E2076*G2076,)</f>
        <v>5319</v>
      </c>
      <c r="D2076" s="90" t="s">
        <v>1420</v>
      </c>
      <c r="E2076" s="90" t="n">
        <v>5781</v>
      </c>
      <c r="G2076" s="90" t="n">
        <v>0.92</v>
      </c>
    </row>
    <row r="2077" customFormat="false" ht="17.6" hidden="false" customHeight="false" outlineLevel="0" collapsed="false">
      <c r="A2077" s="89" t="s">
        <v>2319</v>
      </c>
      <c r="B2077" s="90" t="s">
        <v>2298</v>
      </c>
      <c r="C2077" s="90" t="n">
        <f aca="false">ROUND(E2077*G2077,)</f>
        <v>5061</v>
      </c>
      <c r="D2077" s="90" t="s">
        <v>1420</v>
      </c>
      <c r="E2077" s="90" t="n">
        <v>5501</v>
      </c>
      <c r="G2077" s="90" t="n">
        <v>0.92</v>
      </c>
    </row>
    <row r="2078" customFormat="false" ht="17.6" hidden="false" customHeight="false" outlineLevel="0" collapsed="false">
      <c r="A2078" s="89" t="s">
        <v>2320</v>
      </c>
      <c r="B2078" s="90" t="s">
        <v>2298</v>
      </c>
      <c r="C2078" s="90" t="n">
        <f aca="false">ROUND(E2078*G2078,)</f>
        <v>5297</v>
      </c>
      <c r="D2078" s="90" t="s">
        <v>1420</v>
      </c>
      <c r="E2078" s="90" t="n">
        <v>5758</v>
      </c>
      <c r="G2078" s="90" t="n">
        <v>0.92</v>
      </c>
    </row>
    <row r="2079" customFormat="false" ht="17.6" hidden="false" customHeight="false" outlineLevel="0" collapsed="false">
      <c r="A2079" s="89" t="s">
        <v>2321</v>
      </c>
      <c r="B2079" s="90" t="s">
        <v>2298</v>
      </c>
      <c r="C2079" s="90" t="n">
        <f aca="false">ROUND(E2079*G2079,)</f>
        <v>5112</v>
      </c>
      <c r="D2079" s="90" t="s">
        <v>1420</v>
      </c>
      <c r="E2079" s="90" t="n">
        <v>5556</v>
      </c>
      <c r="G2079" s="90" t="n">
        <v>0.92</v>
      </c>
    </row>
    <row r="2080" customFormat="false" ht="17.6" hidden="false" customHeight="false" outlineLevel="0" collapsed="false">
      <c r="A2080" s="89" t="s">
        <v>2322</v>
      </c>
      <c r="B2080" s="90" t="s">
        <v>2298</v>
      </c>
      <c r="C2080" s="90" t="n">
        <f aca="false">ROUND(E2080*G2080,)</f>
        <v>5401</v>
      </c>
      <c r="D2080" s="90" t="s">
        <v>1420</v>
      </c>
      <c r="E2080" s="90" t="n">
        <v>5871</v>
      </c>
      <c r="G2080" s="90" t="n">
        <v>0.92</v>
      </c>
    </row>
    <row r="2081" customFormat="false" ht="17.6" hidden="false" customHeight="false" outlineLevel="0" collapsed="false">
      <c r="A2081" s="89" t="s">
        <v>2323</v>
      </c>
      <c r="B2081" s="90" t="s">
        <v>2298</v>
      </c>
      <c r="C2081" s="90" t="n">
        <f aca="false">ROUND(E2081*G2081,)</f>
        <v>5691</v>
      </c>
      <c r="D2081" s="90" t="s">
        <v>1420</v>
      </c>
      <c r="E2081" s="90" t="n">
        <v>6186</v>
      </c>
      <c r="G2081" s="90" t="n">
        <v>0.92</v>
      </c>
    </row>
    <row r="2082" customFormat="false" ht="17.6" hidden="false" customHeight="false" outlineLevel="0" collapsed="false">
      <c r="A2082" s="89" t="s">
        <v>2324</v>
      </c>
      <c r="B2082" s="90" t="s">
        <v>2298</v>
      </c>
      <c r="C2082" s="90" t="n">
        <f aca="false">ROUND(E2082*G2082,)</f>
        <v>5981</v>
      </c>
      <c r="D2082" s="90" t="s">
        <v>1420</v>
      </c>
      <c r="E2082" s="90" t="n">
        <v>6501</v>
      </c>
      <c r="G2082" s="90" t="n">
        <v>0.92</v>
      </c>
    </row>
    <row r="2083" customFormat="false" ht="17.6" hidden="false" customHeight="false" outlineLevel="0" collapsed="false">
      <c r="A2083" s="89" t="s">
        <v>2325</v>
      </c>
      <c r="B2083" s="90" t="s">
        <v>2298</v>
      </c>
      <c r="C2083" s="90" t="n">
        <f aca="false">ROUND(E2083*G2083,)</f>
        <v>6271</v>
      </c>
      <c r="D2083" s="90" t="s">
        <v>1420</v>
      </c>
      <c r="E2083" s="90" t="n">
        <v>6816</v>
      </c>
      <c r="G2083" s="90" t="n">
        <v>0.92</v>
      </c>
    </row>
    <row r="2084" customFormat="false" ht="17.6" hidden="false" customHeight="false" outlineLevel="0" collapsed="false">
      <c r="A2084" s="89" t="s">
        <v>2326</v>
      </c>
      <c r="B2084" s="90" t="s">
        <v>2298</v>
      </c>
      <c r="C2084" s="90" t="n">
        <f aca="false">ROUND(E2084*G2084,)</f>
        <v>6561</v>
      </c>
      <c r="D2084" s="90" t="s">
        <v>1420</v>
      </c>
      <c r="E2084" s="90" t="n">
        <v>7131</v>
      </c>
      <c r="G2084" s="90" t="n">
        <v>0.92</v>
      </c>
    </row>
    <row r="2085" customFormat="false" ht="17.6" hidden="false" customHeight="false" outlineLevel="0" collapsed="false">
      <c r="A2085" s="89" t="s">
        <v>2327</v>
      </c>
      <c r="B2085" s="90" t="s">
        <v>2298</v>
      </c>
      <c r="C2085" s="90" t="n">
        <f aca="false">ROUND(E2085*G2085,)</f>
        <v>6850</v>
      </c>
      <c r="D2085" s="90" t="s">
        <v>1420</v>
      </c>
      <c r="E2085" s="90" t="n">
        <v>7446</v>
      </c>
      <c r="G2085" s="90" t="n">
        <v>0.92</v>
      </c>
    </row>
    <row r="2086" customFormat="false" ht="17.6" hidden="false" customHeight="false" outlineLevel="0" collapsed="false">
      <c r="A2086" s="89" t="s">
        <v>2328</v>
      </c>
      <c r="B2086" s="90" t="s">
        <v>2298</v>
      </c>
      <c r="C2086" s="90" t="n">
        <f aca="false">ROUND(E2086*G2086,)</f>
        <v>7140</v>
      </c>
      <c r="D2086" s="90" t="s">
        <v>1420</v>
      </c>
      <c r="E2086" s="90" t="n">
        <v>7761</v>
      </c>
      <c r="G2086" s="90" t="n">
        <v>0.92</v>
      </c>
    </row>
    <row r="2087" customFormat="false" ht="17.6" hidden="false" customHeight="false" outlineLevel="0" collapsed="false">
      <c r="A2087" s="89" t="s">
        <v>2329</v>
      </c>
      <c r="B2087" s="90" t="s">
        <v>2298</v>
      </c>
      <c r="C2087" s="90" t="n">
        <f aca="false">ROUND(E2087*G2087,)</f>
        <v>7430</v>
      </c>
      <c r="D2087" s="90" t="s">
        <v>1420</v>
      </c>
      <c r="E2087" s="90" t="n">
        <v>8076</v>
      </c>
      <c r="G2087" s="90" t="n">
        <v>0.92</v>
      </c>
    </row>
    <row r="2088" customFormat="false" ht="17.6" hidden="false" customHeight="false" outlineLevel="0" collapsed="false">
      <c r="A2088" s="89" t="s">
        <v>2330</v>
      </c>
      <c r="B2088" s="90" t="s">
        <v>2298</v>
      </c>
      <c r="C2088" s="90" t="n">
        <f aca="false">ROUND(E2088*G2088,)</f>
        <v>7720</v>
      </c>
      <c r="D2088" s="90" t="s">
        <v>1420</v>
      </c>
      <c r="E2088" s="90" t="n">
        <v>8391</v>
      </c>
      <c r="G2088" s="90" t="n">
        <v>0.92</v>
      </c>
    </row>
    <row r="2089" customFormat="false" ht="17.6" hidden="false" customHeight="false" outlineLevel="0" collapsed="false">
      <c r="A2089" s="89" t="s">
        <v>2331</v>
      </c>
      <c r="B2089" s="90" t="s">
        <v>2298</v>
      </c>
      <c r="C2089" s="90" t="n">
        <f aca="false">ROUND(E2089*G2089,)</f>
        <v>8010</v>
      </c>
      <c r="D2089" s="90" t="s">
        <v>1420</v>
      </c>
      <c r="E2089" s="90" t="n">
        <v>8706</v>
      </c>
      <c r="G2089" s="90" t="n">
        <v>0.92</v>
      </c>
    </row>
    <row r="2090" customFormat="false" ht="17.6" hidden="false" customHeight="false" outlineLevel="0" collapsed="false">
      <c r="A2090" s="89" t="s">
        <v>2332</v>
      </c>
      <c r="B2090" s="90" t="s">
        <v>2298</v>
      </c>
      <c r="C2090" s="90" t="n">
        <f aca="false">ROUND(E2090*G2090,)</f>
        <v>8299</v>
      </c>
      <c r="D2090" s="90" t="s">
        <v>1420</v>
      </c>
      <c r="E2090" s="90" t="n">
        <v>9021</v>
      </c>
      <c r="G2090" s="90" t="n">
        <v>0.92</v>
      </c>
    </row>
    <row r="2091" customFormat="false" ht="17.6" hidden="false" customHeight="false" outlineLevel="0" collapsed="false">
      <c r="A2091" s="89" t="s">
        <v>2333</v>
      </c>
      <c r="B2091" s="90" t="s">
        <v>2298</v>
      </c>
      <c r="C2091" s="90" t="n">
        <f aca="false">ROUND(E2091*G2091,)</f>
        <v>5328</v>
      </c>
      <c r="D2091" s="90" t="s">
        <v>1420</v>
      </c>
      <c r="E2091" s="90" t="n">
        <v>5791</v>
      </c>
      <c r="G2091" s="90" t="n">
        <v>0.92</v>
      </c>
    </row>
    <row r="2092" customFormat="false" ht="17.6" hidden="false" customHeight="false" outlineLevel="0" collapsed="false">
      <c r="A2092" s="89" t="s">
        <v>2334</v>
      </c>
      <c r="B2092" s="90" t="s">
        <v>2298</v>
      </c>
      <c r="C2092" s="90" t="n">
        <f aca="false">ROUND(E2092*G2092,)</f>
        <v>4593</v>
      </c>
      <c r="D2092" s="103" t="s">
        <v>1420</v>
      </c>
      <c r="E2092" s="103" t="n">
        <v>5103</v>
      </c>
      <c r="F2092" s="103"/>
      <c r="G2092" s="103" t="n">
        <v>0.9</v>
      </c>
      <c r="H2092" s="103"/>
      <c r="I2092" s="103"/>
      <c r="J2092" s="103"/>
      <c r="K2092" s="103"/>
      <c r="L2092" s="103"/>
      <c r="M2092" s="103"/>
      <c r="N2092" s="103"/>
      <c r="O2092" s="104"/>
      <c r="P2092" s="103"/>
      <c r="Q2092" s="103"/>
      <c r="R2092" s="103"/>
      <c r="S2092" s="103"/>
      <c r="T2092" s="103"/>
      <c r="U2092" s="103"/>
      <c r="V2092" s="103"/>
      <c r="W2092" s="103"/>
      <c r="X2092" s="103"/>
      <c r="Y2092" s="103"/>
      <c r="Z2092" s="103"/>
      <c r="AA2092" s="103"/>
      <c r="AB2092" s="103"/>
      <c r="AC2092" s="103"/>
      <c r="AD2092" s="103"/>
      <c r="AE2092" s="103"/>
      <c r="AF2092" s="103"/>
      <c r="AG2092" s="103"/>
      <c r="AH2092" s="103"/>
      <c r="AI2092" s="103"/>
      <c r="AJ2092" s="103"/>
      <c r="AK2092" s="103"/>
      <c r="AL2092" s="103"/>
      <c r="AM2092" s="103"/>
      <c r="AN2092" s="103"/>
      <c r="AO2092" s="103"/>
      <c r="AP2092" s="103"/>
      <c r="AQ2092" s="103"/>
      <c r="AR2092" s="103"/>
      <c r="AS2092" s="103"/>
      <c r="AT2092" s="103"/>
      <c r="AU2092" s="103"/>
      <c r="AV2092" s="103"/>
      <c r="AW2092" s="103"/>
      <c r="AX2092" s="103"/>
      <c r="AY2092" s="103"/>
      <c r="AZ2092" s="103"/>
      <c r="BA2092" s="103"/>
      <c r="BB2092" s="103"/>
      <c r="BC2092" s="103"/>
      <c r="BD2092" s="103"/>
      <c r="BE2092" s="103"/>
      <c r="BF2092" s="103"/>
      <c r="BG2092" s="103"/>
      <c r="BH2092" s="103"/>
      <c r="BI2092" s="103"/>
      <c r="BJ2092" s="103"/>
      <c r="BK2092" s="103"/>
      <c r="BL2092" s="103"/>
      <c r="BM2092" s="103"/>
      <c r="BN2092" s="103"/>
      <c r="BO2092" s="103"/>
      <c r="BP2092" s="103"/>
      <c r="BQ2092" s="103"/>
      <c r="BR2092" s="103"/>
      <c r="BS2092" s="103"/>
      <c r="BT2092" s="103"/>
      <c r="BU2092" s="103"/>
      <c r="BV2092" s="103"/>
      <c r="BW2092" s="103"/>
      <c r="BX2092" s="103"/>
      <c r="BY2092" s="103"/>
      <c r="BZ2092" s="103"/>
      <c r="CA2092" s="103"/>
      <c r="CB2092" s="103"/>
      <c r="CC2092" s="103"/>
      <c r="CD2092" s="103"/>
      <c r="CE2092" s="103"/>
      <c r="CF2092" s="103"/>
      <c r="CG2092" s="103"/>
      <c r="CH2092" s="103"/>
      <c r="CI2092" s="103"/>
      <c r="CJ2092" s="103"/>
      <c r="CK2092" s="103"/>
      <c r="CL2092" s="103"/>
      <c r="CM2092" s="103"/>
      <c r="CN2092" s="103"/>
      <c r="CO2092" s="103"/>
      <c r="CP2092" s="103"/>
      <c r="CQ2092" s="103"/>
      <c r="CR2092" s="103"/>
      <c r="CS2092" s="103"/>
      <c r="CT2092" s="103"/>
      <c r="CU2092" s="103"/>
      <c r="CV2092" s="103"/>
      <c r="CW2092" s="103"/>
      <c r="CX2092" s="103"/>
      <c r="CY2092" s="103"/>
      <c r="CZ2092" s="103"/>
      <c r="DA2092" s="103"/>
      <c r="DB2092" s="103"/>
      <c r="DC2092" s="103"/>
      <c r="DD2092" s="103"/>
      <c r="DE2092" s="103"/>
      <c r="DF2092" s="103"/>
      <c r="DG2092" s="103"/>
      <c r="DH2092" s="103"/>
      <c r="DI2092" s="103"/>
      <c r="DJ2092" s="103"/>
      <c r="DK2092" s="103"/>
      <c r="DL2092" s="103"/>
      <c r="DM2092" s="103"/>
      <c r="DN2092" s="103"/>
      <c r="DO2092" s="103"/>
      <c r="DP2092" s="103"/>
      <c r="DQ2092" s="103"/>
      <c r="DR2092" s="103"/>
      <c r="DS2092" s="103"/>
      <c r="DT2092" s="103"/>
      <c r="DU2092" s="103"/>
      <c r="DV2092" s="103"/>
      <c r="DW2092" s="103"/>
      <c r="DX2092" s="103"/>
      <c r="DY2092" s="103"/>
      <c r="DZ2092" s="103"/>
      <c r="EA2092" s="103"/>
      <c r="EB2092" s="103"/>
      <c r="EC2092" s="103"/>
      <c r="ED2092" s="103"/>
      <c r="EE2092" s="103"/>
      <c r="EF2092" s="103"/>
      <c r="EG2092" s="103"/>
      <c r="EH2092" s="103"/>
      <c r="EI2092" s="103"/>
      <c r="EJ2092" s="103"/>
      <c r="EK2092" s="103"/>
      <c r="EL2092" s="103"/>
      <c r="EM2092" s="103"/>
      <c r="EN2092" s="103"/>
      <c r="EO2092" s="103"/>
      <c r="EP2092" s="103"/>
      <c r="EQ2092" s="103"/>
      <c r="ER2092" s="103"/>
      <c r="ES2092" s="103"/>
      <c r="ET2092" s="103"/>
      <c r="EU2092" s="103"/>
      <c r="EV2092" s="103"/>
      <c r="EW2092" s="103"/>
      <c r="EX2092" s="103"/>
      <c r="EY2092" s="103"/>
      <c r="EZ2092" s="103"/>
      <c r="FA2092" s="103"/>
      <c r="FB2092" s="103"/>
      <c r="FC2092" s="103"/>
      <c r="FD2092" s="103"/>
      <c r="FE2092" s="103"/>
      <c r="FF2092" s="103"/>
      <c r="FG2092" s="103"/>
      <c r="FH2092" s="103"/>
      <c r="FI2092" s="103"/>
      <c r="FJ2092" s="103"/>
      <c r="FK2092" s="103"/>
      <c r="FL2092" s="103"/>
      <c r="FM2092" s="103"/>
      <c r="FN2092" s="103"/>
      <c r="FO2092" s="103"/>
      <c r="FP2092" s="103"/>
      <c r="FQ2092" s="103"/>
      <c r="FR2092" s="103"/>
      <c r="FS2092" s="103"/>
      <c r="FT2092" s="103"/>
      <c r="FU2092" s="103"/>
      <c r="FV2092" s="103"/>
      <c r="FW2092" s="103"/>
      <c r="FX2092" s="103"/>
      <c r="FY2092" s="103"/>
      <c r="FZ2092" s="103"/>
      <c r="GA2092" s="103"/>
      <c r="GB2092" s="103"/>
      <c r="GC2092" s="103"/>
      <c r="GD2092" s="103"/>
      <c r="GE2092" s="103"/>
      <c r="GF2092" s="103"/>
      <c r="GG2092" s="103"/>
      <c r="GH2092" s="103"/>
      <c r="GI2092" s="103"/>
      <c r="GJ2092" s="103"/>
      <c r="GK2092" s="103"/>
      <c r="GL2092" s="103"/>
      <c r="GM2092" s="103"/>
      <c r="GN2092" s="103"/>
      <c r="GO2092" s="103"/>
      <c r="GP2092" s="103"/>
      <c r="GQ2092" s="103"/>
      <c r="GR2092" s="103"/>
      <c r="GS2092" s="103"/>
      <c r="GT2092" s="103"/>
      <c r="GU2092" s="103"/>
      <c r="GV2092" s="103"/>
      <c r="GW2092" s="103"/>
      <c r="GX2092" s="103"/>
      <c r="GY2092" s="103"/>
      <c r="GZ2092" s="103"/>
      <c r="HA2092" s="103"/>
      <c r="HB2092" s="103"/>
      <c r="HC2092" s="103"/>
      <c r="HD2092" s="103"/>
      <c r="HE2092" s="103"/>
      <c r="HF2092" s="103"/>
      <c r="HG2092" s="103"/>
      <c r="HH2092" s="103"/>
      <c r="HI2092" s="103"/>
      <c r="HJ2092" s="103"/>
      <c r="HK2092" s="103"/>
      <c r="HL2092" s="103"/>
      <c r="HM2092" s="103"/>
      <c r="HN2092" s="103"/>
      <c r="HO2092" s="103"/>
      <c r="HP2092" s="103"/>
      <c r="HQ2092" s="103"/>
      <c r="HR2092" s="103"/>
      <c r="HS2092" s="103"/>
      <c r="HT2092" s="103"/>
      <c r="HU2092" s="103"/>
      <c r="HV2092" s="103"/>
      <c r="HW2092" s="103"/>
      <c r="HX2092" s="103"/>
      <c r="HY2092" s="103"/>
      <c r="HZ2092" s="103"/>
      <c r="IA2092" s="103"/>
      <c r="IB2092" s="103"/>
      <c r="IC2092" s="103"/>
      <c r="ID2092" s="103"/>
      <c r="IE2092" s="103"/>
      <c r="IF2092" s="103"/>
      <c r="IG2092" s="103"/>
      <c r="IH2092" s="103"/>
      <c r="II2092" s="103"/>
      <c r="IJ2092" s="103"/>
      <c r="IK2092" s="103"/>
      <c r="IL2092" s="103"/>
      <c r="IM2092" s="103"/>
      <c r="IN2092" s="103"/>
      <c r="IO2092" s="103"/>
      <c r="IP2092" s="103"/>
      <c r="IQ2092" s="103"/>
      <c r="IR2092" s="103"/>
      <c r="IS2092" s="103"/>
      <c r="IT2092" s="103"/>
      <c r="IU2092" s="103"/>
      <c r="IV2092" s="103"/>
      <c r="IW2092" s="103"/>
    </row>
    <row r="2093" customFormat="false" ht="17.6" hidden="false" customHeight="false" outlineLevel="0" collapsed="false">
      <c r="A2093" s="89" t="s">
        <v>2335</v>
      </c>
      <c r="B2093" s="90" t="s">
        <v>2298</v>
      </c>
      <c r="C2093" s="90" t="n">
        <f aca="false">ROUND(E2093*G2093,)</f>
        <v>5086</v>
      </c>
      <c r="D2093" s="103" t="s">
        <v>1420</v>
      </c>
      <c r="E2093" s="103" t="n">
        <v>5651</v>
      </c>
      <c r="F2093" s="103"/>
      <c r="G2093" s="103" t="n">
        <v>0.9</v>
      </c>
      <c r="H2093" s="103"/>
      <c r="I2093" s="103"/>
      <c r="J2093" s="103"/>
      <c r="K2093" s="103"/>
      <c r="L2093" s="103"/>
      <c r="M2093" s="103"/>
      <c r="N2093" s="103"/>
      <c r="O2093" s="104"/>
      <c r="P2093" s="103"/>
      <c r="Q2093" s="103"/>
      <c r="R2093" s="103"/>
      <c r="S2093" s="103"/>
      <c r="T2093" s="103"/>
      <c r="U2093" s="103"/>
      <c r="V2093" s="103"/>
      <c r="W2093" s="103"/>
      <c r="X2093" s="103"/>
      <c r="Y2093" s="103"/>
      <c r="Z2093" s="103"/>
      <c r="AA2093" s="103"/>
      <c r="AB2093" s="103"/>
      <c r="AC2093" s="103"/>
      <c r="AD2093" s="103"/>
      <c r="AE2093" s="103"/>
      <c r="AF2093" s="103"/>
      <c r="AG2093" s="103"/>
      <c r="AH2093" s="103"/>
      <c r="AI2093" s="103"/>
      <c r="AJ2093" s="103"/>
      <c r="AK2093" s="103"/>
      <c r="AL2093" s="103"/>
      <c r="AM2093" s="103"/>
      <c r="AN2093" s="103"/>
      <c r="AO2093" s="103"/>
      <c r="AP2093" s="103"/>
      <c r="AQ2093" s="103"/>
      <c r="AR2093" s="103"/>
      <c r="AS2093" s="103"/>
      <c r="AT2093" s="103"/>
      <c r="AU2093" s="103"/>
      <c r="AV2093" s="103"/>
      <c r="AW2093" s="103"/>
      <c r="AX2093" s="103"/>
      <c r="AY2093" s="103"/>
      <c r="AZ2093" s="103"/>
      <c r="BA2093" s="103"/>
      <c r="BB2093" s="103"/>
      <c r="BC2093" s="103"/>
      <c r="BD2093" s="103"/>
      <c r="BE2093" s="103"/>
      <c r="BF2093" s="103"/>
      <c r="BG2093" s="103"/>
      <c r="BH2093" s="103"/>
      <c r="BI2093" s="103"/>
      <c r="BJ2093" s="103"/>
      <c r="BK2093" s="103"/>
      <c r="BL2093" s="103"/>
      <c r="BM2093" s="103"/>
      <c r="BN2093" s="103"/>
      <c r="BO2093" s="103"/>
      <c r="BP2093" s="103"/>
      <c r="BQ2093" s="103"/>
      <c r="BR2093" s="103"/>
      <c r="BS2093" s="103"/>
      <c r="BT2093" s="103"/>
      <c r="BU2093" s="103"/>
      <c r="BV2093" s="103"/>
      <c r="BW2093" s="103"/>
      <c r="BX2093" s="103"/>
      <c r="BY2093" s="103"/>
      <c r="BZ2093" s="103"/>
      <c r="CA2093" s="103"/>
      <c r="CB2093" s="103"/>
      <c r="CC2093" s="103"/>
      <c r="CD2093" s="103"/>
      <c r="CE2093" s="103"/>
      <c r="CF2093" s="103"/>
      <c r="CG2093" s="103"/>
      <c r="CH2093" s="103"/>
      <c r="CI2093" s="103"/>
      <c r="CJ2093" s="103"/>
      <c r="CK2093" s="103"/>
      <c r="CL2093" s="103"/>
      <c r="CM2093" s="103"/>
      <c r="CN2093" s="103"/>
      <c r="CO2093" s="103"/>
      <c r="CP2093" s="103"/>
      <c r="CQ2093" s="103"/>
      <c r="CR2093" s="103"/>
      <c r="CS2093" s="103"/>
      <c r="CT2093" s="103"/>
      <c r="CU2093" s="103"/>
      <c r="CV2093" s="103"/>
      <c r="CW2093" s="103"/>
      <c r="CX2093" s="103"/>
      <c r="CY2093" s="103"/>
      <c r="CZ2093" s="103"/>
      <c r="DA2093" s="103"/>
      <c r="DB2093" s="103"/>
      <c r="DC2093" s="103"/>
      <c r="DD2093" s="103"/>
      <c r="DE2093" s="103"/>
      <c r="DF2093" s="103"/>
      <c r="DG2093" s="103"/>
      <c r="DH2093" s="103"/>
      <c r="DI2093" s="103"/>
      <c r="DJ2093" s="103"/>
      <c r="DK2093" s="103"/>
      <c r="DL2093" s="103"/>
      <c r="DM2093" s="103"/>
      <c r="DN2093" s="103"/>
      <c r="DO2093" s="103"/>
      <c r="DP2093" s="103"/>
      <c r="DQ2093" s="103"/>
      <c r="DR2093" s="103"/>
      <c r="DS2093" s="103"/>
      <c r="DT2093" s="103"/>
      <c r="DU2093" s="103"/>
      <c r="DV2093" s="103"/>
      <c r="DW2093" s="103"/>
      <c r="DX2093" s="103"/>
      <c r="DY2093" s="103"/>
      <c r="DZ2093" s="103"/>
      <c r="EA2093" s="103"/>
      <c r="EB2093" s="103"/>
      <c r="EC2093" s="103"/>
      <c r="ED2093" s="103"/>
      <c r="EE2093" s="103"/>
      <c r="EF2093" s="103"/>
      <c r="EG2093" s="103"/>
      <c r="EH2093" s="103"/>
      <c r="EI2093" s="103"/>
      <c r="EJ2093" s="103"/>
      <c r="EK2093" s="103"/>
      <c r="EL2093" s="103"/>
      <c r="EM2093" s="103"/>
      <c r="EN2093" s="103"/>
      <c r="EO2093" s="103"/>
      <c r="EP2093" s="103"/>
      <c r="EQ2093" s="103"/>
      <c r="ER2093" s="103"/>
      <c r="ES2093" s="103"/>
      <c r="ET2093" s="103"/>
      <c r="EU2093" s="103"/>
      <c r="EV2093" s="103"/>
      <c r="EW2093" s="103"/>
      <c r="EX2093" s="103"/>
      <c r="EY2093" s="103"/>
      <c r="EZ2093" s="103"/>
      <c r="FA2093" s="103"/>
      <c r="FB2093" s="103"/>
      <c r="FC2093" s="103"/>
      <c r="FD2093" s="103"/>
      <c r="FE2093" s="103"/>
      <c r="FF2093" s="103"/>
      <c r="FG2093" s="103"/>
      <c r="FH2093" s="103"/>
      <c r="FI2093" s="103"/>
      <c r="FJ2093" s="103"/>
      <c r="FK2093" s="103"/>
      <c r="FL2093" s="103"/>
      <c r="FM2093" s="103"/>
      <c r="FN2093" s="103"/>
      <c r="FO2093" s="103"/>
      <c r="FP2093" s="103"/>
      <c r="FQ2093" s="103"/>
      <c r="FR2093" s="103"/>
      <c r="FS2093" s="103"/>
      <c r="FT2093" s="103"/>
      <c r="FU2093" s="103"/>
      <c r="FV2093" s="103"/>
      <c r="FW2093" s="103"/>
      <c r="FX2093" s="103"/>
      <c r="FY2093" s="103"/>
      <c r="FZ2093" s="103"/>
      <c r="GA2093" s="103"/>
      <c r="GB2093" s="103"/>
      <c r="GC2093" s="103"/>
      <c r="GD2093" s="103"/>
      <c r="GE2093" s="103"/>
      <c r="GF2093" s="103"/>
      <c r="GG2093" s="103"/>
      <c r="GH2093" s="103"/>
      <c r="GI2093" s="103"/>
      <c r="GJ2093" s="103"/>
      <c r="GK2093" s="103"/>
      <c r="GL2093" s="103"/>
      <c r="GM2093" s="103"/>
      <c r="GN2093" s="103"/>
      <c r="GO2093" s="103"/>
      <c r="GP2093" s="103"/>
      <c r="GQ2093" s="103"/>
      <c r="GR2093" s="103"/>
      <c r="GS2093" s="103"/>
      <c r="GT2093" s="103"/>
      <c r="GU2093" s="103"/>
      <c r="GV2093" s="103"/>
      <c r="GW2093" s="103"/>
      <c r="GX2093" s="103"/>
      <c r="GY2093" s="103"/>
      <c r="GZ2093" s="103"/>
      <c r="HA2093" s="103"/>
      <c r="HB2093" s="103"/>
      <c r="HC2093" s="103"/>
      <c r="HD2093" s="103"/>
      <c r="HE2093" s="103"/>
      <c r="HF2093" s="103"/>
      <c r="HG2093" s="103"/>
      <c r="HH2093" s="103"/>
      <c r="HI2093" s="103"/>
      <c r="HJ2093" s="103"/>
      <c r="HK2093" s="103"/>
      <c r="HL2093" s="103"/>
      <c r="HM2093" s="103"/>
      <c r="HN2093" s="103"/>
      <c r="HO2093" s="103"/>
      <c r="HP2093" s="103"/>
      <c r="HQ2093" s="103"/>
      <c r="HR2093" s="103"/>
      <c r="HS2093" s="103"/>
      <c r="HT2093" s="103"/>
      <c r="HU2093" s="103"/>
      <c r="HV2093" s="103"/>
      <c r="HW2093" s="103"/>
      <c r="HX2093" s="103"/>
      <c r="HY2093" s="103"/>
      <c r="HZ2093" s="103"/>
      <c r="IA2093" s="103"/>
      <c r="IB2093" s="103"/>
      <c r="IC2093" s="103"/>
      <c r="ID2093" s="103"/>
      <c r="IE2093" s="103"/>
      <c r="IF2093" s="103"/>
      <c r="IG2093" s="103"/>
      <c r="IH2093" s="103"/>
      <c r="II2093" s="103"/>
      <c r="IJ2093" s="103"/>
      <c r="IK2093" s="103"/>
      <c r="IL2093" s="103"/>
      <c r="IM2093" s="103"/>
      <c r="IN2093" s="103"/>
      <c r="IO2093" s="103"/>
      <c r="IP2093" s="103"/>
      <c r="IQ2093" s="103"/>
      <c r="IR2093" s="103"/>
      <c r="IS2093" s="103"/>
      <c r="IT2093" s="103"/>
      <c r="IU2093" s="103"/>
      <c r="IV2093" s="103"/>
      <c r="IW2093" s="103"/>
    </row>
    <row r="2094" customFormat="false" ht="17.6" hidden="false" customHeight="false" outlineLevel="0" collapsed="false">
      <c r="A2094" s="89" t="s">
        <v>2336</v>
      </c>
      <c r="B2094" s="90" t="s">
        <v>2298</v>
      </c>
      <c r="C2094" s="90" t="n">
        <f aca="false">ROUND(E2094*G2094,)</f>
        <v>5155</v>
      </c>
      <c r="D2094" s="103" t="s">
        <v>1420</v>
      </c>
      <c r="E2094" s="103" t="n">
        <v>5728</v>
      </c>
      <c r="F2094" s="103"/>
      <c r="G2094" s="103" t="n">
        <v>0.9</v>
      </c>
      <c r="H2094" s="103"/>
      <c r="I2094" s="103"/>
      <c r="J2094" s="103"/>
      <c r="K2094" s="103"/>
      <c r="L2094" s="103"/>
      <c r="M2094" s="103"/>
      <c r="N2094" s="103"/>
      <c r="O2094" s="104"/>
      <c r="P2094" s="103"/>
      <c r="Q2094" s="103"/>
      <c r="R2094" s="103"/>
      <c r="S2094" s="103"/>
      <c r="T2094" s="103"/>
      <c r="U2094" s="103"/>
      <c r="V2094" s="103"/>
      <c r="W2094" s="103"/>
      <c r="X2094" s="103"/>
      <c r="Y2094" s="103"/>
      <c r="Z2094" s="103"/>
      <c r="AA2094" s="103"/>
      <c r="AB2094" s="103"/>
      <c r="AC2094" s="103"/>
      <c r="AD2094" s="103"/>
      <c r="AE2094" s="103"/>
      <c r="AF2094" s="103"/>
      <c r="AG2094" s="103"/>
      <c r="AH2094" s="103"/>
      <c r="AI2094" s="103"/>
      <c r="AJ2094" s="103"/>
      <c r="AK2094" s="103"/>
      <c r="AL2094" s="103"/>
      <c r="AM2094" s="103"/>
      <c r="AN2094" s="103"/>
      <c r="AO2094" s="103"/>
      <c r="AP2094" s="103"/>
      <c r="AQ2094" s="103"/>
      <c r="AR2094" s="103"/>
      <c r="AS2094" s="103"/>
      <c r="AT2094" s="103"/>
      <c r="AU2094" s="103"/>
      <c r="AV2094" s="103"/>
      <c r="AW2094" s="103"/>
      <c r="AX2094" s="103"/>
      <c r="AY2094" s="103"/>
      <c r="AZ2094" s="103"/>
      <c r="BA2094" s="103"/>
      <c r="BB2094" s="103"/>
      <c r="BC2094" s="103"/>
      <c r="BD2094" s="103"/>
      <c r="BE2094" s="103"/>
      <c r="BF2094" s="103"/>
      <c r="BG2094" s="103"/>
      <c r="BH2094" s="103"/>
      <c r="BI2094" s="103"/>
      <c r="BJ2094" s="103"/>
      <c r="BK2094" s="103"/>
      <c r="BL2094" s="103"/>
      <c r="BM2094" s="103"/>
      <c r="BN2094" s="103"/>
      <c r="BO2094" s="103"/>
      <c r="BP2094" s="103"/>
      <c r="BQ2094" s="103"/>
      <c r="BR2094" s="103"/>
      <c r="BS2094" s="103"/>
      <c r="BT2094" s="103"/>
      <c r="BU2094" s="103"/>
      <c r="BV2094" s="103"/>
      <c r="BW2094" s="103"/>
      <c r="BX2094" s="103"/>
      <c r="BY2094" s="103"/>
      <c r="BZ2094" s="103"/>
      <c r="CA2094" s="103"/>
      <c r="CB2094" s="103"/>
      <c r="CC2094" s="103"/>
      <c r="CD2094" s="103"/>
      <c r="CE2094" s="103"/>
      <c r="CF2094" s="103"/>
      <c r="CG2094" s="103"/>
      <c r="CH2094" s="103"/>
      <c r="CI2094" s="103"/>
      <c r="CJ2094" s="103"/>
      <c r="CK2094" s="103"/>
      <c r="CL2094" s="103"/>
      <c r="CM2094" s="103"/>
      <c r="CN2094" s="103"/>
      <c r="CO2094" s="103"/>
      <c r="CP2094" s="103"/>
      <c r="CQ2094" s="103"/>
      <c r="CR2094" s="103"/>
      <c r="CS2094" s="103"/>
      <c r="CT2094" s="103"/>
      <c r="CU2094" s="103"/>
      <c r="CV2094" s="103"/>
      <c r="CW2094" s="103"/>
      <c r="CX2094" s="103"/>
      <c r="CY2094" s="103"/>
      <c r="CZ2094" s="103"/>
      <c r="DA2094" s="103"/>
      <c r="DB2094" s="103"/>
      <c r="DC2094" s="103"/>
      <c r="DD2094" s="103"/>
      <c r="DE2094" s="103"/>
      <c r="DF2094" s="103"/>
      <c r="DG2094" s="103"/>
      <c r="DH2094" s="103"/>
      <c r="DI2094" s="103"/>
      <c r="DJ2094" s="103"/>
      <c r="DK2094" s="103"/>
      <c r="DL2094" s="103"/>
      <c r="DM2094" s="103"/>
      <c r="DN2094" s="103"/>
      <c r="DO2094" s="103"/>
      <c r="DP2094" s="103"/>
      <c r="DQ2094" s="103"/>
      <c r="DR2094" s="103"/>
      <c r="DS2094" s="103"/>
      <c r="DT2094" s="103"/>
      <c r="DU2094" s="103"/>
      <c r="DV2094" s="103"/>
      <c r="DW2094" s="103"/>
      <c r="DX2094" s="103"/>
      <c r="DY2094" s="103"/>
      <c r="DZ2094" s="103"/>
      <c r="EA2094" s="103"/>
      <c r="EB2094" s="103"/>
      <c r="EC2094" s="103"/>
      <c r="ED2094" s="103"/>
      <c r="EE2094" s="103"/>
      <c r="EF2094" s="103"/>
      <c r="EG2094" s="103"/>
      <c r="EH2094" s="103"/>
      <c r="EI2094" s="103"/>
      <c r="EJ2094" s="103"/>
      <c r="EK2094" s="103"/>
      <c r="EL2094" s="103"/>
      <c r="EM2094" s="103"/>
      <c r="EN2094" s="103"/>
      <c r="EO2094" s="103"/>
      <c r="EP2094" s="103"/>
      <c r="EQ2094" s="103"/>
      <c r="ER2094" s="103"/>
      <c r="ES2094" s="103"/>
      <c r="ET2094" s="103"/>
      <c r="EU2094" s="103"/>
      <c r="EV2094" s="103"/>
      <c r="EW2094" s="103"/>
      <c r="EX2094" s="103"/>
      <c r="EY2094" s="103"/>
      <c r="EZ2094" s="103"/>
      <c r="FA2094" s="103"/>
      <c r="FB2094" s="103"/>
      <c r="FC2094" s="103"/>
      <c r="FD2094" s="103"/>
      <c r="FE2094" s="103"/>
      <c r="FF2094" s="103"/>
      <c r="FG2094" s="103"/>
      <c r="FH2094" s="103"/>
      <c r="FI2094" s="103"/>
      <c r="FJ2094" s="103"/>
      <c r="FK2094" s="103"/>
      <c r="FL2094" s="103"/>
      <c r="FM2094" s="103"/>
      <c r="FN2094" s="103"/>
      <c r="FO2094" s="103"/>
      <c r="FP2094" s="103"/>
      <c r="FQ2094" s="103"/>
      <c r="FR2094" s="103"/>
      <c r="FS2094" s="103"/>
      <c r="FT2094" s="103"/>
      <c r="FU2094" s="103"/>
      <c r="FV2094" s="103"/>
      <c r="FW2094" s="103"/>
      <c r="FX2094" s="103"/>
      <c r="FY2094" s="103"/>
      <c r="FZ2094" s="103"/>
      <c r="GA2094" s="103"/>
      <c r="GB2094" s="103"/>
      <c r="GC2094" s="103"/>
      <c r="GD2094" s="103"/>
      <c r="GE2094" s="103"/>
      <c r="GF2094" s="103"/>
      <c r="GG2094" s="103"/>
      <c r="GH2094" s="103"/>
      <c r="GI2094" s="103"/>
      <c r="GJ2094" s="103"/>
      <c r="GK2094" s="103"/>
      <c r="GL2094" s="103"/>
      <c r="GM2094" s="103"/>
      <c r="GN2094" s="103"/>
      <c r="GO2094" s="103"/>
      <c r="GP2094" s="103"/>
      <c r="GQ2094" s="103"/>
      <c r="GR2094" s="103"/>
      <c r="GS2094" s="103"/>
      <c r="GT2094" s="103"/>
      <c r="GU2094" s="103"/>
      <c r="GV2094" s="103"/>
      <c r="GW2094" s="103"/>
      <c r="GX2094" s="103"/>
      <c r="GY2094" s="103"/>
      <c r="GZ2094" s="103"/>
      <c r="HA2094" s="103"/>
      <c r="HB2094" s="103"/>
      <c r="HC2094" s="103"/>
      <c r="HD2094" s="103"/>
      <c r="HE2094" s="103"/>
      <c r="HF2094" s="103"/>
      <c r="HG2094" s="103"/>
      <c r="HH2094" s="103"/>
      <c r="HI2094" s="103"/>
      <c r="HJ2094" s="103"/>
      <c r="HK2094" s="103"/>
      <c r="HL2094" s="103"/>
      <c r="HM2094" s="103"/>
      <c r="HN2094" s="103"/>
      <c r="HO2094" s="103"/>
      <c r="HP2094" s="103"/>
      <c r="HQ2094" s="103"/>
      <c r="HR2094" s="103"/>
      <c r="HS2094" s="103"/>
      <c r="HT2094" s="103"/>
      <c r="HU2094" s="103"/>
      <c r="HV2094" s="103"/>
      <c r="HW2094" s="103"/>
      <c r="HX2094" s="103"/>
      <c r="HY2094" s="103"/>
      <c r="HZ2094" s="103"/>
      <c r="IA2094" s="103"/>
      <c r="IB2094" s="103"/>
      <c r="IC2094" s="103"/>
      <c r="ID2094" s="103"/>
      <c r="IE2094" s="103"/>
      <c r="IF2094" s="103"/>
      <c r="IG2094" s="103"/>
      <c r="IH2094" s="103"/>
      <c r="II2094" s="103"/>
      <c r="IJ2094" s="103"/>
      <c r="IK2094" s="103"/>
      <c r="IL2094" s="103"/>
      <c r="IM2094" s="103"/>
      <c r="IN2094" s="103"/>
      <c r="IO2094" s="103"/>
      <c r="IP2094" s="103"/>
      <c r="IQ2094" s="103"/>
      <c r="IR2094" s="103"/>
      <c r="IS2094" s="103"/>
      <c r="IT2094" s="103"/>
      <c r="IU2094" s="103"/>
      <c r="IV2094" s="103"/>
      <c r="IW2094" s="103"/>
    </row>
    <row r="2095" customFormat="false" ht="17.6" hidden="false" customHeight="false" outlineLevel="0" collapsed="false">
      <c r="A2095" s="89" t="s">
        <v>2337</v>
      </c>
      <c r="B2095" s="90" t="s">
        <v>2298</v>
      </c>
      <c r="C2095" s="90" t="n">
        <f aca="false">ROUND(E2095*G2095,)</f>
        <v>4895</v>
      </c>
      <c r="D2095" s="103" t="s">
        <v>1420</v>
      </c>
      <c r="E2095" s="103" t="n">
        <v>5438.7</v>
      </c>
      <c r="F2095" s="103"/>
      <c r="G2095" s="103" t="n">
        <v>0.9</v>
      </c>
      <c r="H2095" s="103"/>
      <c r="I2095" s="103"/>
      <c r="J2095" s="103"/>
      <c r="K2095" s="103"/>
      <c r="L2095" s="103"/>
      <c r="M2095" s="103"/>
      <c r="N2095" s="103"/>
      <c r="O2095" s="104"/>
      <c r="P2095" s="103"/>
      <c r="Q2095" s="103"/>
      <c r="R2095" s="103"/>
      <c r="S2095" s="103"/>
      <c r="T2095" s="103"/>
      <c r="U2095" s="103"/>
      <c r="V2095" s="103"/>
      <c r="W2095" s="103"/>
      <c r="X2095" s="103"/>
      <c r="Y2095" s="103"/>
      <c r="Z2095" s="103"/>
      <c r="AA2095" s="103"/>
      <c r="AB2095" s="103"/>
      <c r="AC2095" s="103"/>
      <c r="AD2095" s="103"/>
      <c r="AE2095" s="103"/>
      <c r="AF2095" s="103"/>
      <c r="AG2095" s="103"/>
      <c r="AH2095" s="103"/>
      <c r="AI2095" s="103"/>
      <c r="AJ2095" s="103"/>
      <c r="AK2095" s="103"/>
      <c r="AL2095" s="103"/>
      <c r="AM2095" s="103"/>
      <c r="AN2095" s="103"/>
      <c r="AO2095" s="103"/>
      <c r="AP2095" s="103"/>
      <c r="AQ2095" s="103"/>
      <c r="AR2095" s="103"/>
      <c r="AS2095" s="103"/>
      <c r="AT2095" s="103"/>
      <c r="AU2095" s="103"/>
      <c r="AV2095" s="103"/>
      <c r="AW2095" s="103"/>
      <c r="AX2095" s="103"/>
      <c r="AY2095" s="103"/>
      <c r="AZ2095" s="103"/>
      <c r="BA2095" s="103"/>
      <c r="BB2095" s="103"/>
      <c r="BC2095" s="103"/>
      <c r="BD2095" s="103"/>
      <c r="BE2095" s="103"/>
      <c r="BF2095" s="103"/>
      <c r="BG2095" s="103"/>
      <c r="BH2095" s="103"/>
      <c r="BI2095" s="103"/>
      <c r="BJ2095" s="103"/>
      <c r="BK2095" s="103"/>
      <c r="BL2095" s="103"/>
      <c r="BM2095" s="103"/>
      <c r="BN2095" s="103"/>
      <c r="BO2095" s="103"/>
      <c r="BP2095" s="103"/>
      <c r="BQ2095" s="103"/>
      <c r="BR2095" s="103"/>
      <c r="BS2095" s="103"/>
      <c r="BT2095" s="103"/>
      <c r="BU2095" s="103"/>
      <c r="BV2095" s="103"/>
      <c r="BW2095" s="103"/>
      <c r="BX2095" s="103"/>
      <c r="BY2095" s="103"/>
      <c r="BZ2095" s="103"/>
      <c r="CA2095" s="103"/>
      <c r="CB2095" s="103"/>
      <c r="CC2095" s="103"/>
      <c r="CD2095" s="103"/>
      <c r="CE2095" s="103"/>
      <c r="CF2095" s="103"/>
      <c r="CG2095" s="103"/>
      <c r="CH2095" s="103"/>
      <c r="CI2095" s="103"/>
      <c r="CJ2095" s="103"/>
      <c r="CK2095" s="103"/>
      <c r="CL2095" s="103"/>
      <c r="CM2095" s="103"/>
      <c r="CN2095" s="103"/>
      <c r="CO2095" s="103"/>
      <c r="CP2095" s="103"/>
      <c r="CQ2095" s="103"/>
      <c r="CR2095" s="103"/>
      <c r="CS2095" s="103"/>
      <c r="CT2095" s="103"/>
      <c r="CU2095" s="103"/>
      <c r="CV2095" s="103"/>
      <c r="CW2095" s="103"/>
      <c r="CX2095" s="103"/>
      <c r="CY2095" s="103"/>
      <c r="CZ2095" s="103"/>
      <c r="DA2095" s="103"/>
      <c r="DB2095" s="103"/>
      <c r="DC2095" s="103"/>
      <c r="DD2095" s="103"/>
      <c r="DE2095" s="103"/>
      <c r="DF2095" s="103"/>
      <c r="DG2095" s="103"/>
      <c r="DH2095" s="103"/>
      <c r="DI2095" s="103"/>
      <c r="DJ2095" s="103"/>
      <c r="DK2095" s="103"/>
      <c r="DL2095" s="103"/>
      <c r="DM2095" s="103"/>
      <c r="DN2095" s="103"/>
      <c r="DO2095" s="103"/>
      <c r="DP2095" s="103"/>
      <c r="DQ2095" s="103"/>
      <c r="DR2095" s="103"/>
      <c r="DS2095" s="103"/>
      <c r="DT2095" s="103"/>
      <c r="DU2095" s="103"/>
      <c r="DV2095" s="103"/>
      <c r="DW2095" s="103"/>
      <c r="DX2095" s="103"/>
      <c r="DY2095" s="103"/>
      <c r="DZ2095" s="103"/>
      <c r="EA2095" s="103"/>
      <c r="EB2095" s="103"/>
      <c r="EC2095" s="103"/>
      <c r="ED2095" s="103"/>
      <c r="EE2095" s="103"/>
      <c r="EF2095" s="103"/>
      <c r="EG2095" s="103"/>
      <c r="EH2095" s="103"/>
      <c r="EI2095" s="103"/>
      <c r="EJ2095" s="103"/>
      <c r="EK2095" s="103"/>
      <c r="EL2095" s="103"/>
      <c r="EM2095" s="103"/>
      <c r="EN2095" s="103"/>
      <c r="EO2095" s="103"/>
      <c r="EP2095" s="103"/>
      <c r="EQ2095" s="103"/>
      <c r="ER2095" s="103"/>
      <c r="ES2095" s="103"/>
      <c r="ET2095" s="103"/>
      <c r="EU2095" s="103"/>
      <c r="EV2095" s="103"/>
      <c r="EW2095" s="103"/>
      <c r="EX2095" s="103"/>
      <c r="EY2095" s="103"/>
      <c r="EZ2095" s="103"/>
      <c r="FA2095" s="103"/>
      <c r="FB2095" s="103"/>
      <c r="FC2095" s="103"/>
      <c r="FD2095" s="103"/>
      <c r="FE2095" s="103"/>
      <c r="FF2095" s="103"/>
      <c r="FG2095" s="103"/>
      <c r="FH2095" s="103"/>
      <c r="FI2095" s="103"/>
      <c r="FJ2095" s="103"/>
      <c r="FK2095" s="103"/>
      <c r="FL2095" s="103"/>
      <c r="FM2095" s="103"/>
      <c r="FN2095" s="103"/>
      <c r="FO2095" s="103"/>
      <c r="FP2095" s="103"/>
      <c r="FQ2095" s="103"/>
      <c r="FR2095" s="103"/>
      <c r="FS2095" s="103"/>
      <c r="FT2095" s="103"/>
      <c r="FU2095" s="103"/>
      <c r="FV2095" s="103"/>
      <c r="FW2095" s="103"/>
      <c r="FX2095" s="103"/>
      <c r="FY2095" s="103"/>
      <c r="FZ2095" s="103"/>
      <c r="GA2095" s="103"/>
      <c r="GB2095" s="103"/>
      <c r="GC2095" s="103"/>
      <c r="GD2095" s="103"/>
      <c r="GE2095" s="103"/>
      <c r="GF2095" s="103"/>
      <c r="GG2095" s="103"/>
      <c r="GH2095" s="103"/>
      <c r="GI2095" s="103"/>
      <c r="GJ2095" s="103"/>
      <c r="GK2095" s="103"/>
      <c r="GL2095" s="103"/>
      <c r="GM2095" s="103"/>
      <c r="GN2095" s="103"/>
      <c r="GO2095" s="103"/>
      <c r="GP2095" s="103"/>
      <c r="GQ2095" s="103"/>
      <c r="GR2095" s="103"/>
      <c r="GS2095" s="103"/>
      <c r="GT2095" s="103"/>
      <c r="GU2095" s="103"/>
      <c r="GV2095" s="103"/>
      <c r="GW2095" s="103"/>
      <c r="GX2095" s="103"/>
      <c r="GY2095" s="103"/>
      <c r="GZ2095" s="103"/>
      <c r="HA2095" s="103"/>
      <c r="HB2095" s="103"/>
      <c r="HC2095" s="103"/>
      <c r="HD2095" s="103"/>
      <c r="HE2095" s="103"/>
      <c r="HF2095" s="103"/>
      <c r="HG2095" s="103"/>
      <c r="HH2095" s="103"/>
      <c r="HI2095" s="103"/>
      <c r="HJ2095" s="103"/>
      <c r="HK2095" s="103"/>
      <c r="HL2095" s="103"/>
      <c r="HM2095" s="103"/>
      <c r="HN2095" s="103"/>
      <c r="HO2095" s="103"/>
      <c r="HP2095" s="103"/>
      <c r="HQ2095" s="103"/>
      <c r="HR2095" s="103"/>
      <c r="HS2095" s="103"/>
      <c r="HT2095" s="103"/>
      <c r="HU2095" s="103"/>
      <c r="HV2095" s="103"/>
      <c r="HW2095" s="103"/>
      <c r="HX2095" s="103"/>
      <c r="HY2095" s="103"/>
      <c r="HZ2095" s="103"/>
      <c r="IA2095" s="103"/>
      <c r="IB2095" s="103"/>
      <c r="IC2095" s="103"/>
      <c r="ID2095" s="103"/>
      <c r="IE2095" s="103"/>
      <c r="IF2095" s="103"/>
      <c r="IG2095" s="103"/>
      <c r="IH2095" s="103"/>
      <c r="II2095" s="103"/>
      <c r="IJ2095" s="103"/>
      <c r="IK2095" s="103"/>
      <c r="IL2095" s="103"/>
      <c r="IM2095" s="103"/>
      <c r="IN2095" s="103"/>
      <c r="IO2095" s="103"/>
      <c r="IP2095" s="103"/>
      <c r="IQ2095" s="103"/>
      <c r="IR2095" s="103"/>
      <c r="IS2095" s="103"/>
      <c r="IT2095" s="103"/>
      <c r="IU2095" s="103"/>
      <c r="IV2095" s="103"/>
      <c r="IW2095" s="103"/>
    </row>
    <row r="2096" customFormat="false" ht="17.6" hidden="false" customHeight="false" outlineLevel="0" collapsed="false">
      <c r="A2096" s="89" t="s">
        <v>2338</v>
      </c>
      <c r="B2096" s="90" t="s">
        <v>2298</v>
      </c>
      <c r="C2096" s="90" t="n">
        <f aca="false">ROUND(E2096*G2096,)</f>
        <v>5150</v>
      </c>
      <c r="D2096" s="103" t="s">
        <v>1420</v>
      </c>
      <c r="E2096" s="103" t="n">
        <v>5722.2</v>
      </c>
      <c r="F2096" s="103"/>
      <c r="G2096" s="103" t="n">
        <v>0.9</v>
      </c>
      <c r="H2096" s="103"/>
      <c r="I2096" s="103"/>
      <c r="J2096" s="103"/>
      <c r="K2096" s="103"/>
      <c r="L2096" s="103"/>
      <c r="M2096" s="103"/>
      <c r="N2096" s="103"/>
      <c r="O2096" s="104"/>
      <c r="P2096" s="103"/>
      <c r="Q2096" s="103"/>
      <c r="R2096" s="103"/>
      <c r="S2096" s="103"/>
      <c r="T2096" s="103"/>
      <c r="U2096" s="103"/>
      <c r="V2096" s="103"/>
      <c r="W2096" s="103"/>
      <c r="X2096" s="103"/>
      <c r="Y2096" s="103"/>
      <c r="Z2096" s="103"/>
      <c r="AA2096" s="103"/>
      <c r="AB2096" s="103"/>
      <c r="AC2096" s="103"/>
      <c r="AD2096" s="103"/>
      <c r="AE2096" s="103"/>
      <c r="AF2096" s="103"/>
      <c r="AG2096" s="103"/>
      <c r="AH2096" s="103"/>
      <c r="AI2096" s="103"/>
      <c r="AJ2096" s="103"/>
      <c r="AK2096" s="103"/>
      <c r="AL2096" s="103"/>
      <c r="AM2096" s="103"/>
      <c r="AN2096" s="103"/>
      <c r="AO2096" s="103"/>
      <c r="AP2096" s="103"/>
      <c r="AQ2096" s="103"/>
      <c r="AR2096" s="103"/>
      <c r="AS2096" s="103"/>
      <c r="AT2096" s="103"/>
      <c r="AU2096" s="103"/>
      <c r="AV2096" s="103"/>
      <c r="AW2096" s="103"/>
      <c r="AX2096" s="103"/>
      <c r="AY2096" s="103"/>
      <c r="AZ2096" s="103"/>
      <c r="BA2096" s="103"/>
      <c r="BB2096" s="103"/>
      <c r="BC2096" s="103"/>
      <c r="BD2096" s="103"/>
      <c r="BE2096" s="103"/>
      <c r="BF2096" s="103"/>
      <c r="BG2096" s="103"/>
      <c r="BH2096" s="103"/>
      <c r="BI2096" s="103"/>
      <c r="BJ2096" s="103"/>
      <c r="BK2096" s="103"/>
      <c r="BL2096" s="103"/>
      <c r="BM2096" s="103"/>
      <c r="BN2096" s="103"/>
      <c r="BO2096" s="103"/>
      <c r="BP2096" s="103"/>
      <c r="BQ2096" s="103"/>
      <c r="BR2096" s="103"/>
      <c r="BS2096" s="103"/>
      <c r="BT2096" s="103"/>
      <c r="BU2096" s="103"/>
      <c r="BV2096" s="103"/>
      <c r="BW2096" s="103"/>
      <c r="BX2096" s="103"/>
      <c r="BY2096" s="103"/>
      <c r="BZ2096" s="103"/>
      <c r="CA2096" s="103"/>
      <c r="CB2096" s="103"/>
      <c r="CC2096" s="103"/>
      <c r="CD2096" s="103"/>
      <c r="CE2096" s="103"/>
      <c r="CF2096" s="103"/>
      <c r="CG2096" s="103"/>
      <c r="CH2096" s="103"/>
      <c r="CI2096" s="103"/>
      <c r="CJ2096" s="103"/>
      <c r="CK2096" s="103"/>
      <c r="CL2096" s="103"/>
      <c r="CM2096" s="103"/>
      <c r="CN2096" s="103"/>
      <c r="CO2096" s="103"/>
      <c r="CP2096" s="103"/>
      <c r="CQ2096" s="103"/>
      <c r="CR2096" s="103"/>
      <c r="CS2096" s="103"/>
      <c r="CT2096" s="103"/>
      <c r="CU2096" s="103"/>
      <c r="CV2096" s="103"/>
      <c r="CW2096" s="103"/>
      <c r="CX2096" s="103"/>
      <c r="CY2096" s="103"/>
      <c r="CZ2096" s="103"/>
      <c r="DA2096" s="103"/>
      <c r="DB2096" s="103"/>
      <c r="DC2096" s="103"/>
      <c r="DD2096" s="103"/>
      <c r="DE2096" s="103"/>
      <c r="DF2096" s="103"/>
      <c r="DG2096" s="103"/>
      <c r="DH2096" s="103"/>
      <c r="DI2096" s="103"/>
      <c r="DJ2096" s="103"/>
      <c r="DK2096" s="103"/>
      <c r="DL2096" s="103"/>
      <c r="DM2096" s="103"/>
      <c r="DN2096" s="103"/>
      <c r="DO2096" s="103"/>
      <c r="DP2096" s="103"/>
      <c r="DQ2096" s="103"/>
      <c r="DR2096" s="103"/>
      <c r="DS2096" s="103"/>
      <c r="DT2096" s="103"/>
      <c r="DU2096" s="103"/>
      <c r="DV2096" s="103"/>
      <c r="DW2096" s="103"/>
      <c r="DX2096" s="103"/>
      <c r="DY2096" s="103"/>
      <c r="DZ2096" s="103"/>
      <c r="EA2096" s="103"/>
      <c r="EB2096" s="103"/>
      <c r="EC2096" s="103"/>
      <c r="ED2096" s="103"/>
      <c r="EE2096" s="103"/>
      <c r="EF2096" s="103"/>
      <c r="EG2096" s="103"/>
      <c r="EH2096" s="103"/>
      <c r="EI2096" s="103"/>
      <c r="EJ2096" s="103"/>
      <c r="EK2096" s="103"/>
      <c r="EL2096" s="103"/>
      <c r="EM2096" s="103"/>
      <c r="EN2096" s="103"/>
      <c r="EO2096" s="103"/>
      <c r="EP2096" s="103"/>
      <c r="EQ2096" s="103"/>
      <c r="ER2096" s="103"/>
      <c r="ES2096" s="103"/>
      <c r="ET2096" s="103"/>
      <c r="EU2096" s="103"/>
      <c r="EV2096" s="103"/>
      <c r="EW2096" s="103"/>
      <c r="EX2096" s="103"/>
      <c r="EY2096" s="103"/>
      <c r="EZ2096" s="103"/>
      <c r="FA2096" s="103"/>
      <c r="FB2096" s="103"/>
      <c r="FC2096" s="103"/>
      <c r="FD2096" s="103"/>
      <c r="FE2096" s="103"/>
      <c r="FF2096" s="103"/>
      <c r="FG2096" s="103"/>
      <c r="FH2096" s="103"/>
      <c r="FI2096" s="103"/>
      <c r="FJ2096" s="103"/>
      <c r="FK2096" s="103"/>
      <c r="FL2096" s="103"/>
      <c r="FM2096" s="103"/>
      <c r="FN2096" s="103"/>
      <c r="FO2096" s="103"/>
      <c r="FP2096" s="103"/>
      <c r="FQ2096" s="103"/>
      <c r="FR2096" s="103"/>
      <c r="FS2096" s="103"/>
      <c r="FT2096" s="103"/>
      <c r="FU2096" s="103"/>
      <c r="FV2096" s="103"/>
      <c r="FW2096" s="103"/>
      <c r="FX2096" s="103"/>
      <c r="FY2096" s="103"/>
      <c r="FZ2096" s="103"/>
      <c r="GA2096" s="103"/>
      <c r="GB2096" s="103"/>
      <c r="GC2096" s="103"/>
      <c r="GD2096" s="103"/>
      <c r="GE2096" s="103"/>
      <c r="GF2096" s="103"/>
      <c r="GG2096" s="103"/>
      <c r="GH2096" s="103"/>
      <c r="GI2096" s="103"/>
      <c r="GJ2096" s="103"/>
      <c r="GK2096" s="103"/>
      <c r="GL2096" s="103"/>
      <c r="GM2096" s="103"/>
      <c r="GN2096" s="103"/>
      <c r="GO2096" s="103"/>
      <c r="GP2096" s="103"/>
      <c r="GQ2096" s="103"/>
      <c r="GR2096" s="103"/>
      <c r="GS2096" s="103"/>
      <c r="GT2096" s="103"/>
      <c r="GU2096" s="103"/>
      <c r="GV2096" s="103"/>
      <c r="GW2096" s="103"/>
      <c r="GX2096" s="103"/>
      <c r="GY2096" s="103"/>
      <c r="GZ2096" s="103"/>
      <c r="HA2096" s="103"/>
      <c r="HB2096" s="103"/>
      <c r="HC2096" s="103"/>
      <c r="HD2096" s="103"/>
      <c r="HE2096" s="103"/>
      <c r="HF2096" s="103"/>
      <c r="HG2096" s="103"/>
      <c r="HH2096" s="103"/>
      <c r="HI2096" s="103"/>
      <c r="HJ2096" s="103"/>
      <c r="HK2096" s="103"/>
      <c r="HL2096" s="103"/>
      <c r="HM2096" s="103"/>
      <c r="HN2096" s="103"/>
      <c r="HO2096" s="103"/>
      <c r="HP2096" s="103"/>
      <c r="HQ2096" s="103"/>
      <c r="HR2096" s="103"/>
      <c r="HS2096" s="103"/>
      <c r="HT2096" s="103"/>
      <c r="HU2096" s="103"/>
      <c r="HV2096" s="103"/>
      <c r="HW2096" s="103"/>
      <c r="HX2096" s="103"/>
      <c r="HY2096" s="103"/>
      <c r="HZ2096" s="103"/>
      <c r="IA2096" s="103"/>
      <c r="IB2096" s="103"/>
      <c r="IC2096" s="103"/>
      <c r="ID2096" s="103"/>
      <c r="IE2096" s="103"/>
      <c r="IF2096" s="103"/>
      <c r="IG2096" s="103"/>
      <c r="IH2096" s="103"/>
      <c r="II2096" s="103"/>
      <c r="IJ2096" s="103"/>
      <c r="IK2096" s="103"/>
      <c r="IL2096" s="103"/>
      <c r="IM2096" s="103"/>
      <c r="IN2096" s="103"/>
      <c r="IO2096" s="103"/>
      <c r="IP2096" s="103"/>
      <c r="IQ2096" s="103"/>
      <c r="IR2096" s="103"/>
      <c r="IS2096" s="103"/>
      <c r="IT2096" s="103"/>
      <c r="IU2096" s="103"/>
      <c r="IV2096" s="103"/>
      <c r="IW2096" s="103"/>
    </row>
    <row r="2097" customFormat="false" ht="17.6" hidden="false" customHeight="false" outlineLevel="0" collapsed="false">
      <c r="A2097" s="89" t="s">
        <v>2339</v>
      </c>
      <c r="B2097" s="90" t="s">
        <v>2298</v>
      </c>
      <c r="C2097" s="90" t="n">
        <f aca="false">ROUND(E2097*G2097,)</f>
        <v>6006</v>
      </c>
      <c r="D2097" s="103" t="s">
        <v>1420</v>
      </c>
      <c r="E2097" s="103" t="n">
        <v>6673</v>
      </c>
      <c r="F2097" s="103"/>
      <c r="G2097" s="103" t="n">
        <v>0.9</v>
      </c>
      <c r="H2097" s="103"/>
      <c r="I2097" s="103"/>
      <c r="J2097" s="103"/>
      <c r="K2097" s="103"/>
      <c r="L2097" s="103"/>
      <c r="M2097" s="103"/>
      <c r="N2097" s="103"/>
      <c r="O2097" s="104"/>
      <c r="P2097" s="103"/>
      <c r="Q2097" s="103"/>
      <c r="R2097" s="103"/>
      <c r="S2097" s="103"/>
      <c r="T2097" s="103"/>
      <c r="U2097" s="103"/>
      <c r="V2097" s="103"/>
      <c r="W2097" s="103"/>
      <c r="X2097" s="103"/>
      <c r="Y2097" s="103"/>
      <c r="Z2097" s="103"/>
      <c r="AA2097" s="103"/>
      <c r="AB2097" s="103"/>
      <c r="AC2097" s="103"/>
      <c r="AD2097" s="103"/>
      <c r="AE2097" s="103"/>
      <c r="AF2097" s="103"/>
      <c r="AG2097" s="103"/>
      <c r="AH2097" s="103"/>
      <c r="AI2097" s="103"/>
      <c r="AJ2097" s="103"/>
      <c r="AK2097" s="103"/>
      <c r="AL2097" s="103"/>
      <c r="AM2097" s="103"/>
      <c r="AN2097" s="103"/>
      <c r="AO2097" s="103"/>
      <c r="AP2097" s="103"/>
      <c r="AQ2097" s="103"/>
      <c r="AR2097" s="103"/>
      <c r="AS2097" s="103"/>
      <c r="AT2097" s="103"/>
      <c r="AU2097" s="103"/>
      <c r="AV2097" s="103"/>
      <c r="AW2097" s="103"/>
      <c r="AX2097" s="103"/>
      <c r="AY2097" s="103"/>
      <c r="AZ2097" s="103"/>
      <c r="BA2097" s="103"/>
      <c r="BB2097" s="103"/>
      <c r="BC2097" s="103"/>
      <c r="BD2097" s="103"/>
      <c r="BE2097" s="103"/>
      <c r="BF2097" s="103"/>
      <c r="BG2097" s="103"/>
      <c r="BH2097" s="103"/>
      <c r="BI2097" s="103"/>
      <c r="BJ2097" s="103"/>
      <c r="BK2097" s="103"/>
      <c r="BL2097" s="103"/>
      <c r="BM2097" s="103"/>
      <c r="BN2097" s="103"/>
      <c r="BO2097" s="103"/>
      <c r="BP2097" s="103"/>
      <c r="BQ2097" s="103"/>
      <c r="BR2097" s="103"/>
      <c r="BS2097" s="103"/>
      <c r="BT2097" s="103"/>
      <c r="BU2097" s="103"/>
      <c r="BV2097" s="103"/>
      <c r="BW2097" s="103"/>
      <c r="BX2097" s="103"/>
      <c r="BY2097" s="103"/>
      <c r="BZ2097" s="103"/>
      <c r="CA2097" s="103"/>
      <c r="CB2097" s="103"/>
      <c r="CC2097" s="103"/>
      <c r="CD2097" s="103"/>
      <c r="CE2097" s="103"/>
      <c r="CF2097" s="103"/>
      <c r="CG2097" s="103"/>
      <c r="CH2097" s="103"/>
      <c r="CI2097" s="103"/>
      <c r="CJ2097" s="103"/>
      <c r="CK2097" s="103"/>
      <c r="CL2097" s="103"/>
      <c r="CM2097" s="103"/>
      <c r="CN2097" s="103"/>
      <c r="CO2097" s="103"/>
      <c r="CP2097" s="103"/>
      <c r="CQ2097" s="103"/>
      <c r="CR2097" s="103"/>
      <c r="CS2097" s="103"/>
      <c r="CT2097" s="103"/>
      <c r="CU2097" s="103"/>
      <c r="CV2097" s="103"/>
      <c r="CW2097" s="103"/>
      <c r="CX2097" s="103"/>
      <c r="CY2097" s="103"/>
      <c r="CZ2097" s="103"/>
      <c r="DA2097" s="103"/>
      <c r="DB2097" s="103"/>
      <c r="DC2097" s="103"/>
      <c r="DD2097" s="103"/>
      <c r="DE2097" s="103"/>
      <c r="DF2097" s="103"/>
      <c r="DG2097" s="103"/>
      <c r="DH2097" s="103"/>
      <c r="DI2097" s="103"/>
      <c r="DJ2097" s="103"/>
      <c r="DK2097" s="103"/>
      <c r="DL2097" s="103"/>
      <c r="DM2097" s="103"/>
      <c r="DN2097" s="103"/>
      <c r="DO2097" s="103"/>
      <c r="DP2097" s="103"/>
      <c r="DQ2097" s="103"/>
      <c r="DR2097" s="103"/>
      <c r="DS2097" s="103"/>
      <c r="DT2097" s="103"/>
      <c r="DU2097" s="103"/>
      <c r="DV2097" s="103"/>
      <c r="DW2097" s="103"/>
      <c r="DX2097" s="103"/>
      <c r="DY2097" s="103"/>
      <c r="DZ2097" s="103"/>
      <c r="EA2097" s="103"/>
      <c r="EB2097" s="103"/>
      <c r="EC2097" s="103"/>
      <c r="ED2097" s="103"/>
      <c r="EE2097" s="103"/>
      <c r="EF2097" s="103"/>
      <c r="EG2097" s="103"/>
      <c r="EH2097" s="103"/>
      <c r="EI2097" s="103"/>
      <c r="EJ2097" s="103"/>
      <c r="EK2097" s="103"/>
      <c r="EL2097" s="103"/>
      <c r="EM2097" s="103"/>
      <c r="EN2097" s="103"/>
      <c r="EO2097" s="103"/>
      <c r="EP2097" s="103"/>
      <c r="EQ2097" s="103"/>
      <c r="ER2097" s="103"/>
      <c r="ES2097" s="103"/>
      <c r="ET2097" s="103"/>
      <c r="EU2097" s="103"/>
      <c r="EV2097" s="103"/>
      <c r="EW2097" s="103"/>
      <c r="EX2097" s="103"/>
      <c r="EY2097" s="103"/>
      <c r="EZ2097" s="103"/>
      <c r="FA2097" s="103"/>
      <c r="FB2097" s="103"/>
      <c r="FC2097" s="103"/>
      <c r="FD2097" s="103"/>
      <c r="FE2097" s="103"/>
      <c r="FF2097" s="103"/>
      <c r="FG2097" s="103"/>
      <c r="FH2097" s="103"/>
      <c r="FI2097" s="103"/>
      <c r="FJ2097" s="103"/>
      <c r="FK2097" s="103"/>
      <c r="FL2097" s="103"/>
      <c r="FM2097" s="103"/>
      <c r="FN2097" s="103"/>
      <c r="FO2097" s="103"/>
      <c r="FP2097" s="103"/>
      <c r="FQ2097" s="103"/>
      <c r="FR2097" s="103"/>
      <c r="FS2097" s="103"/>
      <c r="FT2097" s="103"/>
      <c r="FU2097" s="103"/>
      <c r="FV2097" s="103"/>
      <c r="FW2097" s="103"/>
      <c r="FX2097" s="103"/>
      <c r="FY2097" s="103"/>
      <c r="FZ2097" s="103"/>
      <c r="GA2097" s="103"/>
      <c r="GB2097" s="103"/>
      <c r="GC2097" s="103"/>
      <c r="GD2097" s="103"/>
      <c r="GE2097" s="103"/>
      <c r="GF2097" s="103"/>
      <c r="GG2097" s="103"/>
      <c r="GH2097" s="103"/>
      <c r="GI2097" s="103"/>
      <c r="GJ2097" s="103"/>
      <c r="GK2097" s="103"/>
      <c r="GL2097" s="103"/>
      <c r="GM2097" s="103"/>
      <c r="GN2097" s="103"/>
      <c r="GO2097" s="103"/>
      <c r="GP2097" s="103"/>
      <c r="GQ2097" s="103"/>
      <c r="GR2097" s="103"/>
      <c r="GS2097" s="103"/>
      <c r="GT2097" s="103"/>
      <c r="GU2097" s="103"/>
      <c r="GV2097" s="103"/>
      <c r="GW2097" s="103"/>
      <c r="GX2097" s="103"/>
      <c r="GY2097" s="103"/>
      <c r="GZ2097" s="103"/>
      <c r="HA2097" s="103"/>
      <c r="HB2097" s="103"/>
      <c r="HC2097" s="103"/>
      <c r="HD2097" s="103"/>
      <c r="HE2097" s="103"/>
      <c r="HF2097" s="103"/>
      <c r="HG2097" s="103"/>
      <c r="HH2097" s="103"/>
      <c r="HI2097" s="103"/>
      <c r="HJ2097" s="103"/>
      <c r="HK2097" s="103"/>
      <c r="HL2097" s="103"/>
      <c r="HM2097" s="103"/>
      <c r="HN2097" s="103"/>
      <c r="HO2097" s="103"/>
      <c r="HP2097" s="103"/>
      <c r="HQ2097" s="103"/>
      <c r="HR2097" s="103"/>
      <c r="HS2097" s="103"/>
      <c r="HT2097" s="103"/>
      <c r="HU2097" s="103"/>
      <c r="HV2097" s="103"/>
      <c r="HW2097" s="103"/>
      <c r="HX2097" s="103"/>
      <c r="HY2097" s="103"/>
      <c r="HZ2097" s="103"/>
      <c r="IA2097" s="103"/>
      <c r="IB2097" s="103"/>
      <c r="IC2097" s="103"/>
      <c r="ID2097" s="103"/>
      <c r="IE2097" s="103"/>
      <c r="IF2097" s="103"/>
      <c r="IG2097" s="103"/>
      <c r="IH2097" s="103"/>
      <c r="II2097" s="103"/>
      <c r="IJ2097" s="103"/>
      <c r="IK2097" s="103"/>
      <c r="IL2097" s="103"/>
      <c r="IM2097" s="103"/>
      <c r="IN2097" s="103"/>
      <c r="IO2097" s="103"/>
      <c r="IP2097" s="103"/>
      <c r="IQ2097" s="103"/>
      <c r="IR2097" s="103"/>
      <c r="IS2097" s="103"/>
      <c r="IT2097" s="103"/>
      <c r="IU2097" s="103"/>
      <c r="IV2097" s="103"/>
      <c r="IW2097" s="103"/>
    </row>
    <row r="2098" customFormat="false" ht="17.6" hidden="false" customHeight="false" outlineLevel="0" collapsed="false">
      <c r="A2098" s="89" t="s">
        <v>2340</v>
      </c>
      <c r="B2098" s="90" t="s">
        <v>2298</v>
      </c>
      <c r="C2098" s="90" t="n">
        <f aca="false">ROUND(E2098*G2098,)</f>
        <v>6289</v>
      </c>
      <c r="D2098" s="103" t="s">
        <v>1420</v>
      </c>
      <c r="E2098" s="103" t="n">
        <v>6988</v>
      </c>
      <c r="F2098" s="103"/>
      <c r="G2098" s="103" t="n">
        <v>0.9</v>
      </c>
      <c r="H2098" s="103"/>
      <c r="I2098" s="103"/>
      <c r="J2098" s="103"/>
      <c r="K2098" s="103"/>
      <c r="L2098" s="103"/>
      <c r="M2098" s="103"/>
      <c r="N2098" s="103"/>
      <c r="O2098" s="104"/>
      <c r="P2098" s="103"/>
      <c r="Q2098" s="103"/>
      <c r="R2098" s="103"/>
      <c r="S2098" s="103"/>
      <c r="T2098" s="103"/>
      <c r="U2098" s="103"/>
      <c r="V2098" s="103"/>
      <c r="W2098" s="103"/>
      <c r="X2098" s="103"/>
      <c r="Y2098" s="103"/>
      <c r="Z2098" s="103"/>
      <c r="AA2098" s="103"/>
      <c r="AB2098" s="103"/>
      <c r="AC2098" s="103"/>
      <c r="AD2098" s="103"/>
      <c r="AE2098" s="103"/>
      <c r="AF2098" s="103"/>
      <c r="AG2098" s="103"/>
      <c r="AH2098" s="103"/>
      <c r="AI2098" s="103"/>
      <c r="AJ2098" s="103"/>
      <c r="AK2098" s="103"/>
      <c r="AL2098" s="103"/>
      <c r="AM2098" s="103"/>
      <c r="AN2098" s="103"/>
      <c r="AO2098" s="103"/>
      <c r="AP2098" s="103"/>
      <c r="AQ2098" s="103"/>
      <c r="AR2098" s="103"/>
      <c r="AS2098" s="103"/>
      <c r="AT2098" s="103"/>
      <c r="AU2098" s="103"/>
      <c r="AV2098" s="103"/>
      <c r="AW2098" s="103"/>
      <c r="AX2098" s="103"/>
      <c r="AY2098" s="103"/>
      <c r="AZ2098" s="103"/>
      <c r="BA2098" s="103"/>
      <c r="BB2098" s="103"/>
      <c r="BC2098" s="103"/>
      <c r="BD2098" s="103"/>
      <c r="BE2098" s="103"/>
      <c r="BF2098" s="103"/>
      <c r="BG2098" s="103"/>
      <c r="BH2098" s="103"/>
      <c r="BI2098" s="103"/>
      <c r="BJ2098" s="103"/>
      <c r="BK2098" s="103"/>
      <c r="BL2098" s="103"/>
      <c r="BM2098" s="103"/>
      <c r="BN2098" s="103"/>
      <c r="BO2098" s="103"/>
      <c r="BP2098" s="103"/>
      <c r="BQ2098" s="103"/>
      <c r="BR2098" s="103"/>
      <c r="BS2098" s="103"/>
      <c r="BT2098" s="103"/>
      <c r="BU2098" s="103"/>
      <c r="BV2098" s="103"/>
      <c r="BW2098" s="103"/>
      <c r="BX2098" s="103"/>
      <c r="BY2098" s="103"/>
      <c r="BZ2098" s="103"/>
      <c r="CA2098" s="103"/>
      <c r="CB2098" s="103"/>
      <c r="CC2098" s="103"/>
      <c r="CD2098" s="103"/>
      <c r="CE2098" s="103"/>
      <c r="CF2098" s="103"/>
      <c r="CG2098" s="103"/>
      <c r="CH2098" s="103"/>
      <c r="CI2098" s="103"/>
      <c r="CJ2098" s="103"/>
      <c r="CK2098" s="103"/>
      <c r="CL2098" s="103"/>
      <c r="CM2098" s="103"/>
      <c r="CN2098" s="103"/>
      <c r="CO2098" s="103"/>
      <c r="CP2098" s="103"/>
      <c r="CQ2098" s="103"/>
      <c r="CR2098" s="103"/>
      <c r="CS2098" s="103"/>
      <c r="CT2098" s="103"/>
      <c r="CU2098" s="103"/>
      <c r="CV2098" s="103"/>
      <c r="CW2098" s="103"/>
      <c r="CX2098" s="103"/>
      <c r="CY2098" s="103"/>
      <c r="CZ2098" s="103"/>
      <c r="DA2098" s="103"/>
      <c r="DB2098" s="103"/>
      <c r="DC2098" s="103"/>
      <c r="DD2098" s="103"/>
      <c r="DE2098" s="103"/>
      <c r="DF2098" s="103"/>
      <c r="DG2098" s="103"/>
      <c r="DH2098" s="103"/>
      <c r="DI2098" s="103"/>
      <c r="DJ2098" s="103"/>
      <c r="DK2098" s="103"/>
      <c r="DL2098" s="103"/>
      <c r="DM2098" s="103"/>
      <c r="DN2098" s="103"/>
      <c r="DO2098" s="103"/>
      <c r="DP2098" s="103"/>
      <c r="DQ2098" s="103"/>
      <c r="DR2098" s="103"/>
      <c r="DS2098" s="103"/>
      <c r="DT2098" s="103"/>
      <c r="DU2098" s="103"/>
      <c r="DV2098" s="103"/>
      <c r="DW2098" s="103"/>
      <c r="DX2098" s="103"/>
      <c r="DY2098" s="103"/>
      <c r="DZ2098" s="103"/>
      <c r="EA2098" s="103"/>
      <c r="EB2098" s="103"/>
      <c r="EC2098" s="103"/>
      <c r="ED2098" s="103"/>
      <c r="EE2098" s="103"/>
      <c r="EF2098" s="103"/>
      <c r="EG2098" s="103"/>
      <c r="EH2098" s="103"/>
      <c r="EI2098" s="103"/>
      <c r="EJ2098" s="103"/>
      <c r="EK2098" s="103"/>
      <c r="EL2098" s="103"/>
      <c r="EM2098" s="103"/>
      <c r="EN2098" s="103"/>
      <c r="EO2098" s="103"/>
      <c r="EP2098" s="103"/>
      <c r="EQ2098" s="103"/>
      <c r="ER2098" s="103"/>
      <c r="ES2098" s="103"/>
      <c r="ET2098" s="103"/>
      <c r="EU2098" s="103"/>
      <c r="EV2098" s="103"/>
      <c r="EW2098" s="103"/>
      <c r="EX2098" s="103"/>
      <c r="EY2098" s="103"/>
      <c r="EZ2098" s="103"/>
      <c r="FA2098" s="103"/>
      <c r="FB2098" s="103"/>
      <c r="FC2098" s="103"/>
      <c r="FD2098" s="103"/>
      <c r="FE2098" s="103"/>
      <c r="FF2098" s="103"/>
      <c r="FG2098" s="103"/>
      <c r="FH2098" s="103"/>
      <c r="FI2098" s="103"/>
      <c r="FJ2098" s="103"/>
      <c r="FK2098" s="103"/>
      <c r="FL2098" s="103"/>
      <c r="FM2098" s="103"/>
      <c r="FN2098" s="103"/>
      <c r="FO2098" s="103"/>
      <c r="FP2098" s="103"/>
      <c r="FQ2098" s="103"/>
      <c r="FR2098" s="103"/>
      <c r="FS2098" s="103"/>
      <c r="FT2098" s="103"/>
      <c r="FU2098" s="103"/>
      <c r="FV2098" s="103"/>
      <c r="FW2098" s="103"/>
      <c r="FX2098" s="103"/>
      <c r="FY2098" s="103"/>
      <c r="FZ2098" s="103"/>
      <c r="GA2098" s="103"/>
      <c r="GB2098" s="103"/>
      <c r="GC2098" s="103"/>
      <c r="GD2098" s="103"/>
      <c r="GE2098" s="103"/>
      <c r="GF2098" s="103"/>
      <c r="GG2098" s="103"/>
      <c r="GH2098" s="103"/>
      <c r="GI2098" s="103"/>
      <c r="GJ2098" s="103"/>
      <c r="GK2098" s="103"/>
      <c r="GL2098" s="103"/>
      <c r="GM2098" s="103"/>
      <c r="GN2098" s="103"/>
      <c r="GO2098" s="103"/>
      <c r="GP2098" s="103"/>
      <c r="GQ2098" s="103"/>
      <c r="GR2098" s="103"/>
      <c r="GS2098" s="103"/>
      <c r="GT2098" s="103"/>
      <c r="GU2098" s="103"/>
      <c r="GV2098" s="103"/>
      <c r="GW2098" s="103"/>
      <c r="GX2098" s="103"/>
      <c r="GY2098" s="103"/>
      <c r="GZ2098" s="103"/>
      <c r="HA2098" s="103"/>
      <c r="HB2098" s="103"/>
      <c r="HC2098" s="103"/>
      <c r="HD2098" s="103"/>
      <c r="HE2098" s="103"/>
      <c r="HF2098" s="103"/>
      <c r="HG2098" s="103"/>
      <c r="HH2098" s="103"/>
      <c r="HI2098" s="103"/>
      <c r="HJ2098" s="103"/>
      <c r="HK2098" s="103"/>
      <c r="HL2098" s="103"/>
      <c r="HM2098" s="103"/>
      <c r="HN2098" s="103"/>
      <c r="HO2098" s="103"/>
      <c r="HP2098" s="103"/>
      <c r="HQ2098" s="103"/>
      <c r="HR2098" s="103"/>
      <c r="HS2098" s="103"/>
      <c r="HT2098" s="103"/>
      <c r="HU2098" s="103"/>
      <c r="HV2098" s="103"/>
      <c r="HW2098" s="103"/>
      <c r="HX2098" s="103"/>
      <c r="HY2098" s="103"/>
      <c r="HZ2098" s="103"/>
      <c r="IA2098" s="103"/>
      <c r="IB2098" s="103"/>
      <c r="IC2098" s="103"/>
      <c r="ID2098" s="103"/>
      <c r="IE2098" s="103"/>
      <c r="IF2098" s="103"/>
      <c r="IG2098" s="103"/>
      <c r="IH2098" s="103"/>
      <c r="II2098" s="103"/>
      <c r="IJ2098" s="103"/>
      <c r="IK2098" s="103"/>
      <c r="IL2098" s="103"/>
      <c r="IM2098" s="103"/>
      <c r="IN2098" s="103"/>
      <c r="IO2098" s="103"/>
      <c r="IP2098" s="103"/>
      <c r="IQ2098" s="103"/>
      <c r="IR2098" s="103"/>
      <c r="IS2098" s="103"/>
      <c r="IT2098" s="103"/>
      <c r="IU2098" s="103"/>
      <c r="IV2098" s="103"/>
      <c r="IW2098" s="103"/>
    </row>
    <row r="2099" customFormat="false" ht="17.6" hidden="false" customHeight="false" outlineLevel="0" collapsed="false">
      <c r="A2099" s="89" t="s">
        <v>2341</v>
      </c>
      <c r="B2099" s="90" t="s">
        <v>2298</v>
      </c>
      <c r="C2099" s="90" t="n">
        <f aca="false">ROUND(E2099*G2099,)</f>
        <v>6573</v>
      </c>
      <c r="D2099" s="103" t="s">
        <v>1420</v>
      </c>
      <c r="E2099" s="103" t="n">
        <v>7303</v>
      </c>
      <c r="F2099" s="103"/>
      <c r="G2099" s="103" t="n">
        <v>0.9</v>
      </c>
      <c r="H2099" s="103"/>
      <c r="I2099" s="103"/>
      <c r="J2099" s="103"/>
      <c r="K2099" s="103"/>
      <c r="L2099" s="103"/>
      <c r="M2099" s="103"/>
      <c r="N2099" s="103"/>
      <c r="O2099" s="104"/>
      <c r="P2099" s="103"/>
      <c r="Q2099" s="103"/>
      <c r="R2099" s="103"/>
      <c r="S2099" s="103"/>
      <c r="T2099" s="103"/>
      <c r="U2099" s="103"/>
      <c r="V2099" s="103"/>
      <c r="W2099" s="103"/>
      <c r="X2099" s="103"/>
      <c r="Y2099" s="103"/>
      <c r="Z2099" s="103"/>
      <c r="AA2099" s="103"/>
      <c r="AB2099" s="103"/>
      <c r="AC2099" s="103"/>
      <c r="AD2099" s="103"/>
      <c r="AE2099" s="103"/>
      <c r="AF2099" s="103"/>
      <c r="AG2099" s="103"/>
      <c r="AH2099" s="103"/>
      <c r="AI2099" s="103"/>
      <c r="AJ2099" s="103"/>
      <c r="AK2099" s="103"/>
      <c r="AL2099" s="103"/>
      <c r="AM2099" s="103"/>
      <c r="AN2099" s="103"/>
      <c r="AO2099" s="103"/>
      <c r="AP2099" s="103"/>
      <c r="AQ2099" s="103"/>
      <c r="AR2099" s="103"/>
      <c r="AS2099" s="103"/>
      <c r="AT2099" s="103"/>
      <c r="AU2099" s="103"/>
      <c r="AV2099" s="103"/>
      <c r="AW2099" s="103"/>
      <c r="AX2099" s="103"/>
      <c r="AY2099" s="103"/>
      <c r="AZ2099" s="103"/>
      <c r="BA2099" s="103"/>
      <c r="BB2099" s="103"/>
      <c r="BC2099" s="103"/>
      <c r="BD2099" s="103"/>
      <c r="BE2099" s="103"/>
      <c r="BF2099" s="103"/>
      <c r="BG2099" s="103"/>
      <c r="BH2099" s="103"/>
      <c r="BI2099" s="103"/>
      <c r="BJ2099" s="103"/>
      <c r="BK2099" s="103"/>
      <c r="BL2099" s="103"/>
      <c r="BM2099" s="103"/>
      <c r="BN2099" s="103"/>
      <c r="BO2099" s="103"/>
      <c r="BP2099" s="103"/>
      <c r="BQ2099" s="103"/>
      <c r="BR2099" s="103"/>
      <c r="BS2099" s="103"/>
      <c r="BT2099" s="103"/>
      <c r="BU2099" s="103"/>
      <c r="BV2099" s="103"/>
      <c r="BW2099" s="103"/>
      <c r="BX2099" s="103"/>
      <c r="BY2099" s="103"/>
      <c r="BZ2099" s="103"/>
      <c r="CA2099" s="103"/>
      <c r="CB2099" s="103"/>
      <c r="CC2099" s="103"/>
      <c r="CD2099" s="103"/>
      <c r="CE2099" s="103"/>
      <c r="CF2099" s="103"/>
      <c r="CG2099" s="103"/>
      <c r="CH2099" s="103"/>
      <c r="CI2099" s="103"/>
      <c r="CJ2099" s="103"/>
      <c r="CK2099" s="103"/>
      <c r="CL2099" s="103"/>
      <c r="CM2099" s="103"/>
      <c r="CN2099" s="103"/>
      <c r="CO2099" s="103"/>
      <c r="CP2099" s="103"/>
      <c r="CQ2099" s="103"/>
      <c r="CR2099" s="103"/>
      <c r="CS2099" s="103"/>
      <c r="CT2099" s="103"/>
      <c r="CU2099" s="103"/>
      <c r="CV2099" s="103"/>
      <c r="CW2099" s="103"/>
      <c r="CX2099" s="103"/>
      <c r="CY2099" s="103"/>
      <c r="CZ2099" s="103"/>
      <c r="DA2099" s="103"/>
      <c r="DB2099" s="103"/>
      <c r="DC2099" s="103"/>
      <c r="DD2099" s="103"/>
      <c r="DE2099" s="103"/>
      <c r="DF2099" s="103"/>
      <c r="DG2099" s="103"/>
      <c r="DH2099" s="103"/>
      <c r="DI2099" s="103"/>
      <c r="DJ2099" s="103"/>
      <c r="DK2099" s="103"/>
      <c r="DL2099" s="103"/>
      <c r="DM2099" s="103"/>
      <c r="DN2099" s="103"/>
      <c r="DO2099" s="103"/>
      <c r="DP2099" s="103"/>
      <c r="DQ2099" s="103"/>
      <c r="DR2099" s="103"/>
      <c r="DS2099" s="103"/>
      <c r="DT2099" s="103"/>
      <c r="DU2099" s="103"/>
      <c r="DV2099" s="103"/>
      <c r="DW2099" s="103"/>
      <c r="DX2099" s="103"/>
      <c r="DY2099" s="103"/>
      <c r="DZ2099" s="103"/>
      <c r="EA2099" s="103"/>
      <c r="EB2099" s="103"/>
      <c r="EC2099" s="103"/>
      <c r="ED2099" s="103"/>
      <c r="EE2099" s="103"/>
      <c r="EF2099" s="103"/>
      <c r="EG2099" s="103"/>
      <c r="EH2099" s="103"/>
      <c r="EI2099" s="103"/>
      <c r="EJ2099" s="103"/>
      <c r="EK2099" s="103"/>
      <c r="EL2099" s="103"/>
      <c r="EM2099" s="103"/>
      <c r="EN2099" s="103"/>
      <c r="EO2099" s="103"/>
      <c r="EP2099" s="103"/>
      <c r="EQ2099" s="103"/>
      <c r="ER2099" s="103"/>
      <c r="ES2099" s="103"/>
      <c r="ET2099" s="103"/>
      <c r="EU2099" s="103"/>
      <c r="EV2099" s="103"/>
      <c r="EW2099" s="103"/>
      <c r="EX2099" s="103"/>
      <c r="EY2099" s="103"/>
      <c r="EZ2099" s="103"/>
      <c r="FA2099" s="103"/>
      <c r="FB2099" s="103"/>
      <c r="FC2099" s="103"/>
      <c r="FD2099" s="103"/>
      <c r="FE2099" s="103"/>
      <c r="FF2099" s="103"/>
      <c r="FG2099" s="103"/>
      <c r="FH2099" s="103"/>
      <c r="FI2099" s="103"/>
      <c r="FJ2099" s="103"/>
      <c r="FK2099" s="103"/>
      <c r="FL2099" s="103"/>
      <c r="FM2099" s="103"/>
      <c r="FN2099" s="103"/>
      <c r="FO2099" s="103"/>
      <c r="FP2099" s="103"/>
      <c r="FQ2099" s="103"/>
      <c r="FR2099" s="103"/>
      <c r="FS2099" s="103"/>
      <c r="FT2099" s="103"/>
      <c r="FU2099" s="103"/>
      <c r="FV2099" s="103"/>
      <c r="FW2099" s="103"/>
      <c r="FX2099" s="103"/>
      <c r="FY2099" s="103"/>
      <c r="FZ2099" s="103"/>
      <c r="GA2099" s="103"/>
      <c r="GB2099" s="103"/>
      <c r="GC2099" s="103"/>
      <c r="GD2099" s="103"/>
      <c r="GE2099" s="103"/>
      <c r="GF2099" s="103"/>
      <c r="GG2099" s="103"/>
      <c r="GH2099" s="103"/>
      <c r="GI2099" s="103"/>
      <c r="GJ2099" s="103"/>
      <c r="GK2099" s="103"/>
      <c r="GL2099" s="103"/>
      <c r="GM2099" s="103"/>
      <c r="GN2099" s="103"/>
      <c r="GO2099" s="103"/>
      <c r="GP2099" s="103"/>
      <c r="GQ2099" s="103"/>
      <c r="GR2099" s="103"/>
      <c r="GS2099" s="103"/>
      <c r="GT2099" s="103"/>
      <c r="GU2099" s="103"/>
      <c r="GV2099" s="103"/>
      <c r="GW2099" s="103"/>
      <c r="GX2099" s="103"/>
      <c r="GY2099" s="103"/>
      <c r="GZ2099" s="103"/>
      <c r="HA2099" s="103"/>
      <c r="HB2099" s="103"/>
      <c r="HC2099" s="103"/>
      <c r="HD2099" s="103"/>
      <c r="HE2099" s="103"/>
      <c r="HF2099" s="103"/>
      <c r="HG2099" s="103"/>
      <c r="HH2099" s="103"/>
      <c r="HI2099" s="103"/>
      <c r="HJ2099" s="103"/>
      <c r="HK2099" s="103"/>
      <c r="HL2099" s="103"/>
      <c r="HM2099" s="103"/>
      <c r="HN2099" s="103"/>
      <c r="HO2099" s="103"/>
      <c r="HP2099" s="103"/>
      <c r="HQ2099" s="103"/>
      <c r="HR2099" s="103"/>
      <c r="HS2099" s="103"/>
      <c r="HT2099" s="103"/>
      <c r="HU2099" s="103"/>
      <c r="HV2099" s="103"/>
      <c r="HW2099" s="103"/>
      <c r="HX2099" s="103"/>
      <c r="HY2099" s="103"/>
      <c r="HZ2099" s="103"/>
      <c r="IA2099" s="103"/>
      <c r="IB2099" s="103"/>
      <c r="IC2099" s="103"/>
      <c r="ID2099" s="103"/>
      <c r="IE2099" s="103"/>
      <c r="IF2099" s="103"/>
      <c r="IG2099" s="103"/>
      <c r="IH2099" s="103"/>
      <c r="II2099" s="103"/>
      <c r="IJ2099" s="103"/>
      <c r="IK2099" s="103"/>
      <c r="IL2099" s="103"/>
      <c r="IM2099" s="103"/>
      <c r="IN2099" s="103"/>
      <c r="IO2099" s="103"/>
      <c r="IP2099" s="103"/>
      <c r="IQ2099" s="103"/>
      <c r="IR2099" s="103"/>
      <c r="IS2099" s="103"/>
      <c r="IT2099" s="103"/>
      <c r="IU2099" s="103"/>
      <c r="IV2099" s="103"/>
      <c r="IW2099" s="103"/>
    </row>
    <row r="2100" customFormat="false" ht="17.6" hidden="false" customHeight="false" outlineLevel="0" collapsed="false">
      <c r="A2100" s="89" t="s">
        <v>2342</v>
      </c>
      <c r="B2100" s="90" t="s">
        <v>2298</v>
      </c>
      <c r="C2100" s="90" t="n">
        <f aca="false">ROUND(E2100*G2100,)</f>
        <v>6856</v>
      </c>
      <c r="D2100" s="103" t="s">
        <v>1420</v>
      </c>
      <c r="E2100" s="103" t="n">
        <v>7618</v>
      </c>
      <c r="F2100" s="103"/>
      <c r="G2100" s="103" t="n">
        <v>0.9</v>
      </c>
      <c r="H2100" s="103"/>
      <c r="I2100" s="103"/>
      <c r="J2100" s="103"/>
      <c r="K2100" s="103"/>
      <c r="L2100" s="103"/>
      <c r="M2100" s="103"/>
      <c r="N2100" s="103"/>
      <c r="O2100" s="104"/>
      <c r="P2100" s="103"/>
      <c r="Q2100" s="103"/>
      <c r="R2100" s="103"/>
      <c r="S2100" s="103"/>
      <c r="T2100" s="103"/>
      <c r="U2100" s="103"/>
      <c r="V2100" s="103"/>
      <c r="W2100" s="103"/>
      <c r="X2100" s="103"/>
      <c r="Y2100" s="103"/>
      <c r="Z2100" s="103"/>
      <c r="AA2100" s="103"/>
      <c r="AB2100" s="103"/>
      <c r="AC2100" s="103"/>
      <c r="AD2100" s="103"/>
      <c r="AE2100" s="103"/>
      <c r="AF2100" s="103"/>
      <c r="AG2100" s="103"/>
      <c r="AH2100" s="103"/>
      <c r="AI2100" s="103"/>
      <c r="AJ2100" s="103"/>
      <c r="AK2100" s="103"/>
      <c r="AL2100" s="103"/>
      <c r="AM2100" s="103"/>
      <c r="AN2100" s="103"/>
      <c r="AO2100" s="103"/>
      <c r="AP2100" s="103"/>
      <c r="AQ2100" s="103"/>
      <c r="AR2100" s="103"/>
      <c r="AS2100" s="103"/>
      <c r="AT2100" s="103"/>
      <c r="AU2100" s="103"/>
      <c r="AV2100" s="103"/>
      <c r="AW2100" s="103"/>
      <c r="AX2100" s="103"/>
      <c r="AY2100" s="103"/>
      <c r="AZ2100" s="103"/>
      <c r="BA2100" s="103"/>
      <c r="BB2100" s="103"/>
      <c r="BC2100" s="103"/>
      <c r="BD2100" s="103"/>
      <c r="BE2100" s="103"/>
      <c r="BF2100" s="103"/>
      <c r="BG2100" s="103"/>
      <c r="BH2100" s="103"/>
      <c r="BI2100" s="103"/>
      <c r="BJ2100" s="103"/>
      <c r="BK2100" s="103"/>
      <c r="BL2100" s="103"/>
      <c r="BM2100" s="103"/>
      <c r="BN2100" s="103"/>
      <c r="BO2100" s="103"/>
      <c r="BP2100" s="103"/>
      <c r="BQ2100" s="103"/>
      <c r="BR2100" s="103"/>
      <c r="BS2100" s="103"/>
      <c r="BT2100" s="103"/>
      <c r="BU2100" s="103"/>
      <c r="BV2100" s="103"/>
      <c r="BW2100" s="103"/>
      <c r="BX2100" s="103"/>
      <c r="BY2100" s="103"/>
      <c r="BZ2100" s="103"/>
      <c r="CA2100" s="103"/>
      <c r="CB2100" s="103"/>
      <c r="CC2100" s="103"/>
      <c r="CD2100" s="103"/>
      <c r="CE2100" s="103"/>
      <c r="CF2100" s="103"/>
      <c r="CG2100" s="103"/>
      <c r="CH2100" s="103"/>
      <c r="CI2100" s="103"/>
      <c r="CJ2100" s="103"/>
      <c r="CK2100" s="103"/>
      <c r="CL2100" s="103"/>
      <c r="CM2100" s="103"/>
      <c r="CN2100" s="103"/>
      <c r="CO2100" s="103"/>
      <c r="CP2100" s="103"/>
      <c r="CQ2100" s="103"/>
      <c r="CR2100" s="103"/>
      <c r="CS2100" s="103"/>
      <c r="CT2100" s="103"/>
      <c r="CU2100" s="103"/>
      <c r="CV2100" s="103"/>
      <c r="CW2100" s="103"/>
      <c r="CX2100" s="103"/>
      <c r="CY2100" s="103"/>
      <c r="CZ2100" s="103"/>
      <c r="DA2100" s="103"/>
      <c r="DB2100" s="103"/>
      <c r="DC2100" s="103"/>
      <c r="DD2100" s="103"/>
      <c r="DE2100" s="103"/>
      <c r="DF2100" s="103"/>
      <c r="DG2100" s="103"/>
      <c r="DH2100" s="103"/>
      <c r="DI2100" s="103"/>
      <c r="DJ2100" s="103"/>
      <c r="DK2100" s="103"/>
      <c r="DL2100" s="103"/>
      <c r="DM2100" s="103"/>
      <c r="DN2100" s="103"/>
      <c r="DO2100" s="103"/>
      <c r="DP2100" s="103"/>
      <c r="DQ2100" s="103"/>
      <c r="DR2100" s="103"/>
      <c r="DS2100" s="103"/>
      <c r="DT2100" s="103"/>
      <c r="DU2100" s="103"/>
      <c r="DV2100" s="103"/>
      <c r="DW2100" s="103"/>
      <c r="DX2100" s="103"/>
      <c r="DY2100" s="103"/>
      <c r="DZ2100" s="103"/>
      <c r="EA2100" s="103"/>
      <c r="EB2100" s="103"/>
      <c r="EC2100" s="103"/>
      <c r="ED2100" s="103"/>
      <c r="EE2100" s="103"/>
      <c r="EF2100" s="103"/>
      <c r="EG2100" s="103"/>
      <c r="EH2100" s="103"/>
      <c r="EI2100" s="103"/>
      <c r="EJ2100" s="103"/>
      <c r="EK2100" s="103"/>
      <c r="EL2100" s="103"/>
      <c r="EM2100" s="103"/>
      <c r="EN2100" s="103"/>
      <c r="EO2100" s="103"/>
      <c r="EP2100" s="103"/>
      <c r="EQ2100" s="103"/>
      <c r="ER2100" s="103"/>
      <c r="ES2100" s="103"/>
      <c r="ET2100" s="103"/>
      <c r="EU2100" s="103"/>
      <c r="EV2100" s="103"/>
      <c r="EW2100" s="103"/>
      <c r="EX2100" s="103"/>
      <c r="EY2100" s="103"/>
      <c r="EZ2100" s="103"/>
      <c r="FA2100" s="103"/>
      <c r="FB2100" s="103"/>
      <c r="FC2100" s="103"/>
      <c r="FD2100" s="103"/>
      <c r="FE2100" s="103"/>
      <c r="FF2100" s="103"/>
      <c r="FG2100" s="103"/>
      <c r="FH2100" s="103"/>
      <c r="FI2100" s="103"/>
      <c r="FJ2100" s="103"/>
      <c r="FK2100" s="103"/>
      <c r="FL2100" s="103"/>
      <c r="FM2100" s="103"/>
      <c r="FN2100" s="103"/>
      <c r="FO2100" s="103"/>
      <c r="FP2100" s="103"/>
      <c r="FQ2100" s="103"/>
      <c r="FR2100" s="103"/>
      <c r="FS2100" s="103"/>
      <c r="FT2100" s="103"/>
      <c r="FU2100" s="103"/>
      <c r="FV2100" s="103"/>
      <c r="FW2100" s="103"/>
      <c r="FX2100" s="103"/>
      <c r="FY2100" s="103"/>
      <c r="FZ2100" s="103"/>
      <c r="GA2100" s="103"/>
      <c r="GB2100" s="103"/>
      <c r="GC2100" s="103"/>
      <c r="GD2100" s="103"/>
      <c r="GE2100" s="103"/>
      <c r="GF2100" s="103"/>
      <c r="GG2100" s="103"/>
      <c r="GH2100" s="103"/>
      <c r="GI2100" s="103"/>
      <c r="GJ2100" s="103"/>
      <c r="GK2100" s="103"/>
      <c r="GL2100" s="103"/>
      <c r="GM2100" s="103"/>
      <c r="GN2100" s="103"/>
      <c r="GO2100" s="103"/>
      <c r="GP2100" s="103"/>
      <c r="GQ2100" s="103"/>
      <c r="GR2100" s="103"/>
      <c r="GS2100" s="103"/>
      <c r="GT2100" s="103"/>
      <c r="GU2100" s="103"/>
      <c r="GV2100" s="103"/>
      <c r="GW2100" s="103"/>
      <c r="GX2100" s="103"/>
      <c r="GY2100" s="103"/>
      <c r="GZ2100" s="103"/>
      <c r="HA2100" s="103"/>
      <c r="HB2100" s="103"/>
      <c r="HC2100" s="103"/>
      <c r="HD2100" s="103"/>
      <c r="HE2100" s="103"/>
      <c r="HF2100" s="103"/>
      <c r="HG2100" s="103"/>
      <c r="HH2100" s="103"/>
      <c r="HI2100" s="103"/>
      <c r="HJ2100" s="103"/>
      <c r="HK2100" s="103"/>
      <c r="HL2100" s="103"/>
      <c r="HM2100" s="103"/>
      <c r="HN2100" s="103"/>
      <c r="HO2100" s="103"/>
      <c r="HP2100" s="103"/>
      <c r="HQ2100" s="103"/>
      <c r="HR2100" s="103"/>
      <c r="HS2100" s="103"/>
      <c r="HT2100" s="103"/>
      <c r="HU2100" s="103"/>
      <c r="HV2100" s="103"/>
      <c r="HW2100" s="103"/>
      <c r="HX2100" s="103"/>
      <c r="HY2100" s="103"/>
      <c r="HZ2100" s="103"/>
      <c r="IA2100" s="103"/>
      <c r="IB2100" s="103"/>
      <c r="IC2100" s="103"/>
      <c r="ID2100" s="103"/>
      <c r="IE2100" s="103"/>
      <c r="IF2100" s="103"/>
      <c r="IG2100" s="103"/>
      <c r="IH2100" s="103"/>
      <c r="II2100" s="103"/>
      <c r="IJ2100" s="103"/>
      <c r="IK2100" s="103"/>
      <c r="IL2100" s="103"/>
      <c r="IM2100" s="103"/>
      <c r="IN2100" s="103"/>
      <c r="IO2100" s="103"/>
      <c r="IP2100" s="103"/>
      <c r="IQ2100" s="103"/>
      <c r="IR2100" s="103"/>
      <c r="IS2100" s="103"/>
      <c r="IT2100" s="103"/>
      <c r="IU2100" s="103"/>
      <c r="IV2100" s="103"/>
      <c r="IW2100" s="103"/>
    </row>
    <row r="2101" customFormat="false" ht="17.6" hidden="false" customHeight="false" outlineLevel="0" collapsed="false">
      <c r="A2101" s="89" t="s">
        <v>2343</v>
      </c>
      <c r="B2101" s="90" t="s">
        <v>2298</v>
      </c>
      <c r="C2101" s="90" t="n">
        <f aca="false">ROUND(E2101*G2101,)</f>
        <v>6426</v>
      </c>
      <c r="D2101" s="103" t="s">
        <v>1420</v>
      </c>
      <c r="E2101" s="103" t="n">
        <v>7139.7</v>
      </c>
      <c r="F2101" s="103"/>
      <c r="G2101" s="103" t="n">
        <v>0.9</v>
      </c>
      <c r="H2101" s="103"/>
      <c r="I2101" s="103"/>
      <c r="J2101" s="103"/>
      <c r="K2101" s="103"/>
      <c r="L2101" s="103"/>
      <c r="M2101" s="103"/>
      <c r="N2101" s="103"/>
      <c r="O2101" s="104"/>
      <c r="P2101" s="103"/>
      <c r="Q2101" s="103"/>
      <c r="R2101" s="103"/>
      <c r="S2101" s="103"/>
      <c r="T2101" s="103"/>
      <c r="U2101" s="103"/>
      <c r="V2101" s="103"/>
      <c r="W2101" s="103"/>
      <c r="X2101" s="103"/>
      <c r="Y2101" s="103"/>
      <c r="Z2101" s="103"/>
      <c r="AA2101" s="103"/>
      <c r="AB2101" s="103"/>
      <c r="AC2101" s="103"/>
      <c r="AD2101" s="103"/>
      <c r="AE2101" s="103"/>
      <c r="AF2101" s="103"/>
      <c r="AG2101" s="103"/>
      <c r="AH2101" s="103"/>
      <c r="AI2101" s="103"/>
      <c r="AJ2101" s="103"/>
      <c r="AK2101" s="103"/>
      <c r="AL2101" s="103"/>
      <c r="AM2101" s="103"/>
      <c r="AN2101" s="103"/>
      <c r="AO2101" s="103"/>
      <c r="AP2101" s="103"/>
      <c r="AQ2101" s="103"/>
      <c r="AR2101" s="103"/>
      <c r="AS2101" s="103"/>
      <c r="AT2101" s="103"/>
      <c r="AU2101" s="103"/>
      <c r="AV2101" s="103"/>
      <c r="AW2101" s="103"/>
      <c r="AX2101" s="103"/>
      <c r="AY2101" s="103"/>
      <c r="AZ2101" s="103"/>
      <c r="BA2101" s="103"/>
      <c r="BB2101" s="103"/>
      <c r="BC2101" s="103"/>
      <c r="BD2101" s="103"/>
      <c r="BE2101" s="103"/>
      <c r="BF2101" s="103"/>
      <c r="BG2101" s="103"/>
      <c r="BH2101" s="103"/>
      <c r="BI2101" s="103"/>
      <c r="BJ2101" s="103"/>
      <c r="BK2101" s="103"/>
      <c r="BL2101" s="103"/>
      <c r="BM2101" s="103"/>
      <c r="BN2101" s="103"/>
      <c r="BO2101" s="103"/>
      <c r="BP2101" s="103"/>
      <c r="BQ2101" s="103"/>
      <c r="BR2101" s="103"/>
      <c r="BS2101" s="103"/>
      <c r="BT2101" s="103"/>
      <c r="BU2101" s="103"/>
      <c r="BV2101" s="103"/>
      <c r="BW2101" s="103"/>
      <c r="BX2101" s="103"/>
      <c r="BY2101" s="103"/>
      <c r="BZ2101" s="103"/>
      <c r="CA2101" s="103"/>
      <c r="CB2101" s="103"/>
      <c r="CC2101" s="103"/>
      <c r="CD2101" s="103"/>
      <c r="CE2101" s="103"/>
      <c r="CF2101" s="103"/>
      <c r="CG2101" s="103"/>
      <c r="CH2101" s="103"/>
      <c r="CI2101" s="103"/>
      <c r="CJ2101" s="103"/>
      <c r="CK2101" s="103"/>
      <c r="CL2101" s="103"/>
      <c r="CM2101" s="103"/>
      <c r="CN2101" s="103"/>
      <c r="CO2101" s="103"/>
      <c r="CP2101" s="103"/>
      <c r="CQ2101" s="103"/>
      <c r="CR2101" s="103"/>
      <c r="CS2101" s="103"/>
      <c r="CT2101" s="103"/>
      <c r="CU2101" s="103"/>
      <c r="CV2101" s="103"/>
      <c r="CW2101" s="103"/>
      <c r="CX2101" s="103"/>
      <c r="CY2101" s="103"/>
      <c r="CZ2101" s="103"/>
      <c r="DA2101" s="103"/>
      <c r="DB2101" s="103"/>
      <c r="DC2101" s="103"/>
      <c r="DD2101" s="103"/>
      <c r="DE2101" s="103"/>
      <c r="DF2101" s="103"/>
      <c r="DG2101" s="103"/>
      <c r="DH2101" s="103"/>
      <c r="DI2101" s="103"/>
      <c r="DJ2101" s="103"/>
      <c r="DK2101" s="103"/>
      <c r="DL2101" s="103"/>
      <c r="DM2101" s="103"/>
      <c r="DN2101" s="103"/>
      <c r="DO2101" s="103"/>
      <c r="DP2101" s="103"/>
      <c r="DQ2101" s="103"/>
      <c r="DR2101" s="103"/>
      <c r="DS2101" s="103"/>
      <c r="DT2101" s="103"/>
      <c r="DU2101" s="103"/>
      <c r="DV2101" s="103"/>
      <c r="DW2101" s="103"/>
      <c r="DX2101" s="103"/>
      <c r="DY2101" s="103"/>
      <c r="DZ2101" s="103"/>
      <c r="EA2101" s="103"/>
      <c r="EB2101" s="103"/>
      <c r="EC2101" s="103"/>
      <c r="ED2101" s="103"/>
      <c r="EE2101" s="103"/>
      <c r="EF2101" s="103"/>
      <c r="EG2101" s="103"/>
      <c r="EH2101" s="103"/>
      <c r="EI2101" s="103"/>
      <c r="EJ2101" s="103"/>
      <c r="EK2101" s="103"/>
      <c r="EL2101" s="103"/>
      <c r="EM2101" s="103"/>
      <c r="EN2101" s="103"/>
      <c r="EO2101" s="103"/>
      <c r="EP2101" s="103"/>
      <c r="EQ2101" s="103"/>
      <c r="ER2101" s="103"/>
      <c r="ES2101" s="103"/>
      <c r="ET2101" s="103"/>
      <c r="EU2101" s="103"/>
      <c r="EV2101" s="103"/>
      <c r="EW2101" s="103"/>
      <c r="EX2101" s="103"/>
      <c r="EY2101" s="103"/>
      <c r="EZ2101" s="103"/>
      <c r="FA2101" s="103"/>
      <c r="FB2101" s="103"/>
      <c r="FC2101" s="103"/>
      <c r="FD2101" s="103"/>
      <c r="FE2101" s="103"/>
      <c r="FF2101" s="103"/>
      <c r="FG2101" s="103"/>
      <c r="FH2101" s="103"/>
      <c r="FI2101" s="103"/>
      <c r="FJ2101" s="103"/>
      <c r="FK2101" s="103"/>
      <c r="FL2101" s="103"/>
      <c r="FM2101" s="103"/>
      <c r="FN2101" s="103"/>
      <c r="FO2101" s="103"/>
      <c r="FP2101" s="103"/>
      <c r="FQ2101" s="103"/>
      <c r="FR2101" s="103"/>
      <c r="FS2101" s="103"/>
      <c r="FT2101" s="103"/>
      <c r="FU2101" s="103"/>
      <c r="FV2101" s="103"/>
      <c r="FW2101" s="103"/>
      <c r="FX2101" s="103"/>
      <c r="FY2101" s="103"/>
      <c r="FZ2101" s="103"/>
      <c r="GA2101" s="103"/>
      <c r="GB2101" s="103"/>
      <c r="GC2101" s="103"/>
      <c r="GD2101" s="103"/>
      <c r="GE2101" s="103"/>
      <c r="GF2101" s="103"/>
      <c r="GG2101" s="103"/>
      <c r="GH2101" s="103"/>
      <c r="GI2101" s="103"/>
      <c r="GJ2101" s="103"/>
      <c r="GK2101" s="103"/>
      <c r="GL2101" s="103"/>
      <c r="GM2101" s="103"/>
      <c r="GN2101" s="103"/>
      <c r="GO2101" s="103"/>
      <c r="GP2101" s="103"/>
      <c r="GQ2101" s="103"/>
      <c r="GR2101" s="103"/>
      <c r="GS2101" s="103"/>
      <c r="GT2101" s="103"/>
      <c r="GU2101" s="103"/>
      <c r="GV2101" s="103"/>
      <c r="GW2101" s="103"/>
      <c r="GX2101" s="103"/>
      <c r="GY2101" s="103"/>
      <c r="GZ2101" s="103"/>
      <c r="HA2101" s="103"/>
      <c r="HB2101" s="103"/>
      <c r="HC2101" s="103"/>
      <c r="HD2101" s="103"/>
      <c r="HE2101" s="103"/>
      <c r="HF2101" s="103"/>
      <c r="HG2101" s="103"/>
      <c r="HH2101" s="103"/>
      <c r="HI2101" s="103"/>
      <c r="HJ2101" s="103"/>
      <c r="HK2101" s="103"/>
      <c r="HL2101" s="103"/>
      <c r="HM2101" s="103"/>
      <c r="HN2101" s="103"/>
      <c r="HO2101" s="103"/>
      <c r="HP2101" s="103"/>
      <c r="HQ2101" s="103"/>
      <c r="HR2101" s="103"/>
      <c r="HS2101" s="103"/>
      <c r="HT2101" s="103"/>
      <c r="HU2101" s="103"/>
      <c r="HV2101" s="103"/>
      <c r="HW2101" s="103"/>
      <c r="HX2101" s="103"/>
      <c r="HY2101" s="103"/>
      <c r="HZ2101" s="103"/>
      <c r="IA2101" s="103"/>
      <c r="IB2101" s="103"/>
      <c r="IC2101" s="103"/>
      <c r="ID2101" s="103"/>
      <c r="IE2101" s="103"/>
      <c r="IF2101" s="103"/>
      <c r="IG2101" s="103"/>
      <c r="IH2101" s="103"/>
      <c r="II2101" s="103"/>
      <c r="IJ2101" s="103"/>
      <c r="IK2101" s="103"/>
      <c r="IL2101" s="103"/>
      <c r="IM2101" s="103"/>
      <c r="IN2101" s="103"/>
      <c r="IO2101" s="103"/>
      <c r="IP2101" s="103"/>
      <c r="IQ2101" s="103"/>
      <c r="IR2101" s="103"/>
      <c r="IS2101" s="103"/>
      <c r="IT2101" s="103"/>
      <c r="IU2101" s="103"/>
      <c r="IV2101" s="103"/>
      <c r="IW2101" s="103"/>
    </row>
    <row r="2102" customFormat="false" ht="17.6" hidden="false" customHeight="false" outlineLevel="0" collapsed="false">
      <c r="A2102" s="89" t="s">
        <v>2344</v>
      </c>
      <c r="B2102" s="90" t="s">
        <v>2298</v>
      </c>
      <c r="C2102" s="90" t="n">
        <f aca="false">ROUND(E2102*G2102,)</f>
        <v>7423</v>
      </c>
      <c r="D2102" s="103" t="s">
        <v>1420</v>
      </c>
      <c r="E2102" s="103" t="n">
        <v>8248</v>
      </c>
      <c r="F2102" s="103"/>
      <c r="G2102" s="103" t="n">
        <v>0.9</v>
      </c>
      <c r="H2102" s="103"/>
      <c r="I2102" s="103"/>
      <c r="J2102" s="103"/>
      <c r="K2102" s="103"/>
      <c r="L2102" s="103"/>
      <c r="M2102" s="103"/>
      <c r="N2102" s="103"/>
      <c r="O2102" s="104"/>
      <c r="P2102" s="103"/>
      <c r="Q2102" s="103"/>
      <c r="R2102" s="103"/>
      <c r="S2102" s="103"/>
      <c r="T2102" s="103"/>
      <c r="U2102" s="103"/>
      <c r="V2102" s="103"/>
      <c r="W2102" s="103"/>
      <c r="X2102" s="103"/>
      <c r="Y2102" s="103"/>
      <c r="Z2102" s="103"/>
      <c r="AA2102" s="103"/>
      <c r="AB2102" s="103"/>
      <c r="AC2102" s="103"/>
      <c r="AD2102" s="103"/>
      <c r="AE2102" s="103"/>
      <c r="AF2102" s="103"/>
      <c r="AG2102" s="103"/>
      <c r="AH2102" s="103"/>
      <c r="AI2102" s="103"/>
      <c r="AJ2102" s="103"/>
      <c r="AK2102" s="103"/>
      <c r="AL2102" s="103"/>
      <c r="AM2102" s="103"/>
      <c r="AN2102" s="103"/>
      <c r="AO2102" s="103"/>
      <c r="AP2102" s="103"/>
      <c r="AQ2102" s="103"/>
      <c r="AR2102" s="103"/>
      <c r="AS2102" s="103"/>
      <c r="AT2102" s="103"/>
      <c r="AU2102" s="103"/>
      <c r="AV2102" s="103"/>
      <c r="AW2102" s="103"/>
      <c r="AX2102" s="103"/>
      <c r="AY2102" s="103"/>
      <c r="AZ2102" s="103"/>
      <c r="BA2102" s="103"/>
      <c r="BB2102" s="103"/>
      <c r="BC2102" s="103"/>
      <c r="BD2102" s="103"/>
      <c r="BE2102" s="103"/>
      <c r="BF2102" s="103"/>
      <c r="BG2102" s="103"/>
      <c r="BH2102" s="103"/>
      <c r="BI2102" s="103"/>
      <c r="BJ2102" s="103"/>
      <c r="BK2102" s="103"/>
      <c r="BL2102" s="103"/>
      <c r="BM2102" s="103"/>
      <c r="BN2102" s="103"/>
      <c r="BO2102" s="103"/>
      <c r="BP2102" s="103"/>
      <c r="BQ2102" s="103"/>
      <c r="BR2102" s="103"/>
      <c r="BS2102" s="103"/>
      <c r="BT2102" s="103"/>
      <c r="BU2102" s="103"/>
      <c r="BV2102" s="103"/>
      <c r="BW2102" s="103"/>
      <c r="BX2102" s="103"/>
      <c r="BY2102" s="103"/>
      <c r="BZ2102" s="103"/>
      <c r="CA2102" s="103"/>
      <c r="CB2102" s="103"/>
      <c r="CC2102" s="103"/>
      <c r="CD2102" s="103"/>
      <c r="CE2102" s="103"/>
      <c r="CF2102" s="103"/>
      <c r="CG2102" s="103"/>
      <c r="CH2102" s="103"/>
      <c r="CI2102" s="103"/>
      <c r="CJ2102" s="103"/>
      <c r="CK2102" s="103"/>
      <c r="CL2102" s="103"/>
      <c r="CM2102" s="103"/>
      <c r="CN2102" s="103"/>
      <c r="CO2102" s="103"/>
      <c r="CP2102" s="103"/>
      <c r="CQ2102" s="103"/>
      <c r="CR2102" s="103"/>
      <c r="CS2102" s="103"/>
      <c r="CT2102" s="103"/>
      <c r="CU2102" s="103"/>
      <c r="CV2102" s="103"/>
      <c r="CW2102" s="103"/>
      <c r="CX2102" s="103"/>
      <c r="CY2102" s="103"/>
      <c r="CZ2102" s="103"/>
      <c r="DA2102" s="103"/>
      <c r="DB2102" s="103"/>
      <c r="DC2102" s="103"/>
      <c r="DD2102" s="103"/>
      <c r="DE2102" s="103"/>
      <c r="DF2102" s="103"/>
      <c r="DG2102" s="103"/>
      <c r="DH2102" s="103"/>
      <c r="DI2102" s="103"/>
      <c r="DJ2102" s="103"/>
      <c r="DK2102" s="103"/>
      <c r="DL2102" s="103"/>
      <c r="DM2102" s="103"/>
      <c r="DN2102" s="103"/>
      <c r="DO2102" s="103"/>
      <c r="DP2102" s="103"/>
      <c r="DQ2102" s="103"/>
      <c r="DR2102" s="103"/>
      <c r="DS2102" s="103"/>
      <c r="DT2102" s="103"/>
      <c r="DU2102" s="103"/>
      <c r="DV2102" s="103"/>
      <c r="DW2102" s="103"/>
      <c r="DX2102" s="103"/>
      <c r="DY2102" s="103"/>
      <c r="DZ2102" s="103"/>
      <c r="EA2102" s="103"/>
      <c r="EB2102" s="103"/>
      <c r="EC2102" s="103"/>
      <c r="ED2102" s="103"/>
      <c r="EE2102" s="103"/>
      <c r="EF2102" s="103"/>
      <c r="EG2102" s="103"/>
      <c r="EH2102" s="103"/>
      <c r="EI2102" s="103"/>
      <c r="EJ2102" s="103"/>
      <c r="EK2102" s="103"/>
      <c r="EL2102" s="103"/>
      <c r="EM2102" s="103"/>
      <c r="EN2102" s="103"/>
      <c r="EO2102" s="103"/>
      <c r="EP2102" s="103"/>
      <c r="EQ2102" s="103"/>
      <c r="ER2102" s="103"/>
      <c r="ES2102" s="103"/>
      <c r="ET2102" s="103"/>
      <c r="EU2102" s="103"/>
      <c r="EV2102" s="103"/>
      <c r="EW2102" s="103"/>
      <c r="EX2102" s="103"/>
      <c r="EY2102" s="103"/>
      <c r="EZ2102" s="103"/>
      <c r="FA2102" s="103"/>
      <c r="FB2102" s="103"/>
      <c r="FC2102" s="103"/>
      <c r="FD2102" s="103"/>
      <c r="FE2102" s="103"/>
      <c r="FF2102" s="103"/>
      <c r="FG2102" s="103"/>
      <c r="FH2102" s="103"/>
      <c r="FI2102" s="103"/>
      <c r="FJ2102" s="103"/>
      <c r="FK2102" s="103"/>
      <c r="FL2102" s="103"/>
      <c r="FM2102" s="103"/>
      <c r="FN2102" s="103"/>
      <c r="FO2102" s="103"/>
      <c r="FP2102" s="103"/>
      <c r="FQ2102" s="103"/>
      <c r="FR2102" s="103"/>
      <c r="FS2102" s="103"/>
      <c r="FT2102" s="103"/>
      <c r="FU2102" s="103"/>
      <c r="FV2102" s="103"/>
      <c r="FW2102" s="103"/>
      <c r="FX2102" s="103"/>
      <c r="FY2102" s="103"/>
      <c r="FZ2102" s="103"/>
      <c r="GA2102" s="103"/>
      <c r="GB2102" s="103"/>
      <c r="GC2102" s="103"/>
      <c r="GD2102" s="103"/>
      <c r="GE2102" s="103"/>
      <c r="GF2102" s="103"/>
      <c r="GG2102" s="103"/>
      <c r="GH2102" s="103"/>
      <c r="GI2102" s="103"/>
      <c r="GJ2102" s="103"/>
      <c r="GK2102" s="103"/>
      <c r="GL2102" s="103"/>
      <c r="GM2102" s="103"/>
      <c r="GN2102" s="103"/>
      <c r="GO2102" s="103"/>
      <c r="GP2102" s="103"/>
      <c r="GQ2102" s="103"/>
      <c r="GR2102" s="103"/>
      <c r="GS2102" s="103"/>
      <c r="GT2102" s="103"/>
      <c r="GU2102" s="103"/>
      <c r="GV2102" s="103"/>
      <c r="GW2102" s="103"/>
      <c r="GX2102" s="103"/>
      <c r="GY2102" s="103"/>
      <c r="GZ2102" s="103"/>
      <c r="HA2102" s="103"/>
      <c r="HB2102" s="103"/>
      <c r="HC2102" s="103"/>
      <c r="HD2102" s="103"/>
      <c r="HE2102" s="103"/>
      <c r="HF2102" s="103"/>
      <c r="HG2102" s="103"/>
      <c r="HH2102" s="103"/>
      <c r="HI2102" s="103"/>
      <c r="HJ2102" s="103"/>
      <c r="HK2102" s="103"/>
      <c r="HL2102" s="103"/>
      <c r="HM2102" s="103"/>
      <c r="HN2102" s="103"/>
      <c r="HO2102" s="103"/>
      <c r="HP2102" s="103"/>
      <c r="HQ2102" s="103"/>
      <c r="HR2102" s="103"/>
      <c r="HS2102" s="103"/>
      <c r="HT2102" s="103"/>
      <c r="HU2102" s="103"/>
      <c r="HV2102" s="103"/>
      <c r="HW2102" s="103"/>
      <c r="HX2102" s="103"/>
      <c r="HY2102" s="103"/>
      <c r="HZ2102" s="103"/>
      <c r="IA2102" s="103"/>
      <c r="IB2102" s="103"/>
      <c r="IC2102" s="103"/>
      <c r="ID2102" s="103"/>
      <c r="IE2102" s="103"/>
      <c r="IF2102" s="103"/>
      <c r="IG2102" s="103"/>
      <c r="IH2102" s="103"/>
      <c r="II2102" s="103"/>
      <c r="IJ2102" s="103"/>
      <c r="IK2102" s="103"/>
      <c r="IL2102" s="103"/>
      <c r="IM2102" s="103"/>
      <c r="IN2102" s="103"/>
      <c r="IO2102" s="103"/>
      <c r="IP2102" s="103"/>
      <c r="IQ2102" s="103"/>
      <c r="IR2102" s="103"/>
      <c r="IS2102" s="103"/>
      <c r="IT2102" s="103"/>
      <c r="IU2102" s="103"/>
      <c r="IV2102" s="103"/>
      <c r="IW2102" s="103"/>
    </row>
    <row r="2103" customFormat="false" ht="17.6" hidden="false" customHeight="false" outlineLevel="0" collapsed="false">
      <c r="A2103" s="89" t="s">
        <v>2345</v>
      </c>
      <c r="B2103" s="90" t="s">
        <v>2298</v>
      </c>
      <c r="C2103" s="90" t="n">
        <f aca="false">ROUND(E2103*G2103,)</f>
        <v>7678</v>
      </c>
      <c r="D2103" s="103" t="s">
        <v>1420</v>
      </c>
      <c r="E2103" s="103" t="n">
        <v>8531.5</v>
      </c>
      <c r="F2103" s="103"/>
      <c r="G2103" s="103" t="n">
        <v>0.9</v>
      </c>
      <c r="H2103" s="103"/>
      <c r="I2103" s="103"/>
      <c r="J2103" s="103"/>
      <c r="K2103" s="103"/>
      <c r="L2103" s="103"/>
      <c r="M2103" s="103"/>
      <c r="N2103" s="103"/>
      <c r="O2103" s="104"/>
      <c r="P2103" s="103"/>
      <c r="Q2103" s="103"/>
      <c r="R2103" s="103"/>
      <c r="S2103" s="103"/>
      <c r="T2103" s="103"/>
      <c r="U2103" s="103"/>
      <c r="V2103" s="103"/>
      <c r="W2103" s="103"/>
      <c r="X2103" s="103"/>
      <c r="Y2103" s="103"/>
      <c r="Z2103" s="103"/>
      <c r="AA2103" s="103"/>
      <c r="AB2103" s="103"/>
      <c r="AC2103" s="103"/>
      <c r="AD2103" s="103"/>
      <c r="AE2103" s="103"/>
      <c r="AF2103" s="103"/>
      <c r="AG2103" s="103"/>
      <c r="AH2103" s="103"/>
      <c r="AI2103" s="103"/>
      <c r="AJ2103" s="103"/>
      <c r="AK2103" s="103"/>
      <c r="AL2103" s="103"/>
      <c r="AM2103" s="103"/>
      <c r="AN2103" s="103"/>
      <c r="AO2103" s="103"/>
      <c r="AP2103" s="103"/>
      <c r="AQ2103" s="103"/>
      <c r="AR2103" s="103"/>
      <c r="AS2103" s="103"/>
      <c r="AT2103" s="103"/>
      <c r="AU2103" s="103"/>
      <c r="AV2103" s="103"/>
      <c r="AW2103" s="103"/>
      <c r="AX2103" s="103"/>
      <c r="AY2103" s="103"/>
      <c r="AZ2103" s="103"/>
      <c r="BA2103" s="103"/>
      <c r="BB2103" s="103"/>
      <c r="BC2103" s="103"/>
      <c r="BD2103" s="103"/>
      <c r="BE2103" s="103"/>
      <c r="BF2103" s="103"/>
      <c r="BG2103" s="103"/>
      <c r="BH2103" s="103"/>
      <c r="BI2103" s="103"/>
      <c r="BJ2103" s="103"/>
      <c r="BK2103" s="103"/>
      <c r="BL2103" s="103"/>
      <c r="BM2103" s="103"/>
      <c r="BN2103" s="103"/>
      <c r="BO2103" s="103"/>
      <c r="BP2103" s="103"/>
      <c r="BQ2103" s="103"/>
      <c r="BR2103" s="103"/>
      <c r="BS2103" s="103"/>
      <c r="BT2103" s="103"/>
      <c r="BU2103" s="103"/>
      <c r="BV2103" s="103"/>
      <c r="BW2103" s="103"/>
      <c r="BX2103" s="103"/>
      <c r="BY2103" s="103"/>
      <c r="BZ2103" s="103"/>
      <c r="CA2103" s="103"/>
      <c r="CB2103" s="103"/>
      <c r="CC2103" s="103"/>
      <c r="CD2103" s="103"/>
      <c r="CE2103" s="103"/>
      <c r="CF2103" s="103"/>
      <c r="CG2103" s="103"/>
      <c r="CH2103" s="103"/>
      <c r="CI2103" s="103"/>
      <c r="CJ2103" s="103"/>
      <c r="CK2103" s="103"/>
      <c r="CL2103" s="103"/>
      <c r="CM2103" s="103"/>
      <c r="CN2103" s="103"/>
      <c r="CO2103" s="103"/>
      <c r="CP2103" s="103"/>
      <c r="CQ2103" s="103"/>
      <c r="CR2103" s="103"/>
      <c r="CS2103" s="103"/>
      <c r="CT2103" s="103"/>
      <c r="CU2103" s="103"/>
      <c r="CV2103" s="103"/>
      <c r="CW2103" s="103"/>
      <c r="CX2103" s="103"/>
      <c r="CY2103" s="103"/>
      <c r="CZ2103" s="103"/>
      <c r="DA2103" s="103"/>
      <c r="DB2103" s="103"/>
      <c r="DC2103" s="103"/>
      <c r="DD2103" s="103"/>
      <c r="DE2103" s="103"/>
      <c r="DF2103" s="103"/>
      <c r="DG2103" s="103"/>
      <c r="DH2103" s="103"/>
      <c r="DI2103" s="103"/>
      <c r="DJ2103" s="103"/>
      <c r="DK2103" s="103"/>
      <c r="DL2103" s="103"/>
      <c r="DM2103" s="103"/>
      <c r="DN2103" s="103"/>
      <c r="DO2103" s="103"/>
      <c r="DP2103" s="103"/>
      <c r="DQ2103" s="103"/>
      <c r="DR2103" s="103"/>
      <c r="DS2103" s="103"/>
      <c r="DT2103" s="103"/>
      <c r="DU2103" s="103"/>
      <c r="DV2103" s="103"/>
      <c r="DW2103" s="103"/>
      <c r="DX2103" s="103"/>
      <c r="DY2103" s="103"/>
      <c r="DZ2103" s="103"/>
      <c r="EA2103" s="103"/>
      <c r="EB2103" s="103"/>
      <c r="EC2103" s="103"/>
      <c r="ED2103" s="103"/>
      <c r="EE2103" s="103"/>
      <c r="EF2103" s="103"/>
      <c r="EG2103" s="103"/>
      <c r="EH2103" s="103"/>
      <c r="EI2103" s="103"/>
      <c r="EJ2103" s="103"/>
      <c r="EK2103" s="103"/>
      <c r="EL2103" s="103"/>
      <c r="EM2103" s="103"/>
      <c r="EN2103" s="103"/>
      <c r="EO2103" s="103"/>
      <c r="EP2103" s="103"/>
      <c r="EQ2103" s="103"/>
      <c r="ER2103" s="103"/>
      <c r="ES2103" s="103"/>
      <c r="ET2103" s="103"/>
      <c r="EU2103" s="103"/>
      <c r="EV2103" s="103"/>
      <c r="EW2103" s="103"/>
      <c r="EX2103" s="103"/>
      <c r="EY2103" s="103"/>
      <c r="EZ2103" s="103"/>
      <c r="FA2103" s="103"/>
      <c r="FB2103" s="103"/>
      <c r="FC2103" s="103"/>
      <c r="FD2103" s="103"/>
      <c r="FE2103" s="103"/>
      <c r="FF2103" s="103"/>
      <c r="FG2103" s="103"/>
      <c r="FH2103" s="103"/>
      <c r="FI2103" s="103"/>
      <c r="FJ2103" s="103"/>
      <c r="FK2103" s="103"/>
      <c r="FL2103" s="103"/>
      <c r="FM2103" s="103"/>
      <c r="FN2103" s="103"/>
      <c r="FO2103" s="103"/>
      <c r="FP2103" s="103"/>
      <c r="FQ2103" s="103"/>
      <c r="FR2103" s="103"/>
      <c r="FS2103" s="103"/>
      <c r="FT2103" s="103"/>
      <c r="FU2103" s="103"/>
      <c r="FV2103" s="103"/>
      <c r="FW2103" s="103"/>
      <c r="FX2103" s="103"/>
      <c r="FY2103" s="103"/>
      <c r="FZ2103" s="103"/>
      <c r="GA2103" s="103"/>
      <c r="GB2103" s="103"/>
      <c r="GC2103" s="103"/>
      <c r="GD2103" s="103"/>
      <c r="GE2103" s="103"/>
      <c r="GF2103" s="103"/>
      <c r="GG2103" s="103"/>
      <c r="GH2103" s="103"/>
      <c r="GI2103" s="103"/>
      <c r="GJ2103" s="103"/>
      <c r="GK2103" s="103"/>
      <c r="GL2103" s="103"/>
      <c r="GM2103" s="103"/>
      <c r="GN2103" s="103"/>
      <c r="GO2103" s="103"/>
      <c r="GP2103" s="103"/>
      <c r="GQ2103" s="103"/>
      <c r="GR2103" s="103"/>
      <c r="GS2103" s="103"/>
      <c r="GT2103" s="103"/>
      <c r="GU2103" s="103"/>
      <c r="GV2103" s="103"/>
      <c r="GW2103" s="103"/>
      <c r="GX2103" s="103"/>
      <c r="GY2103" s="103"/>
      <c r="GZ2103" s="103"/>
      <c r="HA2103" s="103"/>
      <c r="HB2103" s="103"/>
      <c r="HC2103" s="103"/>
      <c r="HD2103" s="103"/>
      <c r="HE2103" s="103"/>
      <c r="HF2103" s="103"/>
      <c r="HG2103" s="103"/>
      <c r="HH2103" s="103"/>
      <c r="HI2103" s="103"/>
      <c r="HJ2103" s="103"/>
      <c r="HK2103" s="103"/>
      <c r="HL2103" s="103"/>
      <c r="HM2103" s="103"/>
      <c r="HN2103" s="103"/>
      <c r="HO2103" s="103"/>
      <c r="HP2103" s="103"/>
      <c r="HQ2103" s="103"/>
      <c r="HR2103" s="103"/>
      <c r="HS2103" s="103"/>
      <c r="HT2103" s="103"/>
      <c r="HU2103" s="103"/>
      <c r="HV2103" s="103"/>
      <c r="HW2103" s="103"/>
      <c r="HX2103" s="103"/>
      <c r="HY2103" s="103"/>
      <c r="HZ2103" s="103"/>
      <c r="IA2103" s="103"/>
      <c r="IB2103" s="103"/>
      <c r="IC2103" s="103"/>
      <c r="ID2103" s="103"/>
      <c r="IE2103" s="103"/>
      <c r="IF2103" s="103"/>
      <c r="IG2103" s="103"/>
      <c r="IH2103" s="103"/>
      <c r="II2103" s="103"/>
      <c r="IJ2103" s="103"/>
      <c r="IK2103" s="103"/>
      <c r="IL2103" s="103"/>
      <c r="IM2103" s="103"/>
      <c r="IN2103" s="103"/>
      <c r="IO2103" s="103"/>
      <c r="IP2103" s="103"/>
      <c r="IQ2103" s="103"/>
      <c r="IR2103" s="103"/>
      <c r="IS2103" s="103"/>
      <c r="IT2103" s="103"/>
      <c r="IU2103" s="103"/>
      <c r="IV2103" s="103"/>
      <c r="IW2103" s="103"/>
    </row>
    <row r="2104" customFormat="false" ht="17.6" hidden="false" customHeight="false" outlineLevel="0" collapsed="false">
      <c r="A2104" s="89" t="s">
        <v>2346</v>
      </c>
      <c r="B2104" s="90" t="s">
        <v>2298</v>
      </c>
      <c r="C2104" s="90" t="n">
        <f aca="false">ROUND(E2104*G2104,)</f>
        <v>7934</v>
      </c>
      <c r="D2104" s="103" t="s">
        <v>1420</v>
      </c>
      <c r="E2104" s="103" t="n">
        <v>8815</v>
      </c>
      <c r="F2104" s="103"/>
      <c r="G2104" s="103" t="n">
        <v>0.9</v>
      </c>
      <c r="H2104" s="103"/>
      <c r="I2104" s="103"/>
      <c r="J2104" s="103"/>
      <c r="K2104" s="103"/>
      <c r="L2104" s="103"/>
      <c r="M2104" s="103"/>
      <c r="N2104" s="103"/>
      <c r="O2104" s="104"/>
      <c r="P2104" s="103"/>
      <c r="Q2104" s="103"/>
      <c r="R2104" s="103"/>
      <c r="S2104" s="103"/>
      <c r="T2104" s="103"/>
      <c r="U2104" s="103"/>
      <c r="V2104" s="103"/>
      <c r="W2104" s="103"/>
      <c r="X2104" s="103"/>
      <c r="Y2104" s="103"/>
      <c r="Z2104" s="103"/>
      <c r="AA2104" s="103"/>
      <c r="AB2104" s="103"/>
      <c r="AC2104" s="103"/>
      <c r="AD2104" s="103"/>
      <c r="AE2104" s="103"/>
      <c r="AF2104" s="103"/>
      <c r="AG2104" s="103"/>
      <c r="AH2104" s="103"/>
      <c r="AI2104" s="103"/>
      <c r="AJ2104" s="103"/>
      <c r="AK2104" s="103"/>
      <c r="AL2104" s="103"/>
      <c r="AM2104" s="103"/>
      <c r="AN2104" s="103"/>
      <c r="AO2104" s="103"/>
      <c r="AP2104" s="103"/>
      <c r="AQ2104" s="103"/>
      <c r="AR2104" s="103"/>
      <c r="AS2104" s="103"/>
      <c r="AT2104" s="103"/>
      <c r="AU2104" s="103"/>
      <c r="AV2104" s="103"/>
      <c r="AW2104" s="103"/>
      <c r="AX2104" s="103"/>
      <c r="AY2104" s="103"/>
      <c r="AZ2104" s="103"/>
      <c r="BA2104" s="103"/>
      <c r="BB2104" s="103"/>
      <c r="BC2104" s="103"/>
      <c r="BD2104" s="103"/>
      <c r="BE2104" s="103"/>
      <c r="BF2104" s="103"/>
      <c r="BG2104" s="103"/>
      <c r="BH2104" s="103"/>
      <c r="BI2104" s="103"/>
      <c r="BJ2104" s="103"/>
      <c r="BK2104" s="103"/>
      <c r="BL2104" s="103"/>
      <c r="BM2104" s="103"/>
      <c r="BN2104" s="103"/>
      <c r="BO2104" s="103"/>
      <c r="BP2104" s="103"/>
      <c r="BQ2104" s="103"/>
      <c r="BR2104" s="103"/>
      <c r="BS2104" s="103"/>
      <c r="BT2104" s="103"/>
      <c r="BU2104" s="103"/>
      <c r="BV2104" s="103"/>
      <c r="BW2104" s="103"/>
      <c r="BX2104" s="103"/>
      <c r="BY2104" s="103"/>
      <c r="BZ2104" s="103"/>
      <c r="CA2104" s="103"/>
      <c r="CB2104" s="103"/>
      <c r="CC2104" s="103"/>
      <c r="CD2104" s="103"/>
      <c r="CE2104" s="103"/>
      <c r="CF2104" s="103"/>
      <c r="CG2104" s="103"/>
      <c r="CH2104" s="103"/>
      <c r="CI2104" s="103"/>
      <c r="CJ2104" s="103"/>
      <c r="CK2104" s="103"/>
      <c r="CL2104" s="103"/>
      <c r="CM2104" s="103"/>
      <c r="CN2104" s="103"/>
      <c r="CO2104" s="103"/>
      <c r="CP2104" s="103"/>
      <c r="CQ2104" s="103"/>
      <c r="CR2104" s="103"/>
      <c r="CS2104" s="103"/>
      <c r="CT2104" s="103"/>
      <c r="CU2104" s="103"/>
      <c r="CV2104" s="103"/>
      <c r="CW2104" s="103"/>
      <c r="CX2104" s="103"/>
      <c r="CY2104" s="103"/>
      <c r="CZ2104" s="103"/>
      <c r="DA2104" s="103"/>
      <c r="DB2104" s="103"/>
      <c r="DC2104" s="103"/>
      <c r="DD2104" s="103"/>
      <c r="DE2104" s="103"/>
      <c r="DF2104" s="103"/>
      <c r="DG2104" s="103"/>
      <c r="DH2104" s="103"/>
      <c r="DI2104" s="103"/>
      <c r="DJ2104" s="103"/>
      <c r="DK2104" s="103"/>
      <c r="DL2104" s="103"/>
      <c r="DM2104" s="103"/>
      <c r="DN2104" s="103"/>
      <c r="DO2104" s="103"/>
      <c r="DP2104" s="103"/>
      <c r="DQ2104" s="103"/>
      <c r="DR2104" s="103"/>
      <c r="DS2104" s="103"/>
      <c r="DT2104" s="103"/>
      <c r="DU2104" s="103"/>
      <c r="DV2104" s="103"/>
      <c r="DW2104" s="103"/>
      <c r="DX2104" s="103"/>
      <c r="DY2104" s="103"/>
      <c r="DZ2104" s="103"/>
      <c r="EA2104" s="103"/>
      <c r="EB2104" s="103"/>
      <c r="EC2104" s="103"/>
      <c r="ED2104" s="103"/>
      <c r="EE2104" s="103"/>
      <c r="EF2104" s="103"/>
      <c r="EG2104" s="103"/>
      <c r="EH2104" s="103"/>
      <c r="EI2104" s="103"/>
      <c r="EJ2104" s="103"/>
      <c r="EK2104" s="103"/>
      <c r="EL2104" s="103"/>
      <c r="EM2104" s="103"/>
      <c r="EN2104" s="103"/>
      <c r="EO2104" s="103"/>
      <c r="EP2104" s="103"/>
      <c r="EQ2104" s="103"/>
      <c r="ER2104" s="103"/>
      <c r="ES2104" s="103"/>
      <c r="ET2104" s="103"/>
      <c r="EU2104" s="103"/>
      <c r="EV2104" s="103"/>
      <c r="EW2104" s="103"/>
      <c r="EX2104" s="103"/>
      <c r="EY2104" s="103"/>
      <c r="EZ2104" s="103"/>
      <c r="FA2104" s="103"/>
      <c r="FB2104" s="103"/>
      <c r="FC2104" s="103"/>
      <c r="FD2104" s="103"/>
      <c r="FE2104" s="103"/>
      <c r="FF2104" s="103"/>
      <c r="FG2104" s="103"/>
      <c r="FH2104" s="103"/>
      <c r="FI2104" s="103"/>
      <c r="FJ2104" s="103"/>
      <c r="FK2104" s="103"/>
      <c r="FL2104" s="103"/>
      <c r="FM2104" s="103"/>
      <c r="FN2104" s="103"/>
      <c r="FO2104" s="103"/>
      <c r="FP2104" s="103"/>
      <c r="FQ2104" s="103"/>
      <c r="FR2104" s="103"/>
      <c r="FS2104" s="103"/>
      <c r="FT2104" s="103"/>
      <c r="FU2104" s="103"/>
      <c r="FV2104" s="103"/>
      <c r="FW2104" s="103"/>
      <c r="FX2104" s="103"/>
      <c r="FY2104" s="103"/>
      <c r="FZ2104" s="103"/>
      <c r="GA2104" s="103"/>
      <c r="GB2104" s="103"/>
      <c r="GC2104" s="103"/>
      <c r="GD2104" s="103"/>
      <c r="GE2104" s="103"/>
      <c r="GF2104" s="103"/>
      <c r="GG2104" s="103"/>
      <c r="GH2104" s="103"/>
      <c r="GI2104" s="103"/>
      <c r="GJ2104" s="103"/>
      <c r="GK2104" s="103"/>
      <c r="GL2104" s="103"/>
      <c r="GM2104" s="103"/>
      <c r="GN2104" s="103"/>
      <c r="GO2104" s="103"/>
      <c r="GP2104" s="103"/>
      <c r="GQ2104" s="103"/>
      <c r="GR2104" s="103"/>
      <c r="GS2104" s="103"/>
      <c r="GT2104" s="103"/>
      <c r="GU2104" s="103"/>
      <c r="GV2104" s="103"/>
      <c r="GW2104" s="103"/>
      <c r="GX2104" s="103"/>
      <c r="GY2104" s="103"/>
      <c r="GZ2104" s="103"/>
      <c r="HA2104" s="103"/>
      <c r="HB2104" s="103"/>
      <c r="HC2104" s="103"/>
      <c r="HD2104" s="103"/>
      <c r="HE2104" s="103"/>
      <c r="HF2104" s="103"/>
      <c r="HG2104" s="103"/>
      <c r="HH2104" s="103"/>
      <c r="HI2104" s="103"/>
      <c r="HJ2104" s="103"/>
      <c r="HK2104" s="103"/>
      <c r="HL2104" s="103"/>
      <c r="HM2104" s="103"/>
      <c r="HN2104" s="103"/>
      <c r="HO2104" s="103"/>
      <c r="HP2104" s="103"/>
      <c r="HQ2104" s="103"/>
      <c r="HR2104" s="103"/>
      <c r="HS2104" s="103"/>
      <c r="HT2104" s="103"/>
      <c r="HU2104" s="103"/>
      <c r="HV2104" s="103"/>
      <c r="HW2104" s="103"/>
      <c r="HX2104" s="103"/>
      <c r="HY2104" s="103"/>
      <c r="HZ2104" s="103"/>
      <c r="IA2104" s="103"/>
      <c r="IB2104" s="103"/>
      <c r="IC2104" s="103"/>
      <c r="ID2104" s="103"/>
      <c r="IE2104" s="103"/>
      <c r="IF2104" s="103"/>
      <c r="IG2104" s="103"/>
      <c r="IH2104" s="103"/>
      <c r="II2104" s="103"/>
      <c r="IJ2104" s="103"/>
      <c r="IK2104" s="103"/>
      <c r="IL2104" s="103"/>
      <c r="IM2104" s="103"/>
      <c r="IN2104" s="103"/>
      <c r="IO2104" s="103"/>
      <c r="IP2104" s="103"/>
      <c r="IQ2104" s="103"/>
      <c r="IR2104" s="103"/>
      <c r="IS2104" s="103"/>
      <c r="IT2104" s="103"/>
      <c r="IU2104" s="103"/>
      <c r="IV2104" s="103"/>
      <c r="IW2104" s="103"/>
    </row>
    <row r="2105" customFormat="false" ht="17.6" hidden="false" customHeight="false" outlineLevel="0" collapsed="false">
      <c r="A2105" s="89" t="s">
        <v>2347</v>
      </c>
      <c r="B2105" s="90" t="s">
        <v>2298</v>
      </c>
      <c r="C2105" s="90" t="n">
        <f aca="false">ROUND(E2105*G2105,)</f>
        <v>8189</v>
      </c>
      <c r="D2105" s="103" t="s">
        <v>1420</v>
      </c>
      <c r="E2105" s="103" t="n">
        <v>9098.5</v>
      </c>
      <c r="F2105" s="103"/>
      <c r="G2105" s="103" t="n">
        <v>0.9</v>
      </c>
      <c r="H2105" s="103"/>
      <c r="I2105" s="103"/>
      <c r="J2105" s="103"/>
      <c r="K2105" s="103"/>
      <c r="L2105" s="103"/>
      <c r="M2105" s="103"/>
      <c r="N2105" s="103"/>
      <c r="O2105" s="104"/>
      <c r="P2105" s="103"/>
      <c r="Q2105" s="103"/>
      <c r="R2105" s="103"/>
      <c r="S2105" s="103"/>
      <c r="T2105" s="103"/>
      <c r="U2105" s="103"/>
      <c r="V2105" s="103"/>
      <c r="W2105" s="103"/>
      <c r="X2105" s="103"/>
      <c r="Y2105" s="103"/>
      <c r="Z2105" s="103"/>
      <c r="AA2105" s="103"/>
      <c r="AB2105" s="103"/>
      <c r="AC2105" s="103"/>
      <c r="AD2105" s="103"/>
      <c r="AE2105" s="103"/>
      <c r="AF2105" s="103"/>
      <c r="AG2105" s="103"/>
      <c r="AH2105" s="103"/>
      <c r="AI2105" s="103"/>
      <c r="AJ2105" s="103"/>
      <c r="AK2105" s="103"/>
      <c r="AL2105" s="103"/>
      <c r="AM2105" s="103"/>
      <c r="AN2105" s="103"/>
      <c r="AO2105" s="103"/>
      <c r="AP2105" s="103"/>
      <c r="AQ2105" s="103"/>
      <c r="AR2105" s="103"/>
      <c r="AS2105" s="103"/>
      <c r="AT2105" s="103"/>
      <c r="AU2105" s="103"/>
      <c r="AV2105" s="103"/>
      <c r="AW2105" s="103"/>
      <c r="AX2105" s="103"/>
      <c r="AY2105" s="103"/>
      <c r="AZ2105" s="103"/>
      <c r="BA2105" s="103"/>
      <c r="BB2105" s="103"/>
      <c r="BC2105" s="103"/>
      <c r="BD2105" s="103"/>
      <c r="BE2105" s="103"/>
      <c r="BF2105" s="103"/>
      <c r="BG2105" s="103"/>
      <c r="BH2105" s="103"/>
      <c r="BI2105" s="103"/>
      <c r="BJ2105" s="103"/>
      <c r="BK2105" s="103"/>
      <c r="BL2105" s="103"/>
      <c r="BM2105" s="103"/>
      <c r="BN2105" s="103"/>
      <c r="BO2105" s="103"/>
      <c r="BP2105" s="103"/>
      <c r="BQ2105" s="103"/>
      <c r="BR2105" s="103"/>
      <c r="BS2105" s="103"/>
      <c r="BT2105" s="103"/>
      <c r="BU2105" s="103"/>
      <c r="BV2105" s="103"/>
      <c r="BW2105" s="103"/>
      <c r="BX2105" s="103"/>
      <c r="BY2105" s="103"/>
      <c r="BZ2105" s="103"/>
      <c r="CA2105" s="103"/>
      <c r="CB2105" s="103"/>
      <c r="CC2105" s="103"/>
      <c r="CD2105" s="103"/>
      <c r="CE2105" s="103"/>
      <c r="CF2105" s="103"/>
      <c r="CG2105" s="103"/>
      <c r="CH2105" s="103"/>
      <c r="CI2105" s="103"/>
      <c r="CJ2105" s="103"/>
      <c r="CK2105" s="103"/>
      <c r="CL2105" s="103"/>
      <c r="CM2105" s="103"/>
      <c r="CN2105" s="103"/>
      <c r="CO2105" s="103"/>
      <c r="CP2105" s="103"/>
      <c r="CQ2105" s="103"/>
      <c r="CR2105" s="103"/>
      <c r="CS2105" s="103"/>
      <c r="CT2105" s="103"/>
      <c r="CU2105" s="103"/>
      <c r="CV2105" s="103"/>
      <c r="CW2105" s="103"/>
      <c r="CX2105" s="103"/>
      <c r="CY2105" s="103"/>
      <c r="CZ2105" s="103"/>
      <c r="DA2105" s="103"/>
      <c r="DB2105" s="103"/>
      <c r="DC2105" s="103"/>
      <c r="DD2105" s="103"/>
      <c r="DE2105" s="103"/>
      <c r="DF2105" s="103"/>
      <c r="DG2105" s="103"/>
      <c r="DH2105" s="103"/>
      <c r="DI2105" s="103"/>
      <c r="DJ2105" s="103"/>
      <c r="DK2105" s="103"/>
      <c r="DL2105" s="103"/>
      <c r="DM2105" s="103"/>
      <c r="DN2105" s="103"/>
      <c r="DO2105" s="103"/>
      <c r="DP2105" s="103"/>
      <c r="DQ2105" s="103"/>
      <c r="DR2105" s="103"/>
      <c r="DS2105" s="103"/>
      <c r="DT2105" s="103"/>
      <c r="DU2105" s="103"/>
      <c r="DV2105" s="103"/>
      <c r="DW2105" s="103"/>
      <c r="DX2105" s="103"/>
      <c r="DY2105" s="103"/>
      <c r="DZ2105" s="103"/>
      <c r="EA2105" s="103"/>
      <c r="EB2105" s="103"/>
      <c r="EC2105" s="103"/>
      <c r="ED2105" s="103"/>
      <c r="EE2105" s="103"/>
      <c r="EF2105" s="103"/>
      <c r="EG2105" s="103"/>
      <c r="EH2105" s="103"/>
      <c r="EI2105" s="103"/>
      <c r="EJ2105" s="103"/>
      <c r="EK2105" s="103"/>
      <c r="EL2105" s="103"/>
      <c r="EM2105" s="103"/>
      <c r="EN2105" s="103"/>
      <c r="EO2105" s="103"/>
      <c r="EP2105" s="103"/>
      <c r="EQ2105" s="103"/>
      <c r="ER2105" s="103"/>
      <c r="ES2105" s="103"/>
      <c r="ET2105" s="103"/>
      <c r="EU2105" s="103"/>
      <c r="EV2105" s="103"/>
      <c r="EW2105" s="103"/>
      <c r="EX2105" s="103"/>
      <c r="EY2105" s="103"/>
      <c r="EZ2105" s="103"/>
      <c r="FA2105" s="103"/>
      <c r="FB2105" s="103"/>
      <c r="FC2105" s="103"/>
      <c r="FD2105" s="103"/>
      <c r="FE2105" s="103"/>
      <c r="FF2105" s="103"/>
      <c r="FG2105" s="103"/>
      <c r="FH2105" s="103"/>
      <c r="FI2105" s="103"/>
      <c r="FJ2105" s="103"/>
      <c r="FK2105" s="103"/>
      <c r="FL2105" s="103"/>
      <c r="FM2105" s="103"/>
      <c r="FN2105" s="103"/>
      <c r="FO2105" s="103"/>
      <c r="FP2105" s="103"/>
      <c r="FQ2105" s="103"/>
      <c r="FR2105" s="103"/>
      <c r="FS2105" s="103"/>
      <c r="FT2105" s="103"/>
      <c r="FU2105" s="103"/>
      <c r="FV2105" s="103"/>
      <c r="FW2105" s="103"/>
      <c r="FX2105" s="103"/>
      <c r="FY2105" s="103"/>
      <c r="FZ2105" s="103"/>
      <c r="GA2105" s="103"/>
      <c r="GB2105" s="103"/>
      <c r="GC2105" s="103"/>
      <c r="GD2105" s="103"/>
      <c r="GE2105" s="103"/>
      <c r="GF2105" s="103"/>
      <c r="GG2105" s="103"/>
      <c r="GH2105" s="103"/>
      <c r="GI2105" s="103"/>
      <c r="GJ2105" s="103"/>
      <c r="GK2105" s="103"/>
      <c r="GL2105" s="103"/>
      <c r="GM2105" s="103"/>
      <c r="GN2105" s="103"/>
      <c r="GO2105" s="103"/>
      <c r="GP2105" s="103"/>
      <c r="GQ2105" s="103"/>
      <c r="GR2105" s="103"/>
      <c r="GS2105" s="103"/>
      <c r="GT2105" s="103"/>
      <c r="GU2105" s="103"/>
      <c r="GV2105" s="103"/>
      <c r="GW2105" s="103"/>
      <c r="GX2105" s="103"/>
      <c r="GY2105" s="103"/>
      <c r="GZ2105" s="103"/>
      <c r="HA2105" s="103"/>
      <c r="HB2105" s="103"/>
      <c r="HC2105" s="103"/>
      <c r="HD2105" s="103"/>
      <c r="HE2105" s="103"/>
      <c r="HF2105" s="103"/>
      <c r="HG2105" s="103"/>
      <c r="HH2105" s="103"/>
      <c r="HI2105" s="103"/>
      <c r="HJ2105" s="103"/>
      <c r="HK2105" s="103"/>
      <c r="HL2105" s="103"/>
      <c r="HM2105" s="103"/>
      <c r="HN2105" s="103"/>
      <c r="HO2105" s="103"/>
      <c r="HP2105" s="103"/>
      <c r="HQ2105" s="103"/>
      <c r="HR2105" s="103"/>
      <c r="HS2105" s="103"/>
      <c r="HT2105" s="103"/>
      <c r="HU2105" s="103"/>
      <c r="HV2105" s="103"/>
      <c r="HW2105" s="103"/>
      <c r="HX2105" s="103"/>
      <c r="HY2105" s="103"/>
      <c r="HZ2105" s="103"/>
      <c r="IA2105" s="103"/>
      <c r="IB2105" s="103"/>
      <c r="IC2105" s="103"/>
      <c r="ID2105" s="103"/>
      <c r="IE2105" s="103"/>
      <c r="IF2105" s="103"/>
      <c r="IG2105" s="103"/>
      <c r="IH2105" s="103"/>
      <c r="II2105" s="103"/>
      <c r="IJ2105" s="103"/>
      <c r="IK2105" s="103"/>
      <c r="IL2105" s="103"/>
      <c r="IM2105" s="103"/>
      <c r="IN2105" s="103"/>
      <c r="IO2105" s="103"/>
      <c r="IP2105" s="103"/>
      <c r="IQ2105" s="103"/>
      <c r="IR2105" s="103"/>
      <c r="IS2105" s="103"/>
      <c r="IT2105" s="103"/>
      <c r="IU2105" s="103"/>
      <c r="IV2105" s="103"/>
      <c r="IW2105" s="103"/>
    </row>
    <row r="2106" customFormat="false" ht="17.6" hidden="false" customHeight="false" outlineLevel="0" collapsed="false">
      <c r="A2106" s="89" t="s">
        <v>2348</v>
      </c>
      <c r="B2106" s="90" t="s">
        <v>2298</v>
      </c>
      <c r="C2106" s="90" t="n">
        <f aca="false">ROUND(E2106*G2106,)</f>
        <v>5203</v>
      </c>
      <c r="D2106" s="103" t="s">
        <v>1420</v>
      </c>
      <c r="E2106" s="103" t="n">
        <v>5781</v>
      </c>
      <c r="F2106" s="103"/>
      <c r="G2106" s="103" t="n">
        <v>0.9</v>
      </c>
      <c r="H2106" s="103"/>
      <c r="I2106" s="103"/>
      <c r="J2106" s="103"/>
      <c r="K2106" s="103"/>
      <c r="L2106" s="103"/>
      <c r="M2106" s="103"/>
      <c r="N2106" s="103"/>
      <c r="O2106" s="104"/>
      <c r="P2106" s="103"/>
      <c r="Q2106" s="103"/>
      <c r="R2106" s="103"/>
      <c r="S2106" s="103"/>
      <c r="T2106" s="103"/>
      <c r="U2106" s="103"/>
      <c r="V2106" s="103"/>
      <c r="W2106" s="103"/>
      <c r="X2106" s="103"/>
      <c r="Y2106" s="103"/>
      <c r="Z2106" s="103"/>
      <c r="AA2106" s="103"/>
      <c r="AB2106" s="103"/>
      <c r="AC2106" s="103"/>
      <c r="AD2106" s="103"/>
      <c r="AE2106" s="103"/>
      <c r="AF2106" s="103"/>
      <c r="AG2106" s="103"/>
      <c r="AH2106" s="103"/>
      <c r="AI2106" s="103"/>
      <c r="AJ2106" s="103"/>
      <c r="AK2106" s="103"/>
      <c r="AL2106" s="103"/>
      <c r="AM2106" s="103"/>
      <c r="AN2106" s="103"/>
      <c r="AO2106" s="103"/>
      <c r="AP2106" s="103"/>
      <c r="AQ2106" s="103"/>
      <c r="AR2106" s="103"/>
      <c r="AS2106" s="103"/>
      <c r="AT2106" s="103"/>
      <c r="AU2106" s="103"/>
      <c r="AV2106" s="103"/>
      <c r="AW2106" s="103"/>
      <c r="AX2106" s="103"/>
      <c r="AY2106" s="103"/>
      <c r="AZ2106" s="103"/>
      <c r="BA2106" s="103"/>
      <c r="BB2106" s="103"/>
      <c r="BC2106" s="103"/>
      <c r="BD2106" s="103"/>
      <c r="BE2106" s="103"/>
      <c r="BF2106" s="103"/>
      <c r="BG2106" s="103"/>
      <c r="BH2106" s="103"/>
      <c r="BI2106" s="103"/>
      <c r="BJ2106" s="103"/>
      <c r="BK2106" s="103"/>
      <c r="BL2106" s="103"/>
      <c r="BM2106" s="103"/>
      <c r="BN2106" s="103"/>
      <c r="BO2106" s="103"/>
      <c r="BP2106" s="103"/>
      <c r="BQ2106" s="103"/>
      <c r="BR2106" s="103"/>
      <c r="BS2106" s="103"/>
      <c r="BT2106" s="103"/>
      <c r="BU2106" s="103"/>
      <c r="BV2106" s="103"/>
      <c r="BW2106" s="103"/>
      <c r="BX2106" s="103"/>
      <c r="BY2106" s="103"/>
      <c r="BZ2106" s="103"/>
      <c r="CA2106" s="103"/>
      <c r="CB2106" s="103"/>
      <c r="CC2106" s="103"/>
      <c r="CD2106" s="103"/>
      <c r="CE2106" s="103"/>
      <c r="CF2106" s="103"/>
      <c r="CG2106" s="103"/>
      <c r="CH2106" s="103"/>
      <c r="CI2106" s="103"/>
      <c r="CJ2106" s="103"/>
      <c r="CK2106" s="103"/>
      <c r="CL2106" s="103"/>
      <c r="CM2106" s="103"/>
      <c r="CN2106" s="103"/>
      <c r="CO2106" s="103"/>
      <c r="CP2106" s="103"/>
      <c r="CQ2106" s="103"/>
      <c r="CR2106" s="103"/>
      <c r="CS2106" s="103"/>
      <c r="CT2106" s="103"/>
      <c r="CU2106" s="103"/>
      <c r="CV2106" s="103"/>
      <c r="CW2106" s="103"/>
      <c r="CX2106" s="103"/>
      <c r="CY2106" s="103"/>
      <c r="CZ2106" s="103"/>
      <c r="DA2106" s="103"/>
      <c r="DB2106" s="103"/>
      <c r="DC2106" s="103"/>
      <c r="DD2106" s="103"/>
      <c r="DE2106" s="103"/>
      <c r="DF2106" s="103"/>
      <c r="DG2106" s="103"/>
      <c r="DH2106" s="103"/>
      <c r="DI2106" s="103"/>
      <c r="DJ2106" s="103"/>
      <c r="DK2106" s="103"/>
      <c r="DL2106" s="103"/>
      <c r="DM2106" s="103"/>
      <c r="DN2106" s="103"/>
      <c r="DO2106" s="103"/>
      <c r="DP2106" s="103"/>
      <c r="DQ2106" s="103"/>
      <c r="DR2106" s="103"/>
      <c r="DS2106" s="103"/>
      <c r="DT2106" s="103"/>
      <c r="DU2106" s="103"/>
      <c r="DV2106" s="103"/>
      <c r="DW2106" s="103"/>
      <c r="DX2106" s="103"/>
      <c r="DY2106" s="103"/>
      <c r="DZ2106" s="103"/>
      <c r="EA2106" s="103"/>
      <c r="EB2106" s="103"/>
      <c r="EC2106" s="103"/>
      <c r="ED2106" s="103"/>
      <c r="EE2106" s="103"/>
      <c r="EF2106" s="103"/>
      <c r="EG2106" s="103"/>
      <c r="EH2106" s="103"/>
      <c r="EI2106" s="103"/>
      <c r="EJ2106" s="103"/>
      <c r="EK2106" s="103"/>
      <c r="EL2106" s="103"/>
      <c r="EM2106" s="103"/>
      <c r="EN2106" s="103"/>
      <c r="EO2106" s="103"/>
      <c r="EP2106" s="103"/>
      <c r="EQ2106" s="103"/>
      <c r="ER2106" s="103"/>
      <c r="ES2106" s="103"/>
      <c r="ET2106" s="103"/>
      <c r="EU2106" s="103"/>
      <c r="EV2106" s="103"/>
      <c r="EW2106" s="103"/>
      <c r="EX2106" s="103"/>
      <c r="EY2106" s="103"/>
      <c r="EZ2106" s="103"/>
      <c r="FA2106" s="103"/>
      <c r="FB2106" s="103"/>
      <c r="FC2106" s="103"/>
      <c r="FD2106" s="103"/>
      <c r="FE2106" s="103"/>
      <c r="FF2106" s="103"/>
      <c r="FG2106" s="103"/>
      <c r="FH2106" s="103"/>
      <c r="FI2106" s="103"/>
      <c r="FJ2106" s="103"/>
      <c r="FK2106" s="103"/>
      <c r="FL2106" s="103"/>
      <c r="FM2106" s="103"/>
      <c r="FN2106" s="103"/>
      <c r="FO2106" s="103"/>
      <c r="FP2106" s="103"/>
      <c r="FQ2106" s="103"/>
      <c r="FR2106" s="103"/>
      <c r="FS2106" s="103"/>
      <c r="FT2106" s="103"/>
      <c r="FU2106" s="103"/>
      <c r="FV2106" s="103"/>
      <c r="FW2106" s="103"/>
      <c r="FX2106" s="103"/>
      <c r="FY2106" s="103"/>
      <c r="FZ2106" s="103"/>
      <c r="GA2106" s="103"/>
      <c r="GB2106" s="103"/>
      <c r="GC2106" s="103"/>
      <c r="GD2106" s="103"/>
      <c r="GE2106" s="103"/>
      <c r="GF2106" s="103"/>
      <c r="GG2106" s="103"/>
      <c r="GH2106" s="103"/>
      <c r="GI2106" s="103"/>
      <c r="GJ2106" s="103"/>
      <c r="GK2106" s="103"/>
      <c r="GL2106" s="103"/>
      <c r="GM2106" s="103"/>
      <c r="GN2106" s="103"/>
      <c r="GO2106" s="103"/>
      <c r="GP2106" s="103"/>
      <c r="GQ2106" s="103"/>
      <c r="GR2106" s="103"/>
      <c r="GS2106" s="103"/>
      <c r="GT2106" s="103"/>
      <c r="GU2106" s="103"/>
      <c r="GV2106" s="103"/>
      <c r="GW2106" s="103"/>
      <c r="GX2106" s="103"/>
      <c r="GY2106" s="103"/>
      <c r="GZ2106" s="103"/>
      <c r="HA2106" s="103"/>
      <c r="HB2106" s="103"/>
      <c r="HC2106" s="103"/>
      <c r="HD2106" s="103"/>
      <c r="HE2106" s="103"/>
      <c r="HF2106" s="103"/>
      <c r="HG2106" s="103"/>
      <c r="HH2106" s="103"/>
      <c r="HI2106" s="103"/>
      <c r="HJ2106" s="103"/>
      <c r="HK2106" s="103"/>
      <c r="HL2106" s="103"/>
      <c r="HM2106" s="103"/>
      <c r="HN2106" s="103"/>
      <c r="HO2106" s="103"/>
      <c r="HP2106" s="103"/>
      <c r="HQ2106" s="103"/>
      <c r="HR2106" s="103"/>
      <c r="HS2106" s="103"/>
      <c r="HT2106" s="103"/>
      <c r="HU2106" s="103"/>
      <c r="HV2106" s="103"/>
      <c r="HW2106" s="103"/>
      <c r="HX2106" s="103"/>
      <c r="HY2106" s="103"/>
      <c r="HZ2106" s="103"/>
      <c r="IA2106" s="103"/>
      <c r="IB2106" s="103"/>
      <c r="IC2106" s="103"/>
      <c r="ID2106" s="103"/>
      <c r="IE2106" s="103"/>
      <c r="IF2106" s="103"/>
      <c r="IG2106" s="103"/>
      <c r="IH2106" s="103"/>
      <c r="II2106" s="103"/>
      <c r="IJ2106" s="103"/>
      <c r="IK2106" s="103"/>
      <c r="IL2106" s="103"/>
      <c r="IM2106" s="103"/>
      <c r="IN2106" s="103"/>
      <c r="IO2106" s="103"/>
      <c r="IP2106" s="103"/>
      <c r="IQ2106" s="103"/>
      <c r="IR2106" s="103"/>
      <c r="IS2106" s="103"/>
      <c r="IT2106" s="103"/>
      <c r="IU2106" s="103"/>
      <c r="IV2106" s="103"/>
      <c r="IW2106" s="103"/>
    </row>
    <row r="2107" customFormat="false" ht="17.6" hidden="false" customHeight="false" outlineLevel="0" collapsed="false">
      <c r="A2107" s="89" t="s">
        <v>2349</v>
      </c>
      <c r="B2107" s="90" t="s">
        <v>2298</v>
      </c>
      <c r="C2107" s="90" t="n">
        <f aca="false">ROUND(E2107*G2107,)</f>
        <v>5501</v>
      </c>
      <c r="D2107" s="103" t="s">
        <v>1420</v>
      </c>
      <c r="E2107" s="103" t="n">
        <v>5501</v>
      </c>
      <c r="F2107" s="103"/>
      <c r="G2107" s="103" t="n">
        <v>1</v>
      </c>
      <c r="H2107" s="103"/>
      <c r="I2107" s="103"/>
      <c r="J2107" s="103"/>
      <c r="K2107" s="103"/>
      <c r="L2107" s="103"/>
      <c r="M2107" s="103"/>
      <c r="N2107" s="103"/>
      <c r="O2107" s="104"/>
      <c r="P2107" s="103"/>
      <c r="Q2107" s="103"/>
      <c r="R2107" s="103"/>
      <c r="S2107" s="103"/>
      <c r="T2107" s="103"/>
      <c r="U2107" s="103"/>
      <c r="V2107" s="103"/>
      <c r="W2107" s="103"/>
      <c r="X2107" s="103"/>
      <c r="Y2107" s="103"/>
      <c r="Z2107" s="103"/>
      <c r="AA2107" s="103"/>
      <c r="AB2107" s="103"/>
      <c r="AC2107" s="103"/>
      <c r="AD2107" s="103"/>
      <c r="AE2107" s="103"/>
      <c r="AF2107" s="103"/>
      <c r="AG2107" s="103"/>
      <c r="AH2107" s="103"/>
      <c r="AI2107" s="103"/>
      <c r="AJ2107" s="103"/>
      <c r="AK2107" s="103"/>
      <c r="AL2107" s="103"/>
      <c r="AM2107" s="103"/>
      <c r="AN2107" s="103"/>
      <c r="AO2107" s="103"/>
      <c r="AP2107" s="103"/>
      <c r="AQ2107" s="103"/>
      <c r="AR2107" s="103"/>
      <c r="AS2107" s="103"/>
      <c r="AT2107" s="103"/>
      <c r="AU2107" s="103"/>
      <c r="AV2107" s="103"/>
      <c r="AW2107" s="103"/>
      <c r="AX2107" s="103"/>
      <c r="AY2107" s="103"/>
      <c r="AZ2107" s="103"/>
      <c r="BA2107" s="103"/>
      <c r="BB2107" s="103"/>
      <c r="BC2107" s="103"/>
      <c r="BD2107" s="103"/>
      <c r="BE2107" s="103"/>
      <c r="BF2107" s="103"/>
      <c r="BG2107" s="103"/>
      <c r="BH2107" s="103"/>
      <c r="BI2107" s="103"/>
      <c r="BJ2107" s="103"/>
      <c r="BK2107" s="103"/>
      <c r="BL2107" s="103"/>
      <c r="BM2107" s="103"/>
      <c r="BN2107" s="103"/>
      <c r="BO2107" s="103"/>
      <c r="BP2107" s="103"/>
      <c r="BQ2107" s="103"/>
      <c r="BR2107" s="103"/>
      <c r="BS2107" s="103"/>
      <c r="BT2107" s="103"/>
      <c r="BU2107" s="103"/>
      <c r="BV2107" s="103"/>
      <c r="BW2107" s="103"/>
      <c r="BX2107" s="103"/>
      <c r="BY2107" s="103"/>
      <c r="BZ2107" s="103"/>
      <c r="CA2107" s="103"/>
      <c r="CB2107" s="103"/>
      <c r="CC2107" s="103"/>
      <c r="CD2107" s="103"/>
      <c r="CE2107" s="103"/>
      <c r="CF2107" s="103"/>
      <c r="CG2107" s="103"/>
      <c r="CH2107" s="103"/>
      <c r="CI2107" s="103"/>
      <c r="CJ2107" s="103"/>
      <c r="CK2107" s="103"/>
      <c r="CL2107" s="103"/>
      <c r="CM2107" s="103"/>
      <c r="CN2107" s="103"/>
      <c r="CO2107" s="103"/>
      <c r="CP2107" s="103"/>
      <c r="CQ2107" s="103"/>
      <c r="CR2107" s="103"/>
      <c r="CS2107" s="103"/>
      <c r="CT2107" s="103"/>
      <c r="CU2107" s="103"/>
      <c r="CV2107" s="103"/>
      <c r="CW2107" s="103"/>
      <c r="CX2107" s="103"/>
      <c r="CY2107" s="103"/>
      <c r="CZ2107" s="103"/>
      <c r="DA2107" s="103"/>
      <c r="DB2107" s="103"/>
      <c r="DC2107" s="103"/>
      <c r="DD2107" s="103"/>
      <c r="DE2107" s="103"/>
      <c r="DF2107" s="103"/>
      <c r="DG2107" s="103"/>
      <c r="DH2107" s="103"/>
      <c r="DI2107" s="103"/>
      <c r="DJ2107" s="103"/>
      <c r="DK2107" s="103"/>
      <c r="DL2107" s="103"/>
      <c r="DM2107" s="103"/>
      <c r="DN2107" s="103"/>
      <c r="DO2107" s="103"/>
      <c r="DP2107" s="103"/>
      <c r="DQ2107" s="103"/>
      <c r="DR2107" s="103"/>
      <c r="DS2107" s="103"/>
      <c r="DT2107" s="103"/>
      <c r="DU2107" s="103"/>
      <c r="DV2107" s="103"/>
      <c r="DW2107" s="103"/>
      <c r="DX2107" s="103"/>
      <c r="DY2107" s="103"/>
      <c r="DZ2107" s="103"/>
      <c r="EA2107" s="103"/>
      <c r="EB2107" s="103"/>
      <c r="EC2107" s="103"/>
      <c r="ED2107" s="103"/>
      <c r="EE2107" s="103"/>
      <c r="EF2107" s="103"/>
      <c r="EG2107" s="103"/>
      <c r="EH2107" s="103"/>
      <c r="EI2107" s="103"/>
      <c r="EJ2107" s="103"/>
      <c r="EK2107" s="103"/>
      <c r="EL2107" s="103"/>
      <c r="EM2107" s="103"/>
      <c r="EN2107" s="103"/>
      <c r="EO2107" s="103"/>
      <c r="EP2107" s="103"/>
      <c r="EQ2107" s="103"/>
      <c r="ER2107" s="103"/>
      <c r="ES2107" s="103"/>
      <c r="ET2107" s="103"/>
      <c r="EU2107" s="103"/>
      <c r="EV2107" s="103"/>
      <c r="EW2107" s="103"/>
      <c r="EX2107" s="103"/>
      <c r="EY2107" s="103"/>
      <c r="EZ2107" s="103"/>
      <c r="FA2107" s="103"/>
      <c r="FB2107" s="103"/>
      <c r="FC2107" s="103"/>
      <c r="FD2107" s="103"/>
      <c r="FE2107" s="103"/>
      <c r="FF2107" s="103"/>
      <c r="FG2107" s="103"/>
      <c r="FH2107" s="103"/>
      <c r="FI2107" s="103"/>
      <c r="FJ2107" s="103"/>
      <c r="FK2107" s="103"/>
      <c r="FL2107" s="103"/>
      <c r="FM2107" s="103"/>
      <c r="FN2107" s="103"/>
      <c r="FO2107" s="103"/>
      <c r="FP2107" s="103"/>
      <c r="FQ2107" s="103"/>
      <c r="FR2107" s="103"/>
      <c r="FS2107" s="103"/>
      <c r="FT2107" s="103"/>
      <c r="FU2107" s="103"/>
      <c r="FV2107" s="103"/>
      <c r="FW2107" s="103"/>
      <c r="FX2107" s="103"/>
      <c r="FY2107" s="103"/>
      <c r="FZ2107" s="103"/>
      <c r="GA2107" s="103"/>
      <c r="GB2107" s="103"/>
      <c r="GC2107" s="103"/>
      <c r="GD2107" s="103"/>
      <c r="GE2107" s="103"/>
      <c r="GF2107" s="103"/>
      <c r="GG2107" s="103"/>
      <c r="GH2107" s="103"/>
      <c r="GI2107" s="103"/>
      <c r="GJ2107" s="103"/>
      <c r="GK2107" s="103"/>
      <c r="GL2107" s="103"/>
      <c r="GM2107" s="103"/>
      <c r="GN2107" s="103"/>
      <c r="GO2107" s="103"/>
      <c r="GP2107" s="103"/>
      <c r="GQ2107" s="103"/>
      <c r="GR2107" s="103"/>
      <c r="GS2107" s="103"/>
      <c r="GT2107" s="103"/>
      <c r="GU2107" s="103"/>
      <c r="GV2107" s="103"/>
      <c r="GW2107" s="103"/>
      <c r="GX2107" s="103"/>
      <c r="GY2107" s="103"/>
      <c r="GZ2107" s="103"/>
      <c r="HA2107" s="103"/>
      <c r="HB2107" s="103"/>
      <c r="HC2107" s="103"/>
      <c r="HD2107" s="103"/>
      <c r="HE2107" s="103"/>
      <c r="HF2107" s="103"/>
      <c r="HG2107" s="103"/>
      <c r="HH2107" s="103"/>
      <c r="HI2107" s="103"/>
      <c r="HJ2107" s="103"/>
      <c r="HK2107" s="103"/>
      <c r="HL2107" s="103"/>
      <c r="HM2107" s="103"/>
      <c r="HN2107" s="103"/>
      <c r="HO2107" s="103"/>
      <c r="HP2107" s="103"/>
      <c r="HQ2107" s="103"/>
      <c r="HR2107" s="103"/>
      <c r="HS2107" s="103"/>
      <c r="HT2107" s="103"/>
      <c r="HU2107" s="103"/>
      <c r="HV2107" s="103"/>
      <c r="HW2107" s="103"/>
      <c r="HX2107" s="103"/>
      <c r="HY2107" s="103"/>
      <c r="HZ2107" s="103"/>
      <c r="IA2107" s="103"/>
      <c r="IB2107" s="103"/>
      <c r="IC2107" s="103"/>
      <c r="ID2107" s="103"/>
      <c r="IE2107" s="103"/>
      <c r="IF2107" s="103"/>
      <c r="IG2107" s="103"/>
      <c r="IH2107" s="103"/>
      <c r="II2107" s="103"/>
      <c r="IJ2107" s="103"/>
      <c r="IK2107" s="103"/>
      <c r="IL2107" s="103"/>
      <c r="IM2107" s="103"/>
      <c r="IN2107" s="103"/>
      <c r="IO2107" s="103"/>
      <c r="IP2107" s="103"/>
      <c r="IQ2107" s="103"/>
      <c r="IR2107" s="103"/>
      <c r="IS2107" s="103"/>
      <c r="IT2107" s="103"/>
      <c r="IU2107" s="103"/>
      <c r="IV2107" s="103"/>
      <c r="IW2107" s="103"/>
    </row>
    <row r="2108" customFormat="false" ht="17.6" hidden="false" customHeight="false" outlineLevel="0" collapsed="false">
      <c r="A2108" s="89" t="s">
        <v>2350</v>
      </c>
      <c r="B2108" s="90" t="s">
        <v>2298</v>
      </c>
      <c r="C2108" s="90" t="n">
        <f aca="false">ROUND(E2108*G2108,)</f>
        <v>5758</v>
      </c>
      <c r="D2108" s="103" t="s">
        <v>1420</v>
      </c>
      <c r="E2108" s="103" t="n">
        <v>5758</v>
      </c>
      <c r="F2108" s="103"/>
      <c r="G2108" s="103" t="n">
        <v>1</v>
      </c>
      <c r="H2108" s="103"/>
      <c r="I2108" s="103"/>
      <c r="J2108" s="103"/>
      <c r="K2108" s="103"/>
      <c r="L2108" s="103"/>
      <c r="M2108" s="103"/>
      <c r="N2108" s="103"/>
      <c r="O2108" s="104"/>
      <c r="P2108" s="103"/>
      <c r="Q2108" s="103"/>
      <c r="R2108" s="103"/>
      <c r="S2108" s="103"/>
      <c r="T2108" s="103"/>
      <c r="U2108" s="103"/>
      <c r="V2108" s="103"/>
      <c r="W2108" s="103"/>
      <c r="X2108" s="103"/>
      <c r="Y2108" s="103"/>
      <c r="Z2108" s="103"/>
      <c r="AA2108" s="103"/>
      <c r="AB2108" s="103"/>
      <c r="AC2108" s="103"/>
      <c r="AD2108" s="103"/>
      <c r="AE2108" s="103"/>
      <c r="AF2108" s="103"/>
      <c r="AG2108" s="103"/>
      <c r="AH2108" s="103"/>
      <c r="AI2108" s="103"/>
      <c r="AJ2108" s="103"/>
      <c r="AK2108" s="103"/>
      <c r="AL2108" s="103"/>
      <c r="AM2108" s="103"/>
      <c r="AN2108" s="103"/>
      <c r="AO2108" s="103"/>
      <c r="AP2108" s="103"/>
      <c r="AQ2108" s="103"/>
      <c r="AR2108" s="103"/>
      <c r="AS2108" s="103"/>
      <c r="AT2108" s="103"/>
      <c r="AU2108" s="103"/>
      <c r="AV2108" s="103"/>
      <c r="AW2108" s="103"/>
      <c r="AX2108" s="103"/>
      <c r="AY2108" s="103"/>
      <c r="AZ2108" s="103"/>
      <c r="BA2108" s="103"/>
      <c r="BB2108" s="103"/>
      <c r="BC2108" s="103"/>
      <c r="BD2108" s="103"/>
      <c r="BE2108" s="103"/>
      <c r="BF2108" s="103"/>
      <c r="BG2108" s="103"/>
      <c r="BH2108" s="103"/>
      <c r="BI2108" s="103"/>
      <c r="BJ2108" s="103"/>
      <c r="BK2108" s="103"/>
      <c r="BL2108" s="103"/>
      <c r="BM2108" s="103"/>
      <c r="BN2108" s="103"/>
      <c r="BO2108" s="103"/>
      <c r="BP2108" s="103"/>
      <c r="BQ2108" s="103"/>
      <c r="BR2108" s="103"/>
      <c r="BS2108" s="103"/>
      <c r="BT2108" s="103"/>
      <c r="BU2108" s="103"/>
      <c r="BV2108" s="103"/>
      <c r="BW2108" s="103"/>
      <c r="BX2108" s="103"/>
      <c r="BY2108" s="103"/>
      <c r="BZ2108" s="103"/>
      <c r="CA2108" s="103"/>
      <c r="CB2108" s="103"/>
      <c r="CC2108" s="103"/>
      <c r="CD2108" s="103"/>
      <c r="CE2108" s="103"/>
      <c r="CF2108" s="103"/>
      <c r="CG2108" s="103"/>
      <c r="CH2108" s="103"/>
      <c r="CI2108" s="103"/>
      <c r="CJ2108" s="103"/>
      <c r="CK2108" s="103"/>
      <c r="CL2108" s="103"/>
      <c r="CM2108" s="103"/>
      <c r="CN2108" s="103"/>
      <c r="CO2108" s="103"/>
      <c r="CP2108" s="103"/>
      <c r="CQ2108" s="103"/>
      <c r="CR2108" s="103"/>
      <c r="CS2108" s="103"/>
      <c r="CT2108" s="103"/>
      <c r="CU2108" s="103"/>
      <c r="CV2108" s="103"/>
      <c r="CW2108" s="103"/>
      <c r="CX2108" s="103"/>
      <c r="CY2108" s="103"/>
      <c r="CZ2108" s="103"/>
      <c r="DA2108" s="103"/>
      <c r="DB2108" s="103"/>
      <c r="DC2108" s="103"/>
      <c r="DD2108" s="103"/>
      <c r="DE2108" s="103"/>
      <c r="DF2108" s="103"/>
      <c r="DG2108" s="103"/>
      <c r="DH2108" s="103"/>
      <c r="DI2108" s="103"/>
      <c r="DJ2108" s="103"/>
      <c r="DK2108" s="103"/>
      <c r="DL2108" s="103"/>
      <c r="DM2108" s="103"/>
      <c r="DN2108" s="103"/>
      <c r="DO2108" s="103"/>
      <c r="DP2108" s="103"/>
      <c r="DQ2108" s="103"/>
      <c r="DR2108" s="103"/>
      <c r="DS2108" s="103"/>
      <c r="DT2108" s="103"/>
      <c r="DU2108" s="103"/>
      <c r="DV2108" s="103"/>
      <c r="DW2108" s="103"/>
      <c r="DX2108" s="103"/>
      <c r="DY2108" s="103"/>
      <c r="DZ2108" s="103"/>
      <c r="EA2108" s="103"/>
      <c r="EB2108" s="103"/>
      <c r="EC2108" s="103"/>
      <c r="ED2108" s="103"/>
      <c r="EE2108" s="103"/>
      <c r="EF2108" s="103"/>
      <c r="EG2108" s="103"/>
      <c r="EH2108" s="103"/>
      <c r="EI2108" s="103"/>
      <c r="EJ2108" s="103"/>
      <c r="EK2108" s="103"/>
      <c r="EL2108" s="103"/>
      <c r="EM2108" s="103"/>
      <c r="EN2108" s="103"/>
      <c r="EO2108" s="103"/>
      <c r="EP2108" s="103"/>
      <c r="EQ2108" s="103"/>
      <c r="ER2108" s="103"/>
      <c r="ES2108" s="103"/>
      <c r="ET2108" s="103"/>
      <c r="EU2108" s="103"/>
      <c r="EV2108" s="103"/>
      <c r="EW2108" s="103"/>
      <c r="EX2108" s="103"/>
      <c r="EY2108" s="103"/>
      <c r="EZ2108" s="103"/>
      <c r="FA2108" s="103"/>
      <c r="FB2108" s="103"/>
      <c r="FC2108" s="103"/>
      <c r="FD2108" s="103"/>
      <c r="FE2108" s="103"/>
      <c r="FF2108" s="103"/>
      <c r="FG2108" s="103"/>
      <c r="FH2108" s="103"/>
      <c r="FI2108" s="103"/>
      <c r="FJ2108" s="103"/>
      <c r="FK2108" s="103"/>
      <c r="FL2108" s="103"/>
      <c r="FM2108" s="103"/>
      <c r="FN2108" s="103"/>
      <c r="FO2108" s="103"/>
      <c r="FP2108" s="103"/>
      <c r="FQ2108" s="103"/>
      <c r="FR2108" s="103"/>
      <c r="FS2108" s="103"/>
      <c r="FT2108" s="103"/>
      <c r="FU2108" s="103"/>
      <c r="FV2108" s="103"/>
      <c r="FW2108" s="103"/>
      <c r="FX2108" s="103"/>
      <c r="FY2108" s="103"/>
      <c r="FZ2108" s="103"/>
      <c r="GA2108" s="103"/>
      <c r="GB2108" s="103"/>
      <c r="GC2108" s="103"/>
      <c r="GD2108" s="103"/>
      <c r="GE2108" s="103"/>
      <c r="GF2108" s="103"/>
      <c r="GG2108" s="103"/>
      <c r="GH2108" s="103"/>
      <c r="GI2108" s="103"/>
      <c r="GJ2108" s="103"/>
      <c r="GK2108" s="103"/>
      <c r="GL2108" s="103"/>
      <c r="GM2108" s="103"/>
      <c r="GN2108" s="103"/>
      <c r="GO2108" s="103"/>
      <c r="GP2108" s="103"/>
      <c r="GQ2108" s="103"/>
      <c r="GR2108" s="103"/>
      <c r="GS2108" s="103"/>
      <c r="GT2108" s="103"/>
      <c r="GU2108" s="103"/>
      <c r="GV2108" s="103"/>
      <c r="GW2108" s="103"/>
      <c r="GX2108" s="103"/>
      <c r="GY2108" s="103"/>
      <c r="GZ2108" s="103"/>
      <c r="HA2108" s="103"/>
      <c r="HB2108" s="103"/>
      <c r="HC2108" s="103"/>
      <c r="HD2108" s="103"/>
      <c r="HE2108" s="103"/>
      <c r="HF2108" s="103"/>
      <c r="HG2108" s="103"/>
      <c r="HH2108" s="103"/>
      <c r="HI2108" s="103"/>
      <c r="HJ2108" s="103"/>
      <c r="HK2108" s="103"/>
      <c r="HL2108" s="103"/>
      <c r="HM2108" s="103"/>
      <c r="HN2108" s="103"/>
      <c r="HO2108" s="103"/>
      <c r="HP2108" s="103"/>
      <c r="HQ2108" s="103"/>
      <c r="HR2108" s="103"/>
      <c r="HS2108" s="103"/>
      <c r="HT2108" s="103"/>
      <c r="HU2108" s="103"/>
      <c r="HV2108" s="103"/>
      <c r="HW2108" s="103"/>
      <c r="HX2108" s="103"/>
      <c r="HY2108" s="103"/>
      <c r="HZ2108" s="103"/>
      <c r="IA2108" s="103"/>
      <c r="IB2108" s="103"/>
      <c r="IC2108" s="103"/>
      <c r="ID2108" s="103"/>
      <c r="IE2108" s="103"/>
      <c r="IF2108" s="103"/>
      <c r="IG2108" s="103"/>
      <c r="IH2108" s="103"/>
      <c r="II2108" s="103"/>
      <c r="IJ2108" s="103"/>
      <c r="IK2108" s="103"/>
      <c r="IL2108" s="103"/>
      <c r="IM2108" s="103"/>
      <c r="IN2108" s="103"/>
      <c r="IO2108" s="103"/>
      <c r="IP2108" s="103"/>
      <c r="IQ2108" s="103"/>
      <c r="IR2108" s="103"/>
      <c r="IS2108" s="103"/>
      <c r="IT2108" s="103"/>
      <c r="IU2108" s="103"/>
      <c r="IV2108" s="103"/>
      <c r="IW2108" s="103"/>
    </row>
    <row r="2109" customFormat="false" ht="17.6" hidden="false" customHeight="false" outlineLevel="0" collapsed="false">
      <c r="A2109" s="89" t="s">
        <v>2351</v>
      </c>
      <c r="B2109" s="90" t="s">
        <v>2298</v>
      </c>
      <c r="C2109" s="90" t="n">
        <f aca="false">ROUND(E2109*G2109,)</f>
        <v>5000</v>
      </c>
      <c r="D2109" s="103" t="s">
        <v>1420</v>
      </c>
      <c r="E2109" s="103" t="n">
        <v>5556</v>
      </c>
      <c r="F2109" s="103"/>
      <c r="G2109" s="103" t="n">
        <v>0.9</v>
      </c>
      <c r="H2109" s="103"/>
      <c r="I2109" s="103"/>
      <c r="J2109" s="103"/>
      <c r="K2109" s="103"/>
      <c r="L2109" s="103"/>
      <c r="M2109" s="103"/>
      <c r="N2109" s="103"/>
      <c r="O2109" s="104"/>
      <c r="P2109" s="103"/>
      <c r="Q2109" s="103"/>
      <c r="R2109" s="103"/>
      <c r="S2109" s="103"/>
      <c r="T2109" s="103"/>
      <c r="U2109" s="103"/>
      <c r="V2109" s="103"/>
      <c r="W2109" s="103"/>
      <c r="X2109" s="103"/>
      <c r="Y2109" s="103"/>
      <c r="Z2109" s="103"/>
      <c r="AA2109" s="103"/>
      <c r="AB2109" s="103"/>
      <c r="AC2109" s="103"/>
      <c r="AD2109" s="103"/>
      <c r="AE2109" s="103"/>
      <c r="AF2109" s="103"/>
      <c r="AG2109" s="103"/>
      <c r="AH2109" s="103"/>
      <c r="AI2109" s="103"/>
      <c r="AJ2109" s="103"/>
      <c r="AK2109" s="103"/>
      <c r="AL2109" s="103"/>
      <c r="AM2109" s="103"/>
      <c r="AN2109" s="103"/>
      <c r="AO2109" s="103"/>
      <c r="AP2109" s="103"/>
      <c r="AQ2109" s="103"/>
      <c r="AR2109" s="103"/>
      <c r="AS2109" s="103"/>
      <c r="AT2109" s="103"/>
      <c r="AU2109" s="103"/>
      <c r="AV2109" s="103"/>
      <c r="AW2109" s="103"/>
      <c r="AX2109" s="103"/>
      <c r="AY2109" s="103"/>
      <c r="AZ2109" s="103"/>
      <c r="BA2109" s="103"/>
      <c r="BB2109" s="103"/>
      <c r="BC2109" s="103"/>
      <c r="BD2109" s="103"/>
      <c r="BE2109" s="103"/>
      <c r="BF2109" s="103"/>
      <c r="BG2109" s="103"/>
      <c r="BH2109" s="103"/>
      <c r="BI2109" s="103"/>
      <c r="BJ2109" s="103"/>
      <c r="BK2109" s="103"/>
      <c r="BL2109" s="103"/>
      <c r="BM2109" s="103"/>
      <c r="BN2109" s="103"/>
      <c r="BO2109" s="103"/>
      <c r="BP2109" s="103"/>
      <c r="BQ2109" s="103"/>
      <c r="BR2109" s="103"/>
      <c r="BS2109" s="103"/>
      <c r="BT2109" s="103"/>
      <c r="BU2109" s="103"/>
      <c r="BV2109" s="103"/>
      <c r="BW2109" s="103"/>
      <c r="BX2109" s="103"/>
      <c r="BY2109" s="103"/>
      <c r="BZ2109" s="103"/>
      <c r="CA2109" s="103"/>
      <c r="CB2109" s="103"/>
      <c r="CC2109" s="103"/>
      <c r="CD2109" s="103"/>
      <c r="CE2109" s="103"/>
      <c r="CF2109" s="103"/>
      <c r="CG2109" s="103"/>
      <c r="CH2109" s="103"/>
      <c r="CI2109" s="103"/>
      <c r="CJ2109" s="103"/>
      <c r="CK2109" s="103"/>
      <c r="CL2109" s="103"/>
      <c r="CM2109" s="103"/>
      <c r="CN2109" s="103"/>
      <c r="CO2109" s="103"/>
      <c r="CP2109" s="103"/>
      <c r="CQ2109" s="103"/>
      <c r="CR2109" s="103"/>
      <c r="CS2109" s="103"/>
      <c r="CT2109" s="103"/>
      <c r="CU2109" s="103"/>
      <c r="CV2109" s="103"/>
      <c r="CW2109" s="103"/>
      <c r="CX2109" s="103"/>
      <c r="CY2109" s="103"/>
      <c r="CZ2109" s="103"/>
      <c r="DA2109" s="103"/>
      <c r="DB2109" s="103"/>
      <c r="DC2109" s="103"/>
      <c r="DD2109" s="103"/>
      <c r="DE2109" s="103"/>
      <c r="DF2109" s="103"/>
      <c r="DG2109" s="103"/>
      <c r="DH2109" s="103"/>
      <c r="DI2109" s="103"/>
      <c r="DJ2109" s="103"/>
      <c r="DK2109" s="103"/>
      <c r="DL2109" s="103"/>
      <c r="DM2109" s="103"/>
      <c r="DN2109" s="103"/>
      <c r="DO2109" s="103"/>
      <c r="DP2109" s="103"/>
      <c r="DQ2109" s="103"/>
      <c r="DR2109" s="103"/>
      <c r="DS2109" s="103"/>
      <c r="DT2109" s="103"/>
      <c r="DU2109" s="103"/>
      <c r="DV2109" s="103"/>
      <c r="DW2109" s="103"/>
      <c r="DX2109" s="103"/>
      <c r="DY2109" s="103"/>
      <c r="DZ2109" s="103"/>
      <c r="EA2109" s="103"/>
      <c r="EB2109" s="103"/>
      <c r="EC2109" s="103"/>
      <c r="ED2109" s="103"/>
      <c r="EE2109" s="103"/>
      <c r="EF2109" s="103"/>
      <c r="EG2109" s="103"/>
      <c r="EH2109" s="103"/>
      <c r="EI2109" s="103"/>
      <c r="EJ2109" s="103"/>
      <c r="EK2109" s="103"/>
      <c r="EL2109" s="103"/>
      <c r="EM2109" s="103"/>
      <c r="EN2109" s="103"/>
      <c r="EO2109" s="103"/>
      <c r="EP2109" s="103"/>
      <c r="EQ2109" s="103"/>
      <c r="ER2109" s="103"/>
      <c r="ES2109" s="103"/>
      <c r="ET2109" s="103"/>
      <c r="EU2109" s="103"/>
      <c r="EV2109" s="103"/>
      <c r="EW2109" s="103"/>
      <c r="EX2109" s="103"/>
      <c r="EY2109" s="103"/>
      <c r="EZ2109" s="103"/>
      <c r="FA2109" s="103"/>
      <c r="FB2109" s="103"/>
      <c r="FC2109" s="103"/>
      <c r="FD2109" s="103"/>
      <c r="FE2109" s="103"/>
      <c r="FF2109" s="103"/>
      <c r="FG2109" s="103"/>
      <c r="FH2109" s="103"/>
      <c r="FI2109" s="103"/>
      <c r="FJ2109" s="103"/>
      <c r="FK2109" s="103"/>
      <c r="FL2109" s="103"/>
      <c r="FM2109" s="103"/>
      <c r="FN2109" s="103"/>
      <c r="FO2109" s="103"/>
      <c r="FP2109" s="103"/>
      <c r="FQ2109" s="103"/>
      <c r="FR2109" s="103"/>
      <c r="FS2109" s="103"/>
      <c r="FT2109" s="103"/>
      <c r="FU2109" s="103"/>
      <c r="FV2109" s="103"/>
      <c r="FW2109" s="103"/>
      <c r="FX2109" s="103"/>
      <c r="FY2109" s="103"/>
      <c r="FZ2109" s="103"/>
      <c r="GA2109" s="103"/>
      <c r="GB2109" s="103"/>
      <c r="GC2109" s="103"/>
      <c r="GD2109" s="103"/>
      <c r="GE2109" s="103"/>
      <c r="GF2109" s="103"/>
      <c r="GG2109" s="103"/>
      <c r="GH2109" s="103"/>
      <c r="GI2109" s="103"/>
      <c r="GJ2109" s="103"/>
      <c r="GK2109" s="103"/>
      <c r="GL2109" s="103"/>
      <c r="GM2109" s="103"/>
      <c r="GN2109" s="103"/>
      <c r="GO2109" s="103"/>
      <c r="GP2109" s="103"/>
      <c r="GQ2109" s="103"/>
      <c r="GR2109" s="103"/>
      <c r="GS2109" s="103"/>
      <c r="GT2109" s="103"/>
      <c r="GU2109" s="103"/>
      <c r="GV2109" s="103"/>
      <c r="GW2109" s="103"/>
      <c r="GX2109" s="103"/>
      <c r="GY2109" s="103"/>
      <c r="GZ2109" s="103"/>
      <c r="HA2109" s="103"/>
      <c r="HB2109" s="103"/>
      <c r="HC2109" s="103"/>
      <c r="HD2109" s="103"/>
      <c r="HE2109" s="103"/>
      <c r="HF2109" s="103"/>
      <c r="HG2109" s="103"/>
      <c r="HH2109" s="103"/>
      <c r="HI2109" s="103"/>
      <c r="HJ2109" s="103"/>
      <c r="HK2109" s="103"/>
      <c r="HL2109" s="103"/>
      <c r="HM2109" s="103"/>
      <c r="HN2109" s="103"/>
      <c r="HO2109" s="103"/>
      <c r="HP2109" s="103"/>
      <c r="HQ2109" s="103"/>
      <c r="HR2109" s="103"/>
      <c r="HS2109" s="103"/>
      <c r="HT2109" s="103"/>
      <c r="HU2109" s="103"/>
      <c r="HV2109" s="103"/>
      <c r="HW2109" s="103"/>
      <c r="HX2109" s="103"/>
      <c r="HY2109" s="103"/>
      <c r="HZ2109" s="103"/>
      <c r="IA2109" s="103"/>
      <c r="IB2109" s="103"/>
      <c r="IC2109" s="103"/>
      <c r="ID2109" s="103"/>
      <c r="IE2109" s="103"/>
      <c r="IF2109" s="103"/>
      <c r="IG2109" s="103"/>
      <c r="IH2109" s="103"/>
      <c r="II2109" s="103"/>
      <c r="IJ2109" s="103"/>
      <c r="IK2109" s="103"/>
      <c r="IL2109" s="103"/>
      <c r="IM2109" s="103"/>
      <c r="IN2109" s="103"/>
      <c r="IO2109" s="103"/>
      <c r="IP2109" s="103"/>
      <c r="IQ2109" s="103"/>
      <c r="IR2109" s="103"/>
      <c r="IS2109" s="103"/>
      <c r="IT2109" s="103"/>
      <c r="IU2109" s="103"/>
      <c r="IV2109" s="103"/>
      <c r="IW2109" s="103"/>
    </row>
    <row r="2110" customFormat="false" ht="17.6" hidden="false" customHeight="false" outlineLevel="0" collapsed="false">
      <c r="A2110" s="89" t="s">
        <v>2352</v>
      </c>
      <c r="B2110" s="90" t="s">
        <v>2298</v>
      </c>
      <c r="C2110" s="90" t="n">
        <f aca="false">ROUND(E2110*G2110,)</f>
        <v>5284</v>
      </c>
      <c r="D2110" s="103" t="s">
        <v>1420</v>
      </c>
      <c r="E2110" s="103" t="n">
        <v>5871</v>
      </c>
      <c r="F2110" s="103"/>
      <c r="G2110" s="103" t="n">
        <v>0.9</v>
      </c>
      <c r="H2110" s="103"/>
      <c r="I2110" s="103"/>
      <c r="J2110" s="103"/>
      <c r="K2110" s="103"/>
      <c r="L2110" s="103"/>
      <c r="M2110" s="103"/>
      <c r="N2110" s="103"/>
      <c r="O2110" s="104"/>
      <c r="P2110" s="103"/>
      <c r="Q2110" s="103"/>
      <c r="R2110" s="103"/>
      <c r="S2110" s="103"/>
      <c r="T2110" s="103"/>
      <c r="U2110" s="103"/>
      <c r="V2110" s="103"/>
      <c r="W2110" s="103"/>
      <c r="X2110" s="103"/>
      <c r="Y2110" s="103"/>
      <c r="Z2110" s="103"/>
      <c r="AA2110" s="103"/>
      <c r="AB2110" s="103"/>
      <c r="AC2110" s="103"/>
      <c r="AD2110" s="103"/>
      <c r="AE2110" s="103"/>
      <c r="AF2110" s="103"/>
      <c r="AG2110" s="103"/>
      <c r="AH2110" s="103"/>
      <c r="AI2110" s="103"/>
      <c r="AJ2110" s="103"/>
      <c r="AK2110" s="103"/>
      <c r="AL2110" s="103"/>
      <c r="AM2110" s="103"/>
      <c r="AN2110" s="103"/>
      <c r="AO2110" s="103"/>
      <c r="AP2110" s="103"/>
      <c r="AQ2110" s="103"/>
      <c r="AR2110" s="103"/>
      <c r="AS2110" s="103"/>
      <c r="AT2110" s="103"/>
      <c r="AU2110" s="103"/>
      <c r="AV2110" s="103"/>
      <c r="AW2110" s="103"/>
      <c r="AX2110" s="103"/>
      <c r="AY2110" s="103"/>
      <c r="AZ2110" s="103"/>
      <c r="BA2110" s="103"/>
      <c r="BB2110" s="103"/>
      <c r="BC2110" s="103"/>
      <c r="BD2110" s="103"/>
      <c r="BE2110" s="103"/>
      <c r="BF2110" s="103"/>
      <c r="BG2110" s="103"/>
      <c r="BH2110" s="103"/>
      <c r="BI2110" s="103"/>
      <c r="BJ2110" s="103"/>
      <c r="BK2110" s="103"/>
      <c r="BL2110" s="103"/>
      <c r="BM2110" s="103"/>
      <c r="BN2110" s="103"/>
      <c r="BO2110" s="103"/>
      <c r="BP2110" s="103"/>
      <c r="BQ2110" s="103"/>
      <c r="BR2110" s="103"/>
      <c r="BS2110" s="103"/>
      <c r="BT2110" s="103"/>
      <c r="BU2110" s="103"/>
      <c r="BV2110" s="103"/>
      <c r="BW2110" s="103"/>
      <c r="BX2110" s="103"/>
      <c r="BY2110" s="103"/>
      <c r="BZ2110" s="103"/>
      <c r="CA2110" s="103"/>
      <c r="CB2110" s="103"/>
      <c r="CC2110" s="103"/>
      <c r="CD2110" s="103"/>
      <c r="CE2110" s="103"/>
      <c r="CF2110" s="103"/>
      <c r="CG2110" s="103"/>
      <c r="CH2110" s="103"/>
      <c r="CI2110" s="103"/>
      <c r="CJ2110" s="103"/>
      <c r="CK2110" s="103"/>
      <c r="CL2110" s="103"/>
      <c r="CM2110" s="103"/>
      <c r="CN2110" s="103"/>
      <c r="CO2110" s="103"/>
      <c r="CP2110" s="103"/>
      <c r="CQ2110" s="103"/>
      <c r="CR2110" s="103"/>
      <c r="CS2110" s="103"/>
      <c r="CT2110" s="103"/>
      <c r="CU2110" s="103"/>
      <c r="CV2110" s="103"/>
      <c r="CW2110" s="103"/>
      <c r="CX2110" s="103"/>
      <c r="CY2110" s="103"/>
      <c r="CZ2110" s="103"/>
      <c r="DA2110" s="103"/>
      <c r="DB2110" s="103"/>
      <c r="DC2110" s="103"/>
      <c r="DD2110" s="103"/>
      <c r="DE2110" s="103"/>
      <c r="DF2110" s="103"/>
      <c r="DG2110" s="103"/>
      <c r="DH2110" s="103"/>
      <c r="DI2110" s="103"/>
      <c r="DJ2110" s="103"/>
      <c r="DK2110" s="103"/>
      <c r="DL2110" s="103"/>
      <c r="DM2110" s="103"/>
      <c r="DN2110" s="103"/>
      <c r="DO2110" s="103"/>
      <c r="DP2110" s="103"/>
      <c r="DQ2110" s="103"/>
      <c r="DR2110" s="103"/>
      <c r="DS2110" s="103"/>
      <c r="DT2110" s="103"/>
      <c r="DU2110" s="103"/>
      <c r="DV2110" s="103"/>
      <c r="DW2110" s="103"/>
      <c r="DX2110" s="103"/>
      <c r="DY2110" s="103"/>
      <c r="DZ2110" s="103"/>
      <c r="EA2110" s="103"/>
      <c r="EB2110" s="103"/>
      <c r="EC2110" s="103"/>
      <c r="ED2110" s="103"/>
      <c r="EE2110" s="103"/>
      <c r="EF2110" s="103"/>
      <c r="EG2110" s="103"/>
      <c r="EH2110" s="103"/>
      <c r="EI2110" s="103"/>
      <c r="EJ2110" s="103"/>
      <c r="EK2110" s="103"/>
      <c r="EL2110" s="103"/>
      <c r="EM2110" s="103"/>
      <c r="EN2110" s="103"/>
      <c r="EO2110" s="103"/>
      <c r="EP2110" s="103"/>
      <c r="EQ2110" s="103"/>
      <c r="ER2110" s="103"/>
      <c r="ES2110" s="103"/>
      <c r="ET2110" s="103"/>
      <c r="EU2110" s="103"/>
      <c r="EV2110" s="103"/>
      <c r="EW2110" s="103"/>
      <c r="EX2110" s="103"/>
      <c r="EY2110" s="103"/>
      <c r="EZ2110" s="103"/>
      <c r="FA2110" s="103"/>
      <c r="FB2110" s="103"/>
      <c r="FC2110" s="103"/>
      <c r="FD2110" s="103"/>
      <c r="FE2110" s="103"/>
      <c r="FF2110" s="103"/>
      <c r="FG2110" s="103"/>
      <c r="FH2110" s="103"/>
      <c r="FI2110" s="103"/>
      <c r="FJ2110" s="103"/>
      <c r="FK2110" s="103"/>
      <c r="FL2110" s="103"/>
      <c r="FM2110" s="103"/>
      <c r="FN2110" s="103"/>
      <c r="FO2110" s="103"/>
      <c r="FP2110" s="103"/>
      <c r="FQ2110" s="103"/>
      <c r="FR2110" s="103"/>
      <c r="FS2110" s="103"/>
      <c r="FT2110" s="103"/>
      <c r="FU2110" s="103"/>
      <c r="FV2110" s="103"/>
      <c r="FW2110" s="103"/>
      <c r="FX2110" s="103"/>
      <c r="FY2110" s="103"/>
      <c r="FZ2110" s="103"/>
      <c r="GA2110" s="103"/>
      <c r="GB2110" s="103"/>
      <c r="GC2110" s="103"/>
      <c r="GD2110" s="103"/>
      <c r="GE2110" s="103"/>
      <c r="GF2110" s="103"/>
      <c r="GG2110" s="103"/>
      <c r="GH2110" s="103"/>
      <c r="GI2110" s="103"/>
      <c r="GJ2110" s="103"/>
      <c r="GK2110" s="103"/>
      <c r="GL2110" s="103"/>
      <c r="GM2110" s="103"/>
      <c r="GN2110" s="103"/>
      <c r="GO2110" s="103"/>
      <c r="GP2110" s="103"/>
      <c r="GQ2110" s="103"/>
      <c r="GR2110" s="103"/>
      <c r="GS2110" s="103"/>
      <c r="GT2110" s="103"/>
      <c r="GU2110" s="103"/>
      <c r="GV2110" s="103"/>
      <c r="GW2110" s="103"/>
      <c r="GX2110" s="103"/>
      <c r="GY2110" s="103"/>
      <c r="GZ2110" s="103"/>
      <c r="HA2110" s="103"/>
      <c r="HB2110" s="103"/>
      <c r="HC2110" s="103"/>
      <c r="HD2110" s="103"/>
      <c r="HE2110" s="103"/>
      <c r="HF2110" s="103"/>
      <c r="HG2110" s="103"/>
      <c r="HH2110" s="103"/>
      <c r="HI2110" s="103"/>
      <c r="HJ2110" s="103"/>
      <c r="HK2110" s="103"/>
      <c r="HL2110" s="103"/>
      <c r="HM2110" s="103"/>
      <c r="HN2110" s="103"/>
      <c r="HO2110" s="103"/>
      <c r="HP2110" s="103"/>
      <c r="HQ2110" s="103"/>
      <c r="HR2110" s="103"/>
      <c r="HS2110" s="103"/>
      <c r="HT2110" s="103"/>
      <c r="HU2110" s="103"/>
      <c r="HV2110" s="103"/>
      <c r="HW2110" s="103"/>
      <c r="HX2110" s="103"/>
      <c r="HY2110" s="103"/>
      <c r="HZ2110" s="103"/>
      <c r="IA2110" s="103"/>
      <c r="IB2110" s="103"/>
      <c r="IC2110" s="103"/>
      <c r="ID2110" s="103"/>
      <c r="IE2110" s="103"/>
      <c r="IF2110" s="103"/>
      <c r="IG2110" s="103"/>
      <c r="IH2110" s="103"/>
      <c r="II2110" s="103"/>
      <c r="IJ2110" s="103"/>
      <c r="IK2110" s="103"/>
      <c r="IL2110" s="103"/>
      <c r="IM2110" s="103"/>
      <c r="IN2110" s="103"/>
      <c r="IO2110" s="103"/>
      <c r="IP2110" s="103"/>
      <c r="IQ2110" s="103"/>
      <c r="IR2110" s="103"/>
      <c r="IS2110" s="103"/>
      <c r="IT2110" s="103"/>
      <c r="IU2110" s="103"/>
      <c r="IV2110" s="103"/>
      <c r="IW2110" s="103"/>
    </row>
    <row r="2111" customFormat="false" ht="17.6" hidden="false" customHeight="false" outlineLevel="0" collapsed="false">
      <c r="A2111" s="89" t="s">
        <v>2353</v>
      </c>
      <c r="B2111" s="90" t="s">
        <v>2298</v>
      </c>
      <c r="C2111" s="90" t="n">
        <f aca="false">ROUND(E2111*G2111,)</f>
        <v>5567</v>
      </c>
      <c r="D2111" s="103" t="s">
        <v>1420</v>
      </c>
      <c r="E2111" s="103" t="n">
        <v>6186</v>
      </c>
      <c r="F2111" s="103"/>
      <c r="G2111" s="103" t="n">
        <v>0.9</v>
      </c>
      <c r="H2111" s="103"/>
      <c r="I2111" s="103"/>
      <c r="J2111" s="103"/>
      <c r="K2111" s="103"/>
      <c r="L2111" s="103"/>
      <c r="M2111" s="103"/>
      <c r="N2111" s="103"/>
      <c r="O2111" s="104"/>
      <c r="P2111" s="103"/>
      <c r="Q2111" s="103"/>
      <c r="R2111" s="103"/>
      <c r="S2111" s="103"/>
      <c r="T2111" s="103"/>
      <c r="U2111" s="103"/>
      <c r="V2111" s="103"/>
      <c r="W2111" s="103"/>
      <c r="X2111" s="103"/>
      <c r="Y2111" s="103"/>
      <c r="Z2111" s="103"/>
      <c r="AA2111" s="103"/>
      <c r="AB2111" s="103"/>
      <c r="AC2111" s="103"/>
      <c r="AD2111" s="103"/>
      <c r="AE2111" s="103"/>
      <c r="AF2111" s="103"/>
      <c r="AG2111" s="103"/>
      <c r="AH2111" s="103"/>
      <c r="AI2111" s="103"/>
      <c r="AJ2111" s="103"/>
      <c r="AK2111" s="103"/>
      <c r="AL2111" s="103"/>
      <c r="AM2111" s="103"/>
      <c r="AN2111" s="103"/>
      <c r="AO2111" s="103"/>
      <c r="AP2111" s="103"/>
      <c r="AQ2111" s="103"/>
      <c r="AR2111" s="103"/>
      <c r="AS2111" s="103"/>
      <c r="AT2111" s="103"/>
      <c r="AU2111" s="103"/>
      <c r="AV2111" s="103"/>
      <c r="AW2111" s="103"/>
      <c r="AX2111" s="103"/>
      <c r="AY2111" s="103"/>
      <c r="AZ2111" s="103"/>
      <c r="BA2111" s="103"/>
      <c r="BB2111" s="103"/>
      <c r="BC2111" s="103"/>
      <c r="BD2111" s="103"/>
      <c r="BE2111" s="103"/>
      <c r="BF2111" s="103"/>
      <c r="BG2111" s="103"/>
      <c r="BH2111" s="103"/>
      <c r="BI2111" s="103"/>
      <c r="BJ2111" s="103"/>
      <c r="BK2111" s="103"/>
      <c r="BL2111" s="103"/>
      <c r="BM2111" s="103"/>
      <c r="BN2111" s="103"/>
      <c r="BO2111" s="103"/>
      <c r="BP2111" s="103"/>
      <c r="BQ2111" s="103"/>
      <c r="BR2111" s="103"/>
      <c r="BS2111" s="103"/>
      <c r="BT2111" s="103"/>
      <c r="BU2111" s="103"/>
      <c r="BV2111" s="103"/>
      <c r="BW2111" s="103"/>
      <c r="BX2111" s="103"/>
      <c r="BY2111" s="103"/>
      <c r="BZ2111" s="103"/>
      <c r="CA2111" s="103"/>
      <c r="CB2111" s="103"/>
      <c r="CC2111" s="103"/>
      <c r="CD2111" s="103"/>
      <c r="CE2111" s="103"/>
      <c r="CF2111" s="103"/>
      <c r="CG2111" s="103"/>
      <c r="CH2111" s="103"/>
      <c r="CI2111" s="103"/>
      <c r="CJ2111" s="103"/>
      <c r="CK2111" s="103"/>
      <c r="CL2111" s="103"/>
      <c r="CM2111" s="103"/>
      <c r="CN2111" s="103"/>
      <c r="CO2111" s="103"/>
      <c r="CP2111" s="103"/>
      <c r="CQ2111" s="103"/>
      <c r="CR2111" s="103"/>
      <c r="CS2111" s="103"/>
      <c r="CT2111" s="103"/>
      <c r="CU2111" s="103"/>
      <c r="CV2111" s="103"/>
      <c r="CW2111" s="103"/>
      <c r="CX2111" s="103"/>
      <c r="CY2111" s="103"/>
      <c r="CZ2111" s="103"/>
      <c r="DA2111" s="103"/>
      <c r="DB2111" s="103"/>
      <c r="DC2111" s="103"/>
      <c r="DD2111" s="103"/>
      <c r="DE2111" s="103"/>
      <c r="DF2111" s="103"/>
      <c r="DG2111" s="103"/>
      <c r="DH2111" s="103"/>
      <c r="DI2111" s="103"/>
      <c r="DJ2111" s="103"/>
      <c r="DK2111" s="103"/>
      <c r="DL2111" s="103"/>
      <c r="DM2111" s="103"/>
      <c r="DN2111" s="103"/>
      <c r="DO2111" s="103"/>
      <c r="DP2111" s="103"/>
      <c r="DQ2111" s="103"/>
      <c r="DR2111" s="103"/>
      <c r="DS2111" s="103"/>
      <c r="DT2111" s="103"/>
      <c r="DU2111" s="103"/>
      <c r="DV2111" s="103"/>
      <c r="DW2111" s="103"/>
      <c r="DX2111" s="103"/>
      <c r="DY2111" s="103"/>
      <c r="DZ2111" s="103"/>
      <c r="EA2111" s="103"/>
      <c r="EB2111" s="103"/>
      <c r="EC2111" s="103"/>
      <c r="ED2111" s="103"/>
      <c r="EE2111" s="103"/>
      <c r="EF2111" s="103"/>
      <c r="EG2111" s="103"/>
      <c r="EH2111" s="103"/>
      <c r="EI2111" s="103"/>
      <c r="EJ2111" s="103"/>
      <c r="EK2111" s="103"/>
      <c r="EL2111" s="103"/>
      <c r="EM2111" s="103"/>
      <c r="EN2111" s="103"/>
      <c r="EO2111" s="103"/>
      <c r="EP2111" s="103"/>
      <c r="EQ2111" s="103"/>
      <c r="ER2111" s="103"/>
      <c r="ES2111" s="103"/>
      <c r="ET2111" s="103"/>
      <c r="EU2111" s="103"/>
      <c r="EV2111" s="103"/>
      <c r="EW2111" s="103"/>
      <c r="EX2111" s="103"/>
      <c r="EY2111" s="103"/>
      <c r="EZ2111" s="103"/>
      <c r="FA2111" s="103"/>
      <c r="FB2111" s="103"/>
      <c r="FC2111" s="103"/>
      <c r="FD2111" s="103"/>
      <c r="FE2111" s="103"/>
      <c r="FF2111" s="103"/>
      <c r="FG2111" s="103"/>
      <c r="FH2111" s="103"/>
      <c r="FI2111" s="103"/>
      <c r="FJ2111" s="103"/>
      <c r="FK2111" s="103"/>
      <c r="FL2111" s="103"/>
      <c r="FM2111" s="103"/>
      <c r="FN2111" s="103"/>
      <c r="FO2111" s="103"/>
      <c r="FP2111" s="103"/>
      <c r="FQ2111" s="103"/>
      <c r="FR2111" s="103"/>
      <c r="FS2111" s="103"/>
      <c r="FT2111" s="103"/>
      <c r="FU2111" s="103"/>
      <c r="FV2111" s="103"/>
      <c r="FW2111" s="103"/>
      <c r="FX2111" s="103"/>
      <c r="FY2111" s="103"/>
      <c r="FZ2111" s="103"/>
      <c r="GA2111" s="103"/>
      <c r="GB2111" s="103"/>
      <c r="GC2111" s="103"/>
      <c r="GD2111" s="103"/>
      <c r="GE2111" s="103"/>
      <c r="GF2111" s="103"/>
      <c r="GG2111" s="103"/>
      <c r="GH2111" s="103"/>
      <c r="GI2111" s="103"/>
      <c r="GJ2111" s="103"/>
      <c r="GK2111" s="103"/>
      <c r="GL2111" s="103"/>
      <c r="GM2111" s="103"/>
      <c r="GN2111" s="103"/>
      <c r="GO2111" s="103"/>
      <c r="GP2111" s="103"/>
      <c r="GQ2111" s="103"/>
      <c r="GR2111" s="103"/>
      <c r="GS2111" s="103"/>
      <c r="GT2111" s="103"/>
      <c r="GU2111" s="103"/>
      <c r="GV2111" s="103"/>
      <c r="GW2111" s="103"/>
      <c r="GX2111" s="103"/>
      <c r="GY2111" s="103"/>
      <c r="GZ2111" s="103"/>
      <c r="HA2111" s="103"/>
      <c r="HB2111" s="103"/>
      <c r="HC2111" s="103"/>
      <c r="HD2111" s="103"/>
      <c r="HE2111" s="103"/>
      <c r="HF2111" s="103"/>
      <c r="HG2111" s="103"/>
      <c r="HH2111" s="103"/>
      <c r="HI2111" s="103"/>
      <c r="HJ2111" s="103"/>
      <c r="HK2111" s="103"/>
      <c r="HL2111" s="103"/>
      <c r="HM2111" s="103"/>
      <c r="HN2111" s="103"/>
      <c r="HO2111" s="103"/>
      <c r="HP2111" s="103"/>
      <c r="HQ2111" s="103"/>
      <c r="HR2111" s="103"/>
      <c r="HS2111" s="103"/>
      <c r="HT2111" s="103"/>
      <c r="HU2111" s="103"/>
      <c r="HV2111" s="103"/>
      <c r="HW2111" s="103"/>
      <c r="HX2111" s="103"/>
      <c r="HY2111" s="103"/>
      <c r="HZ2111" s="103"/>
      <c r="IA2111" s="103"/>
      <c r="IB2111" s="103"/>
      <c r="IC2111" s="103"/>
      <c r="ID2111" s="103"/>
      <c r="IE2111" s="103"/>
      <c r="IF2111" s="103"/>
      <c r="IG2111" s="103"/>
      <c r="IH2111" s="103"/>
      <c r="II2111" s="103"/>
      <c r="IJ2111" s="103"/>
      <c r="IK2111" s="103"/>
      <c r="IL2111" s="103"/>
      <c r="IM2111" s="103"/>
      <c r="IN2111" s="103"/>
      <c r="IO2111" s="103"/>
      <c r="IP2111" s="103"/>
      <c r="IQ2111" s="103"/>
      <c r="IR2111" s="103"/>
      <c r="IS2111" s="103"/>
      <c r="IT2111" s="103"/>
      <c r="IU2111" s="103"/>
      <c r="IV2111" s="103"/>
      <c r="IW2111" s="103"/>
    </row>
    <row r="2112" customFormat="false" ht="17.6" hidden="false" customHeight="false" outlineLevel="0" collapsed="false">
      <c r="A2112" s="89" t="s">
        <v>2354</v>
      </c>
      <c r="B2112" s="90" t="s">
        <v>2298</v>
      </c>
      <c r="C2112" s="90" t="n">
        <f aca="false">ROUND(E2112*G2112,)</f>
        <v>5851</v>
      </c>
      <c r="D2112" s="103" t="s">
        <v>1420</v>
      </c>
      <c r="E2112" s="103" t="n">
        <v>6501</v>
      </c>
      <c r="F2112" s="103"/>
      <c r="G2112" s="103" t="n">
        <v>0.9</v>
      </c>
      <c r="H2112" s="103"/>
      <c r="I2112" s="103"/>
      <c r="J2112" s="103"/>
      <c r="K2112" s="103"/>
      <c r="L2112" s="103"/>
      <c r="M2112" s="103"/>
      <c r="N2112" s="103"/>
      <c r="O2112" s="104"/>
      <c r="P2112" s="103"/>
      <c r="Q2112" s="103"/>
      <c r="R2112" s="103"/>
      <c r="S2112" s="103"/>
      <c r="T2112" s="103"/>
      <c r="U2112" s="103"/>
      <c r="V2112" s="103"/>
      <c r="W2112" s="103"/>
      <c r="X2112" s="103"/>
      <c r="Y2112" s="103"/>
      <c r="Z2112" s="103"/>
      <c r="AA2112" s="103"/>
      <c r="AB2112" s="103"/>
      <c r="AC2112" s="103"/>
      <c r="AD2112" s="103"/>
      <c r="AE2112" s="103"/>
      <c r="AF2112" s="103"/>
      <c r="AG2112" s="103"/>
      <c r="AH2112" s="103"/>
      <c r="AI2112" s="103"/>
      <c r="AJ2112" s="103"/>
      <c r="AK2112" s="103"/>
      <c r="AL2112" s="103"/>
      <c r="AM2112" s="103"/>
      <c r="AN2112" s="103"/>
      <c r="AO2112" s="103"/>
      <c r="AP2112" s="103"/>
      <c r="AQ2112" s="103"/>
      <c r="AR2112" s="103"/>
      <c r="AS2112" s="103"/>
      <c r="AT2112" s="103"/>
      <c r="AU2112" s="103"/>
      <c r="AV2112" s="103"/>
      <c r="AW2112" s="103"/>
      <c r="AX2112" s="103"/>
      <c r="AY2112" s="103"/>
      <c r="AZ2112" s="103"/>
      <c r="BA2112" s="103"/>
      <c r="BB2112" s="103"/>
      <c r="BC2112" s="103"/>
      <c r="BD2112" s="103"/>
      <c r="BE2112" s="103"/>
      <c r="BF2112" s="103"/>
      <c r="BG2112" s="103"/>
      <c r="BH2112" s="103"/>
      <c r="BI2112" s="103"/>
      <c r="BJ2112" s="103"/>
      <c r="BK2112" s="103"/>
      <c r="BL2112" s="103"/>
      <c r="BM2112" s="103"/>
      <c r="BN2112" s="103"/>
      <c r="BO2112" s="103"/>
      <c r="BP2112" s="103"/>
      <c r="BQ2112" s="103"/>
      <c r="BR2112" s="103"/>
      <c r="BS2112" s="103"/>
      <c r="BT2112" s="103"/>
      <c r="BU2112" s="103"/>
      <c r="BV2112" s="103"/>
      <c r="BW2112" s="103"/>
      <c r="BX2112" s="103"/>
      <c r="BY2112" s="103"/>
      <c r="BZ2112" s="103"/>
      <c r="CA2112" s="103"/>
      <c r="CB2112" s="103"/>
      <c r="CC2112" s="103"/>
      <c r="CD2112" s="103"/>
      <c r="CE2112" s="103"/>
      <c r="CF2112" s="103"/>
      <c r="CG2112" s="103"/>
      <c r="CH2112" s="103"/>
      <c r="CI2112" s="103"/>
      <c r="CJ2112" s="103"/>
      <c r="CK2112" s="103"/>
      <c r="CL2112" s="103"/>
      <c r="CM2112" s="103"/>
      <c r="CN2112" s="103"/>
      <c r="CO2112" s="103"/>
      <c r="CP2112" s="103"/>
      <c r="CQ2112" s="103"/>
      <c r="CR2112" s="103"/>
      <c r="CS2112" s="103"/>
      <c r="CT2112" s="103"/>
      <c r="CU2112" s="103"/>
      <c r="CV2112" s="103"/>
      <c r="CW2112" s="103"/>
      <c r="CX2112" s="103"/>
      <c r="CY2112" s="103"/>
      <c r="CZ2112" s="103"/>
      <c r="DA2112" s="103"/>
      <c r="DB2112" s="103"/>
      <c r="DC2112" s="103"/>
      <c r="DD2112" s="103"/>
      <c r="DE2112" s="103"/>
      <c r="DF2112" s="103"/>
      <c r="DG2112" s="103"/>
      <c r="DH2112" s="103"/>
      <c r="DI2112" s="103"/>
      <c r="DJ2112" s="103"/>
      <c r="DK2112" s="103"/>
      <c r="DL2112" s="103"/>
      <c r="DM2112" s="103"/>
      <c r="DN2112" s="103"/>
      <c r="DO2112" s="103"/>
      <c r="DP2112" s="103"/>
      <c r="DQ2112" s="103"/>
      <c r="DR2112" s="103"/>
      <c r="DS2112" s="103"/>
      <c r="DT2112" s="103"/>
      <c r="DU2112" s="103"/>
      <c r="DV2112" s="103"/>
      <c r="DW2112" s="103"/>
      <c r="DX2112" s="103"/>
      <c r="DY2112" s="103"/>
      <c r="DZ2112" s="103"/>
      <c r="EA2112" s="103"/>
      <c r="EB2112" s="103"/>
      <c r="EC2112" s="103"/>
      <c r="ED2112" s="103"/>
      <c r="EE2112" s="103"/>
      <c r="EF2112" s="103"/>
      <c r="EG2112" s="103"/>
      <c r="EH2112" s="103"/>
      <c r="EI2112" s="103"/>
      <c r="EJ2112" s="103"/>
      <c r="EK2112" s="103"/>
      <c r="EL2112" s="103"/>
      <c r="EM2112" s="103"/>
      <c r="EN2112" s="103"/>
      <c r="EO2112" s="103"/>
      <c r="EP2112" s="103"/>
      <c r="EQ2112" s="103"/>
      <c r="ER2112" s="103"/>
      <c r="ES2112" s="103"/>
      <c r="ET2112" s="103"/>
      <c r="EU2112" s="103"/>
      <c r="EV2112" s="103"/>
      <c r="EW2112" s="103"/>
      <c r="EX2112" s="103"/>
      <c r="EY2112" s="103"/>
      <c r="EZ2112" s="103"/>
      <c r="FA2112" s="103"/>
      <c r="FB2112" s="103"/>
      <c r="FC2112" s="103"/>
      <c r="FD2112" s="103"/>
      <c r="FE2112" s="103"/>
      <c r="FF2112" s="103"/>
      <c r="FG2112" s="103"/>
      <c r="FH2112" s="103"/>
      <c r="FI2112" s="103"/>
      <c r="FJ2112" s="103"/>
      <c r="FK2112" s="103"/>
      <c r="FL2112" s="103"/>
      <c r="FM2112" s="103"/>
      <c r="FN2112" s="103"/>
      <c r="FO2112" s="103"/>
      <c r="FP2112" s="103"/>
      <c r="FQ2112" s="103"/>
      <c r="FR2112" s="103"/>
      <c r="FS2112" s="103"/>
      <c r="FT2112" s="103"/>
      <c r="FU2112" s="103"/>
      <c r="FV2112" s="103"/>
      <c r="FW2112" s="103"/>
      <c r="FX2112" s="103"/>
      <c r="FY2112" s="103"/>
      <c r="FZ2112" s="103"/>
      <c r="GA2112" s="103"/>
      <c r="GB2112" s="103"/>
      <c r="GC2112" s="103"/>
      <c r="GD2112" s="103"/>
      <c r="GE2112" s="103"/>
      <c r="GF2112" s="103"/>
      <c r="GG2112" s="103"/>
      <c r="GH2112" s="103"/>
      <c r="GI2112" s="103"/>
      <c r="GJ2112" s="103"/>
      <c r="GK2112" s="103"/>
      <c r="GL2112" s="103"/>
      <c r="GM2112" s="103"/>
      <c r="GN2112" s="103"/>
      <c r="GO2112" s="103"/>
      <c r="GP2112" s="103"/>
      <c r="GQ2112" s="103"/>
      <c r="GR2112" s="103"/>
      <c r="GS2112" s="103"/>
      <c r="GT2112" s="103"/>
      <c r="GU2112" s="103"/>
      <c r="GV2112" s="103"/>
      <c r="GW2112" s="103"/>
      <c r="GX2112" s="103"/>
      <c r="GY2112" s="103"/>
      <c r="GZ2112" s="103"/>
      <c r="HA2112" s="103"/>
      <c r="HB2112" s="103"/>
      <c r="HC2112" s="103"/>
      <c r="HD2112" s="103"/>
      <c r="HE2112" s="103"/>
      <c r="HF2112" s="103"/>
      <c r="HG2112" s="103"/>
      <c r="HH2112" s="103"/>
      <c r="HI2112" s="103"/>
      <c r="HJ2112" s="103"/>
      <c r="HK2112" s="103"/>
      <c r="HL2112" s="103"/>
      <c r="HM2112" s="103"/>
      <c r="HN2112" s="103"/>
      <c r="HO2112" s="103"/>
      <c r="HP2112" s="103"/>
      <c r="HQ2112" s="103"/>
      <c r="HR2112" s="103"/>
      <c r="HS2112" s="103"/>
      <c r="HT2112" s="103"/>
      <c r="HU2112" s="103"/>
      <c r="HV2112" s="103"/>
      <c r="HW2112" s="103"/>
      <c r="HX2112" s="103"/>
      <c r="HY2112" s="103"/>
      <c r="HZ2112" s="103"/>
      <c r="IA2112" s="103"/>
      <c r="IB2112" s="103"/>
      <c r="IC2112" s="103"/>
      <c r="ID2112" s="103"/>
      <c r="IE2112" s="103"/>
      <c r="IF2112" s="103"/>
      <c r="IG2112" s="103"/>
      <c r="IH2112" s="103"/>
      <c r="II2112" s="103"/>
      <c r="IJ2112" s="103"/>
      <c r="IK2112" s="103"/>
      <c r="IL2112" s="103"/>
      <c r="IM2112" s="103"/>
      <c r="IN2112" s="103"/>
      <c r="IO2112" s="103"/>
      <c r="IP2112" s="103"/>
      <c r="IQ2112" s="103"/>
      <c r="IR2112" s="103"/>
      <c r="IS2112" s="103"/>
      <c r="IT2112" s="103"/>
      <c r="IU2112" s="103"/>
      <c r="IV2112" s="103"/>
      <c r="IW2112" s="103"/>
    </row>
    <row r="2113" customFormat="false" ht="17.6" hidden="false" customHeight="false" outlineLevel="0" collapsed="false">
      <c r="A2113" s="89" t="s">
        <v>2355</v>
      </c>
      <c r="B2113" s="90" t="s">
        <v>2298</v>
      </c>
      <c r="C2113" s="90" t="n">
        <f aca="false">ROUND(E2113*G2113,)</f>
        <v>6134</v>
      </c>
      <c r="D2113" s="103" t="s">
        <v>1420</v>
      </c>
      <c r="E2113" s="103" t="n">
        <v>6816</v>
      </c>
      <c r="F2113" s="103"/>
      <c r="G2113" s="103" t="n">
        <v>0.9</v>
      </c>
      <c r="H2113" s="103"/>
      <c r="I2113" s="103"/>
      <c r="J2113" s="103"/>
      <c r="K2113" s="103"/>
      <c r="L2113" s="103"/>
      <c r="M2113" s="103"/>
      <c r="N2113" s="103"/>
      <c r="O2113" s="104"/>
      <c r="P2113" s="103"/>
      <c r="Q2113" s="103"/>
      <c r="R2113" s="103"/>
      <c r="S2113" s="103"/>
      <c r="T2113" s="103"/>
      <c r="U2113" s="103"/>
      <c r="V2113" s="103"/>
      <c r="W2113" s="103"/>
      <c r="X2113" s="103"/>
      <c r="Y2113" s="103"/>
      <c r="Z2113" s="103"/>
      <c r="AA2113" s="103"/>
      <c r="AB2113" s="103"/>
      <c r="AC2113" s="103"/>
      <c r="AD2113" s="103"/>
      <c r="AE2113" s="103"/>
      <c r="AF2113" s="103"/>
      <c r="AG2113" s="103"/>
      <c r="AH2113" s="103"/>
      <c r="AI2113" s="103"/>
      <c r="AJ2113" s="103"/>
      <c r="AK2113" s="103"/>
      <c r="AL2113" s="103"/>
      <c r="AM2113" s="103"/>
      <c r="AN2113" s="103"/>
      <c r="AO2113" s="103"/>
      <c r="AP2113" s="103"/>
      <c r="AQ2113" s="103"/>
      <c r="AR2113" s="103"/>
      <c r="AS2113" s="103"/>
      <c r="AT2113" s="103"/>
      <c r="AU2113" s="103"/>
      <c r="AV2113" s="103"/>
      <c r="AW2113" s="103"/>
      <c r="AX2113" s="103"/>
      <c r="AY2113" s="103"/>
      <c r="AZ2113" s="103"/>
      <c r="BA2113" s="103"/>
      <c r="BB2113" s="103"/>
      <c r="BC2113" s="103"/>
      <c r="BD2113" s="103"/>
      <c r="BE2113" s="103"/>
      <c r="BF2113" s="103"/>
      <c r="BG2113" s="103"/>
      <c r="BH2113" s="103"/>
      <c r="BI2113" s="103"/>
      <c r="BJ2113" s="103"/>
      <c r="BK2113" s="103"/>
      <c r="BL2113" s="103"/>
      <c r="BM2113" s="103"/>
      <c r="BN2113" s="103"/>
      <c r="BO2113" s="103"/>
      <c r="BP2113" s="103"/>
      <c r="BQ2113" s="103"/>
      <c r="BR2113" s="103"/>
      <c r="BS2113" s="103"/>
      <c r="BT2113" s="103"/>
      <c r="BU2113" s="103"/>
      <c r="BV2113" s="103"/>
      <c r="BW2113" s="103"/>
      <c r="BX2113" s="103"/>
      <c r="BY2113" s="103"/>
      <c r="BZ2113" s="103"/>
      <c r="CA2113" s="103"/>
      <c r="CB2113" s="103"/>
      <c r="CC2113" s="103"/>
      <c r="CD2113" s="103"/>
      <c r="CE2113" s="103"/>
      <c r="CF2113" s="103"/>
      <c r="CG2113" s="103"/>
      <c r="CH2113" s="103"/>
      <c r="CI2113" s="103"/>
      <c r="CJ2113" s="103"/>
      <c r="CK2113" s="103"/>
      <c r="CL2113" s="103"/>
      <c r="CM2113" s="103"/>
      <c r="CN2113" s="103"/>
      <c r="CO2113" s="103"/>
      <c r="CP2113" s="103"/>
      <c r="CQ2113" s="103"/>
      <c r="CR2113" s="103"/>
      <c r="CS2113" s="103"/>
      <c r="CT2113" s="103"/>
      <c r="CU2113" s="103"/>
      <c r="CV2113" s="103"/>
      <c r="CW2113" s="103"/>
      <c r="CX2113" s="103"/>
      <c r="CY2113" s="103"/>
      <c r="CZ2113" s="103"/>
      <c r="DA2113" s="103"/>
      <c r="DB2113" s="103"/>
      <c r="DC2113" s="103"/>
      <c r="DD2113" s="103"/>
      <c r="DE2113" s="103"/>
      <c r="DF2113" s="103"/>
      <c r="DG2113" s="103"/>
      <c r="DH2113" s="103"/>
      <c r="DI2113" s="103"/>
      <c r="DJ2113" s="103"/>
      <c r="DK2113" s="103"/>
      <c r="DL2113" s="103"/>
      <c r="DM2113" s="103"/>
      <c r="DN2113" s="103"/>
      <c r="DO2113" s="103"/>
      <c r="DP2113" s="103"/>
      <c r="DQ2113" s="103"/>
      <c r="DR2113" s="103"/>
      <c r="DS2113" s="103"/>
      <c r="DT2113" s="103"/>
      <c r="DU2113" s="103"/>
      <c r="DV2113" s="103"/>
      <c r="DW2113" s="103"/>
      <c r="DX2113" s="103"/>
      <c r="DY2113" s="103"/>
      <c r="DZ2113" s="103"/>
      <c r="EA2113" s="103"/>
      <c r="EB2113" s="103"/>
      <c r="EC2113" s="103"/>
      <c r="ED2113" s="103"/>
      <c r="EE2113" s="103"/>
      <c r="EF2113" s="103"/>
      <c r="EG2113" s="103"/>
      <c r="EH2113" s="103"/>
      <c r="EI2113" s="103"/>
      <c r="EJ2113" s="103"/>
      <c r="EK2113" s="103"/>
      <c r="EL2113" s="103"/>
      <c r="EM2113" s="103"/>
      <c r="EN2113" s="103"/>
      <c r="EO2113" s="103"/>
      <c r="EP2113" s="103"/>
      <c r="EQ2113" s="103"/>
      <c r="ER2113" s="103"/>
      <c r="ES2113" s="103"/>
      <c r="ET2113" s="103"/>
      <c r="EU2113" s="103"/>
      <c r="EV2113" s="103"/>
      <c r="EW2113" s="103"/>
      <c r="EX2113" s="103"/>
      <c r="EY2113" s="103"/>
      <c r="EZ2113" s="103"/>
      <c r="FA2113" s="103"/>
      <c r="FB2113" s="103"/>
      <c r="FC2113" s="103"/>
      <c r="FD2113" s="103"/>
      <c r="FE2113" s="103"/>
      <c r="FF2113" s="103"/>
      <c r="FG2113" s="103"/>
      <c r="FH2113" s="103"/>
      <c r="FI2113" s="103"/>
      <c r="FJ2113" s="103"/>
      <c r="FK2113" s="103"/>
      <c r="FL2113" s="103"/>
      <c r="FM2113" s="103"/>
      <c r="FN2113" s="103"/>
      <c r="FO2113" s="103"/>
      <c r="FP2113" s="103"/>
      <c r="FQ2113" s="103"/>
      <c r="FR2113" s="103"/>
      <c r="FS2113" s="103"/>
      <c r="FT2113" s="103"/>
      <c r="FU2113" s="103"/>
      <c r="FV2113" s="103"/>
      <c r="FW2113" s="103"/>
      <c r="FX2113" s="103"/>
      <c r="FY2113" s="103"/>
      <c r="FZ2113" s="103"/>
      <c r="GA2113" s="103"/>
      <c r="GB2113" s="103"/>
      <c r="GC2113" s="103"/>
      <c r="GD2113" s="103"/>
      <c r="GE2113" s="103"/>
      <c r="GF2113" s="103"/>
      <c r="GG2113" s="103"/>
      <c r="GH2113" s="103"/>
      <c r="GI2113" s="103"/>
      <c r="GJ2113" s="103"/>
      <c r="GK2113" s="103"/>
      <c r="GL2113" s="103"/>
      <c r="GM2113" s="103"/>
      <c r="GN2113" s="103"/>
      <c r="GO2113" s="103"/>
      <c r="GP2113" s="103"/>
      <c r="GQ2113" s="103"/>
      <c r="GR2113" s="103"/>
      <c r="GS2113" s="103"/>
      <c r="GT2113" s="103"/>
      <c r="GU2113" s="103"/>
      <c r="GV2113" s="103"/>
      <c r="GW2113" s="103"/>
      <c r="GX2113" s="103"/>
      <c r="GY2113" s="103"/>
      <c r="GZ2113" s="103"/>
      <c r="HA2113" s="103"/>
      <c r="HB2113" s="103"/>
      <c r="HC2113" s="103"/>
      <c r="HD2113" s="103"/>
      <c r="HE2113" s="103"/>
      <c r="HF2113" s="103"/>
      <c r="HG2113" s="103"/>
      <c r="HH2113" s="103"/>
      <c r="HI2113" s="103"/>
      <c r="HJ2113" s="103"/>
      <c r="HK2113" s="103"/>
      <c r="HL2113" s="103"/>
      <c r="HM2113" s="103"/>
      <c r="HN2113" s="103"/>
      <c r="HO2113" s="103"/>
      <c r="HP2113" s="103"/>
      <c r="HQ2113" s="103"/>
      <c r="HR2113" s="103"/>
      <c r="HS2113" s="103"/>
      <c r="HT2113" s="103"/>
      <c r="HU2113" s="103"/>
      <c r="HV2113" s="103"/>
      <c r="HW2113" s="103"/>
      <c r="HX2113" s="103"/>
      <c r="HY2113" s="103"/>
      <c r="HZ2113" s="103"/>
      <c r="IA2113" s="103"/>
      <c r="IB2113" s="103"/>
      <c r="IC2113" s="103"/>
      <c r="ID2113" s="103"/>
      <c r="IE2113" s="103"/>
      <c r="IF2113" s="103"/>
      <c r="IG2113" s="103"/>
      <c r="IH2113" s="103"/>
      <c r="II2113" s="103"/>
      <c r="IJ2113" s="103"/>
      <c r="IK2113" s="103"/>
      <c r="IL2113" s="103"/>
      <c r="IM2113" s="103"/>
      <c r="IN2113" s="103"/>
      <c r="IO2113" s="103"/>
      <c r="IP2113" s="103"/>
      <c r="IQ2113" s="103"/>
      <c r="IR2113" s="103"/>
      <c r="IS2113" s="103"/>
      <c r="IT2113" s="103"/>
      <c r="IU2113" s="103"/>
      <c r="IV2113" s="103"/>
      <c r="IW2113" s="103"/>
    </row>
    <row r="2114" customFormat="false" ht="17.6" hidden="false" customHeight="false" outlineLevel="0" collapsed="false">
      <c r="A2114" s="89" t="s">
        <v>2356</v>
      </c>
      <c r="B2114" s="90" t="s">
        <v>2298</v>
      </c>
      <c r="C2114" s="90" t="n">
        <f aca="false">ROUND(E2114*G2114,)</f>
        <v>6418</v>
      </c>
      <c r="D2114" s="103" t="s">
        <v>1420</v>
      </c>
      <c r="E2114" s="103" t="n">
        <v>7131</v>
      </c>
      <c r="F2114" s="103"/>
      <c r="G2114" s="103" t="n">
        <v>0.9</v>
      </c>
      <c r="H2114" s="103"/>
      <c r="I2114" s="103"/>
      <c r="J2114" s="103"/>
      <c r="K2114" s="103"/>
      <c r="L2114" s="103"/>
      <c r="M2114" s="103"/>
      <c r="N2114" s="103"/>
      <c r="O2114" s="104"/>
      <c r="P2114" s="103"/>
      <c r="Q2114" s="103"/>
      <c r="R2114" s="103"/>
      <c r="S2114" s="103"/>
      <c r="T2114" s="103"/>
      <c r="U2114" s="103"/>
      <c r="V2114" s="103"/>
      <c r="W2114" s="103"/>
      <c r="X2114" s="103"/>
      <c r="Y2114" s="103"/>
      <c r="Z2114" s="103"/>
      <c r="AA2114" s="103"/>
      <c r="AB2114" s="103"/>
      <c r="AC2114" s="103"/>
      <c r="AD2114" s="103"/>
      <c r="AE2114" s="103"/>
      <c r="AF2114" s="103"/>
      <c r="AG2114" s="103"/>
      <c r="AH2114" s="103"/>
      <c r="AI2114" s="103"/>
      <c r="AJ2114" s="103"/>
      <c r="AK2114" s="103"/>
      <c r="AL2114" s="103"/>
      <c r="AM2114" s="103"/>
      <c r="AN2114" s="103"/>
      <c r="AO2114" s="103"/>
      <c r="AP2114" s="103"/>
      <c r="AQ2114" s="103"/>
      <c r="AR2114" s="103"/>
      <c r="AS2114" s="103"/>
      <c r="AT2114" s="103"/>
      <c r="AU2114" s="103"/>
      <c r="AV2114" s="103"/>
      <c r="AW2114" s="103"/>
      <c r="AX2114" s="103"/>
      <c r="AY2114" s="103"/>
      <c r="AZ2114" s="103"/>
      <c r="BA2114" s="103"/>
      <c r="BB2114" s="103"/>
      <c r="BC2114" s="103"/>
      <c r="BD2114" s="103"/>
      <c r="BE2114" s="103"/>
      <c r="BF2114" s="103"/>
      <c r="BG2114" s="103"/>
      <c r="BH2114" s="103"/>
      <c r="BI2114" s="103"/>
      <c r="BJ2114" s="103"/>
      <c r="BK2114" s="103"/>
      <c r="BL2114" s="103"/>
      <c r="BM2114" s="103"/>
      <c r="BN2114" s="103"/>
      <c r="BO2114" s="103"/>
      <c r="BP2114" s="103"/>
      <c r="BQ2114" s="103"/>
      <c r="BR2114" s="103"/>
      <c r="BS2114" s="103"/>
      <c r="BT2114" s="103"/>
      <c r="BU2114" s="103"/>
      <c r="BV2114" s="103"/>
      <c r="BW2114" s="103"/>
      <c r="BX2114" s="103"/>
      <c r="BY2114" s="103"/>
      <c r="BZ2114" s="103"/>
      <c r="CA2114" s="103"/>
      <c r="CB2114" s="103"/>
      <c r="CC2114" s="103"/>
      <c r="CD2114" s="103"/>
      <c r="CE2114" s="103"/>
      <c r="CF2114" s="103"/>
      <c r="CG2114" s="103"/>
      <c r="CH2114" s="103"/>
      <c r="CI2114" s="103"/>
      <c r="CJ2114" s="103"/>
      <c r="CK2114" s="103"/>
      <c r="CL2114" s="103"/>
      <c r="CM2114" s="103"/>
      <c r="CN2114" s="103"/>
      <c r="CO2114" s="103"/>
      <c r="CP2114" s="103"/>
      <c r="CQ2114" s="103"/>
      <c r="CR2114" s="103"/>
      <c r="CS2114" s="103"/>
      <c r="CT2114" s="103"/>
      <c r="CU2114" s="103"/>
      <c r="CV2114" s="103"/>
      <c r="CW2114" s="103"/>
      <c r="CX2114" s="103"/>
      <c r="CY2114" s="103"/>
      <c r="CZ2114" s="103"/>
      <c r="DA2114" s="103"/>
      <c r="DB2114" s="103"/>
      <c r="DC2114" s="103"/>
      <c r="DD2114" s="103"/>
      <c r="DE2114" s="103"/>
      <c r="DF2114" s="103"/>
      <c r="DG2114" s="103"/>
      <c r="DH2114" s="103"/>
      <c r="DI2114" s="103"/>
      <c r="DJ2114" s="103"/>
      <c r="DK2114" s="103"/>
      <c r="DL2114" s="103"/>
      <c r="DM2114" s="103"/>
      <c r="DN2114" s="103"/>
      <c r="DO2114" s="103"/>
      <c r="DP2114" s="103"/>
      <c r="DQ2114" s="103"/>
      <c r="DR2114" s="103"/>
      <c r="DS2114" s="103"/>
      <c r="DT2114" s="103"/>
      <c r="DU2114" s="103"/>
      <c r="DV2114" s="103"/>
      <c r="DW2114" s="103"/>
      <c r="DX2114" s="103"/>
      <c r="DY2114" s="103"/>
      <c r="DZ2114" s="103"/>
      <c r="EA2114" s="103"/>
      <c r="EB2114" s="103"/>
      <c r="EC2114" s="103"/>
      <c r="ED2114" s="103"/>
      <c r="EE2114" s="103"/>
      <c r="EF2114" s="103"/>
      <c r="EG2114" s="103"/>
      <c r="EH2114" s="103"/>
      <c r="EI2114" s="103"/>
      <c r="EJ2114" s="103"/>
      <c r="EK2114" s="103"/>
      <c r="EL2114" s="103"/>
      <c r="EM2114" s="103"/>
      <c r="EN2114" s="103"/>
      <c r="EO2114" s="103"/>
      <c r="EP2114" s="103"/>
      <c r="EQ2114" s="103"/>
      <c r="ER2114" s="103"/>
      <c r="ES2114" s="103"/>
      <c r="ET2114" s="103"/>
      <c r="EU2114" s="103"/>
      <c r="EV2114" s="103"/>
      <c r="EW2114" s="103"/>
      <c r="EX2114" s="103"/>
      <c r="EY2114" s="103"/>
      <c r="EZ2114" s="103"/>
      <c r="FA2114" s="103"/>
      <c r="FB2114" s="103"/>
      <c r="FC2114" s="103"/>
      <c r="FD2114" s="103"/>
      <c r="FE2114" s="103"/>
      <c r="FF2114" s="103"/>
      <c r="FG2114" s="103"/>
      <c r="FH2114" s="103"/>
      <c r="FI2114" s="103"/>
      <c r="FJ2114" s="103"/>
      <c r="FK2114" s="103"/>
      <c r="FL2114" s="103"/>
      <c r="FM2114" s="103"/>
      <c r="FN2114" s="103"/>
      <c r="FO2114" s="103"/>
      <c r="FP2114" s="103"/>
      <c r="FQ2114" s="103"/>
      <c r="FR2114" s="103"/>
      <c r="FS2114" s="103"/>
      <c r="FT2114" s="103"/>
      <c r="FU2114" s="103"/>
      <c r="FV2114" s="103"/>
      <c r="FW2114" s="103"/>
      <c r="FX2114" s="103"/>
      <c r="FY2114" s="103"/>
      <c r="FZ2114" s="103"/>
      <c r="GA2114" s="103"/>
      <c r="GB2114" s="103"/>
      <c r="GC2114" s="103"/>
      <c r="GD2114" s="103"/>
      <c r="GE2114" s="103"/>
      <c r="GF2114" s="103"/>
      <c r="GG2114" s="103"/>
      <c r="GH2114" s="103"/>
      <c r="GI2114" s="103"/>
      <c r="GJ2114" s="103"/>
      <c r="GK2114" s="103"/>
      <c r="GL2114" s="103"/>
      <c r="GM2114" s="103"/>
      <c r="GN2114" s="103"/>
      <c r="GO2114" s="103"/>
      <c r="GP2114" s="103"/>
      <c r="GQ2114" s="103"/>
      <c r="GR2114" s="103"/>
      <c r="GS2114" s="103"/>
      <c r="GT2114" s="103"/>
      <c r="GU2114" s="103"/>
      <c r="GV2114" s="103"/>
      <c r="GW2114" s="103"/>
      <c r="GX2114" s="103"/>
      <c r="GY2114" s="103"/>
      <c r="GZ2114" s="103"/>
      <c r="HA2114" s="103"/>
      <c r="HB2114" s="103"/>
      <c r="HC2114" s="103"/>
      <c r="HD2114" s="103"/>
      <c r="HE2114" s="103"/>
      <c r="HF2114" s="103"/>
      <c r="HG2114" s="103"/>
      <c r="HH2114" s="103"/>
      <c r="HI2114" s="103"/>
      <c r="HJ2114" s="103"/>
      <c r="HK2114" s="103"/>
      <c r="HL2114" s="103"/>
      <c r="HM2114" s="103"/>
      <c r="HN2114" s="103"/>
      <c r="HO2114" s="103"/>
      <c r="HP2114" s="103"/>
      <c r="HQ2114" s="103"/>
      <c r="HR2114" s="103"/>
      <c r="HS2114" s="103"/>
      <c r="HT2114" s="103"/>
      <c r="HU2114" s="103"/>
      <c r="HV2114" s="103"/>
      <c r="HW2114" s="103"/>
      <c r="HX2114" s="103"/>
      <c r="HY2114" s="103"/>
      <c r="HZ2114" s="103"/>
      <c r="IA2114" s="103"/>
      <c r="IB2114" s="103"/>
      <c r="IC2114" s="103"/>
      <c r="ID2114" s="103"/>
      <c r="IE2114" s="103"/>
      <c r="IF2114" s="103"/>
      <c r="IG2114" s="103"/>
      <c r="IH2114" s="103"/>
      <c r="II2114" s="103"/>
      <c r="IJ2114" s="103"/>
      <c r="IK2114" s="103"/>
      <c r="IL2114" s="103"/>
      <c r="IM2114" s="103"/>
      <c r="IN2114" s="103"/>
      <c r="IO2114" s="103"/>
      <c r="IP2114" s="103"/>
      <c r="IQ2114" s="103"/>
      <c r="IR2114" s="103"/>
      <c r="IS2114" s="103"/>
      <c r="IT2114" s="103"/>
      <c r="IU2114" s="103"/>
      <c r="IV2114" s="103"/>
      <c r="IW2114" s="103"/>
    </row>
    <row r="2115" customFormat="false" ht="17.6" hidden="false" customHeight="false" outlineLevel="0" collapsed="false">
      <c r="A2115" s="89" t="s">
        <v>2357</v>
      </c>
      <c r="B2115" s="90" t="s">
        <v>2298</v>
      </c>
      <c r="C2115" s="90" t="n">
        <f aca="false">ROUND(E2115*G2115,)</f>
        <v>6701</v>
      </c>
      <c r="D2115" s="103" t="s">
        <v>1420</v>
      </c>
      <c r="E2115" s="103" t="n">
        <v>7446</v>
      </c>
      <c r="F2115" s="103"/>
      <c r="G2115" s="103" t="n">
        <v>0.9</v>
      </c>
      <c r="H2115" s="103"/>
      <c r="I2115" s="103"/>
      <c r="J2115" s="103"/>
      <c r="K2115" s="103"/>
      <c r="L2115" s="103"/>
      <c r="M2115" s="103"/>
      <c r="N2115" s="103"/>
      <c r="O2115" s="104"/>
      <c r="P2115" s="103"/>
      <c r="Q2115" s="103"/>
      <c r="R2115" s="103"/>
      <c r="S2115" s="103"/>
      <c r="T2115" s="103"/>
      <c r="U2115" s="103"/>
      <c r="V2115" s="103"/>
      <c r="W2115" s="103"/>
      <c r="X2115" s="103"/>
      <c r="Y2115" s="103"/>
      <c r="Z2115" s="103"/>
      <c r="AA2115" s="103"/>
      <c r="AB2115" s="103"/>
      <c r="AC2115" s="103"/>
      <c r="AD2115" s="103"/>
      <c r="AE2115" s="103"/>
      <c r="AF2115" s="103"/>
      <c r="AG2115" s="103"/>
      <c r="AH2115" s="103"/>
      <c r="AI2115" s="103"/>
      <c r="AJ2115" s="103"/>
      <c r="AK2115" s="103"/>
      <c r="AL2115" s="103"/>
      <c r="AM2115" s="103"/>
      <c r="AN2115" s="103"/>
      <c r="AO2115" s="103"/>
      <c r="AP2115" s="103"/>
      <c r="AQ2115" s="103"/>
      <c r="AR2115" s="103"/>
      <c r="AS2115" s="103"/>
      <c r="AT2115" s="103"/>
      <c r="AU2115" s="103"/>
      <c r="AV2115" s="103"/>
      <c r="AW2115" s="103"/>
      <c r="AX2115" s="103"/>
      <c r="AY2115" s="103"/>
      <c r="AZ2115" s="103"/>
      <c r="BA2115" s="103"/>
      <c r="BB2115" s="103"/>
      <c r="BC2115" s="103"/>
      <c r="BD2115" s="103"/>
      <c r="BE2115" s="103"/>
      <c r="BF2115" s="103"/>
      <c r="BG2115" s="103"/>
      <c r="BH2115" s="103"/>
      <c r="BI2115" s="103"/>
      <c r="BJ2115" s="103"/>
      <c r="BK2115" s="103"/>
      <c r="BL2115" s="103"/>
      <c r="BM2115" s="103"/>
      <c r="BN2115" s="103"/>
      <c r="BO2115" s="103"/>
      <c r="BP2115" s="103"/>
      <c r="BQ2115" s="103"/>
      <c r="BR2115" s="103"/>
      <c r="BS2115" s="103"/>
      <c r="BT2115" s="103"/>
      <c r="BU2115" s="103"/>
      <c r="BV2115" s="103"/>
      <c r="BW2115" s="103"/>
      <c r="BX2115" s="103"/>
      <c r="BY2115" s="103"/>
      <c r="BZ2115" s="103"/>
      <c r="CA2115" s="103"/>
      <c r="CB2115" s="103"/>
      <c r="CC2115" s="103"/>
      <c r="CD2115" s="103"/>
      <c r="CE2115" s="103"/>
      <c r="CF2115" s="103"/>
      <c r="CG2115" s="103"/>
      <c r="CH2115" s="103"/>
      <c r="CI2115" s="103"/>
      <c r="CJ2115" s="103"/>
      <c r="CK2115" s="103"/>
      <c r="CL2115" s="103"/>
      <c r="CM2115" s="103"/>
      <c r="CN2115" s="103"/>
      <c r="CO2115" s="103"/>
      <c r="CP2115" s="103"/>
      <c r="CQ2115" s="103"/>
      <c r="CR2115" s="103"/>
      <c r="CS2115" s="103"/>
      <c r="CT2115" s="103"/>
      <c r="CU2115" s="103"/>
      <c r="CV2115" s="103"/>
      <c r="CW2115" s="103"/>
      <c r="CX2115" s="103"/>
      <c r="CY2115" s="103"/>
      <c r="CZ2115" s="103"/>
      <c r="DA2115" s="103"/>
      <c r="DB2115" s="103"/>
      <c r="DC2115" s="103"/>
      <c r="DD2115" s="103"/>
      <c r="DE2115" s="103"/>
      <c r="DF2115" s="103"/>
      <c r="DG2115" s="103"/>
      <c r="DH2115" s="103"/>
      <c r="DI2115" s="103"/>
      <c r="DJ2115" s="103"/>
      <c r="DK2115" s="103"/>
      <c r="DL2115" s="103"/>
      <c r="DM2115" s="103"/>
      <c r="DN2115" s="103"/>
      <c r="DO2115" s="103"/>
      <c r="DP2115" s="103"/>
      <c r="DQ2115" s="103"/>
      <c r="DR2115" s="103"/>
      <c r="DS2115" s="103"/>
      <c r="DT2115" s="103"/>
      <c r="DU2115" s="103"/>
      <c r="DV2115" s="103"/>
      <c r="DW2115" s="103"/>
      <c r="DX2115" s="103"/>
      <c r="DY2115" s="103"/>
      <c r="DZ2115" s="103"/>
      <c r="EA2115" s="103"/>
      <c r="EB2115" s="103"/>
      <c r="EC2115" s="103"/>
      <c r="ED2115" s="103"/>
      <c r="EE2115" s="103"/>
      <c r="EF2115" s="103"/>
      <c r="EG2115" s="103"/>
      <c r="EH2115" s="103"/>
      <c r="EI2115" s="103"/>
      <c r="EJ2115" s="103"/>
      <c r="EK2115" s="103"/>
      <c r="EL2115" s="103"/>
      <c r="EM2115" s="103"/>
      <c r="EN2115" s="103"/>
      <c r="EO2115" s="103"/>
      <c r="EP2115" s="103"/>
      <c r="EQ2115" s="103"/>
      <c r="ER2115" s="103"/>
      <c r="ES2115" s="103"/>
      <c r="ET2115" s="103"/>
      <c r="EU2115" s="103"/>
      <c r="EV2115" s="103"/>
      <c r="EW2115" s="103"/>
      <c r="EX2115" s="103"/>
      <c r="EY2115" s="103"/>
      <c r="EZ2115" s="103"/>
      <c r="FA2115" s="103"/>
      <c r="FB2115" s="103"/>
      <c r="FC2115" s="103"/>
      <c r="FD2115" s="103"/>
      <c r="FE2115" s="103"/>
      <c r="FF2115" s="103"/>
      <c r="FG2115" s="103"/>
      <c r="FH2115" s="103"/>
      <c r="FI2115" s="103"/>
      <c r="FJ2115" s="103"/>
      <c r="FK2115" s="103"/>
      <c r="FL2115" s="103"/>
      <c r="FM2115" s="103"/>
      <c r="FN2115" s="103"/>
      <c r="FO2115" s="103"/>
      <c r="FP2115" s="103"/>
      <c r="FQ2115" s="103"/>
      <c r="FR2115" s="103"/>
      <c r="FS2115" s="103"/>
      <c r="FT2115" s="103"/>
      <c r="FU2115" s="103"/>
      <c r="FV2115" s="103"/>
      <c r="FW2115" s="103"/>
      <c r="FX2115" s="103"/>
      <c r="FY2115" s="103"/>
      <c r="FZ2115" s="103"/>
      <c r="GA2115" s="103"/>
      <c r="GB2115" s="103"/>
      <c r="GC2115" s="103"/>
      <c r="GD2115" s="103"/>
      <c r="GE2115" s="103"/>
      <c r="GF2115" s="103"/>
      <c r="GG2115" s="103"/>
      <c r="GH2115" s="103"/>
      <c r="GI2115" s="103"/>
      <c r="GJ2115" s="103"/>
      <c r="GK2115" s="103"/>
      <c r="GL2115" s="103"/>
      <c r="GM2115" s="103"/>
      <c r="GN2115" s="103"/>
      <c r="GO2115" s="103"/>
      <c r="GP2115" s="103"/>
      <c r="GQ2115" s="103"/>
      <c r="GR2115" s="103"/>
      <c r="GS2115" s="103"/>
      <c r="GT2115" s="103"/>
      <c r="GU2115" s="103"/>
      <c r="GV2115" s="103"/>
      <c r="GW2115" s="103"/>
      <c r="GX2115" s="103"/>
      <c r="GY2115" s="103"/>
      <c r="GZ2115" s="103"/>
      <c r="HA2115" s="103"/>
      <c r="HB2115" s="103"/>
      <c r="HC2115" s="103"/>
      <c r="HD2115" s="103"/>
      <c r="HE2115" s="103"/>
      <c r="HF2115" s="103"/>
      <c r="HG2115" s="103"/>
      <c r="HH2115" s="103"/>
      <c r="HI2115" s="103"/>
      <c r="HJ2115" s="103"/>
      <c r="HK2115" s="103"/>
      <c r="HL2115" s="103"/>
      <c r="HM2115" s="103"/>
      <c r="HN2115" s="103"/>
      <c r="HO2115" s="103"/>
      <c r="HP2115" s="103"/>
      <c r="HQ2115" s="103"/>
      <c r="HR2115" s="103"/>
      <c r="HS2115" s="103"/>
      <c r="HT2115" s="103"/>
      <c r="HU2115" s="103"/>
      <c r="HV2115" s="103"/>
      <c r="HW2115" s="103"/>
      <c r="HX2115" s="103"/>
      <c r="HY2115" s="103"/>
      <c r="HZ2115" s="103"/>
      <c r="IA2115" s="103"/>
      <c r="IB2115" s="103"/>
      <c r="IC2115" s="103"/>
      <c r="ID2115" s="103"/>
      <c r="IE2115" s="103"/>
      <c r="IF2115" s="103"/>
      <c r="IG2115" s="103"/>
      <c r="IH2115" s="103"/>
      <c r="II2115" s="103"/>
      <c r="IJ2115" s="103"/>
      <c r="IK2115" s="103"/>
      <c r="IL2115" s="103"/>
      <c r="IM2115" s="103"/>
      <c r="IN2115" s="103"/>
      <c r="IO2115" s="103"/>
      <c r="IP2115" s="103"/>
      <c r="IQ2115" s="103"/>
      <c r="IR2115" s="103"/>
      <c r="IS2115" s="103"/>
      <c r="IT2115" s="103"/>
      <c r="IU2115" s="103"/>
      <c r="IV2115" s="103"/>
      <c r="IW2115" s="103"/>
    </row>
    <row r="2116" customFormat="false" ht="17.6" hidden="false" customHeight="false" outlineLevel="0" collapsed="false">
      <c r="A2116" s="89" t="s">
        <v>2358</v>
      </c>
      <c r="B2116" s="90" t="s">
        <v>2298</v>
      </c>
      <c r="C2116" s="90" t="n">
        <f aca="false">ROUND(E2116*G2116,)</f>
        <v>6985</v>
      </c>
      <c r="D2116" s="103" t="s">
        <v>1420</v>
      </c>
      <c r="E2116" s="103" t="n">
        <v>7761</v>
      </c>
      <c r="F2116" s="103"/>
      <c r="G2116" s="103" t="n">
        <v>0.9</v>
      </c>
      <c r="H2116" s="103"/>
      <c r="I2116" s="103"/>
      <c r="J2116" s="103"/>
      <c r="K2116" s="103"/>
      <c r="L2116" s="103"/>
      <c r="M2116" s="103"/>
      <c r="N2116" s="103"/>
      <c r="O2116" s="104"/>
      <c r="P2116" s="103"/>
      <c r="Q2116" s="103"/>
      <c r="R2116" s="103"/>
      <c r="S2116" s="103"/>
      <c r="T2116" s="103"/>
      <c r="U2116" s="103"/>
      <c r="V2116" s="103"/>
      <c r="W2116" s="103"/>
      <c r="X2116" s="103"/>
      <c r="Y2116" s="103"/>
      <c r="Z2116" s="103"/>
      <c r="AA2116" s="103"/>
      <c r="AB2116" s="103"/>
      <c r="AC2116" s="103"/>
      <c r="AD2116" s="103"/>
      <c r="AE2116" s="103"/>
      <c r="AF2116" s="103"/>
      <c r="AG2116" s="103"/>
      <c r="AH2116" s="103"/>
      <c r="AI2116" s="103"/>
      <c r="AJ2116" s="103"/>
      <c r="AK2116" s="103"/>
      <c r="AL2116" s="103"/>
      <c r="AM2116" s="103"/>
      <c r="AN2116" s="103"/>
      <c r="AO2116" s="103"/>
      <c r="AP2116" s="103"/>
      <c r="AQ2116" s="103"/>
      <c r="AR2116" s="103"/>
      <c r="AS2116" s="103"/>
      <c r="AT2116" s="103"/>
      <c r="AU2116" s="103"/>
      <c r="AV2116" s="103"/>
      <c r="AW2116" s="103"/>
      <c r="AX2116" s="103"/>
      <c r="AY2116" s="103"/>
      <c r="AZ2116" s="103"/>
      <c r="BA2116" s="103"/>
      <c r="BB2116" s="103"/>
      <c r="BC2116" s="103"/>
      <c r="BD2116" s="103"/>
      <c r="BE2116" s="103"/>
      <c r="BF2116" s="103"/>
      <c r="BG2116" s="103"/>
      <c r="BH2116" s="103"/>
      <c r="BI2116" s="103"/>
      <c r="BJ2116" s="103"/>
      <c r="BK2116" s="103"/>
      <c r="BL2116" s="103"/>
      <c r="BM2116" s="103"/>
      <c r="BN2116" s="103"/>
      <c r="BO2116" s="103"/>
      <c r="BP2116" s="103"/>
      <c r="BQ2116" s="103"/>
      <c r="BR2116" s="103"/>
      <c r="BS2116" s="103"/>
      <c r="BT2116" s="103"/>
      <c r="BU2116" s="103"/>
      <c r="BV2116" s="103"/>
      <c r="BW2116" s="103"/>
      <c r="BX2116" s="103"/>
      <c r="BY2116" s="103"/>
      <c r="BZ2116" s="103"/>
      <c r="CA2116" s="103"/>
      <c r="CB2116" s="103"/>
      <c r="CC2116" s="103"/>
      <c r="CD2116" s="103"/>
      <c r="CE2116" s="103"/>
      <c r="CF2116" s="103"/>
      <c r="CG2116" s="103"/>
      <c r="CH2116" s="103"/>
      <c r="CI2116" s="103"/>
      <c r="CJ2116" s="103"/>
      <c r="CK2116" s="103"/>
      <c r="CL2116" s="103"/>
      <c r="CM2116" s="103"/>
      <c r="CN2116" s="103"/>
      <c r="CO2116" s="103"/>
      <c r="CP2116" s="103"/>
      <c r="CQ2116" s="103"/>
      <c r="CR2116" s="103"/>
      <c r="CS2116" s="103"/>
      <c r="CT2116" s="103"/>
      <c r="CU2116" s="103"/>
      <c r="CV2116" s="103"/>
      <c r="CW2116" s="103"/>
      <c r="CX2116" s="103"/>
      <c r="CY2116" s="103"/>
      <c r="CZ2116" s="103"/>
      <c r="DA2116" s="103"/>
      <c r="DB2116" s="103"/>
      <c r="DC2116" s="103"/>
      <c r="DD2116" s="103"/>
      <c r="DE2116" s="103"/>
      <c r="DF2116" s="103"/>
      <c r="DG2116" s="103"/>
      <c r="DH2116" s="103"/>
      <c r="DI2116" s="103"/>
      <c r="DJ2116" s="103"/>
      <c r="DK2116" s="103"/>
      <c r="DL2116" s="103"/>
      <c r="DM2116" s="103"/>
      <c r="DN2116" s="103"/>
      <c r="DO2116" s="103"/>
      <c r="DP2116" s="103"/>
      <c r="DQ2116" s="103"/>
      <c r="DR2116" s="103"/>
      <c r="DS2116" s="103"/>
      <c r="DT2116" s="103"/>
      <c r="DU2116" s="103"/>
      <c r="DV2116" s="103"/>
      <c r="DW2116" s="103"/>
      <c r="DX2116" s="103"/>
      <c r="DY2116" s="103"/>
      <c r="DZ2116" s="103"/>
      <c r="EA2116" s="103"/>
      <c r="EB2116" s="103"/>
      <c r="EC2116" s="103"/>
      <c r="ED2116" s="103"/>
      <c r="EE2116" s="103"/>
      <c r="EF2116" s="103"/>
      <c r="EG2116" s="103"/>
      <c r="EH2116" s="103"/>
      <c r="EI2116" s="103"/>
      <c r="EJ2116" s="103"/>
      <c r="EK2116" s="103"/>
      <c r="EL2116" s="103"/>
      <c r="EM2116" s="103"/>
      <c r="EN2116" s="103"/>
      <c r="EO2116" s="103"/>
      <c r="EP2116" s="103"/>
      <c r="EQ2116" s="103"/>
      <c r="ER2116" s="103"/>
      <c r="ES2116" s="103"/>
      <c r="ET2116" s="103"/>
      <c r="EU2116" s="103"/>
      <c r="EV2116" s="103"/>
      <c r="EW2116" s="103"/>
      <c r="EX2116" s="103"/>
      <c r="EY2116" s="103"/>
      <c r="EZ2116" s="103"/>
      <c r="FA2116" s="103"/>
      <c r="FB2116" s="103"/>
      <c r="FC2116" s="103"/>
      <c r="FD2116" s="103"/>
      <c r="FE2116" s="103"/>
      <c r="FF2116" s="103"/>
      <c r="FG2116" s="103"/>
      <c r="FH2116" s="103"/>
      <c r="FI2116" s="103"/>
      <c r="FJ2116" s="103"/>
      <c r="FK2116" s="103"/>
      <c r="FL2116" s="103"/>
      <c r="FM2116" s="103"/>
      <c r="FN2116" s="103"/>
      <c r="FO2116" s="103"/>
      <c r="FP2116" s="103"/>
      <c r="FQ2116" s="103"/>
      <c r="FR2116" s="103"/>
      <c r="FS2116" s="103"/>
      <c r="FT2116" s="103"/>
      <c r="FU2116" s="103"/>
      <c r="FV2116" s="103"/>
      <c r="FW2116" s="103"/>
      <c r="FX2116" s="103"/>
      <c r="FY2116" s="103"/>
      <c r="FZ2116" s="103"/>
      <c r="GA2116" s="103"/>
      <c r="GB2116" s="103"/>
      <c r="GC2116" s="103"/>
      <c r="GD2116" s="103"/>
      <c r="GE2116" s="103"/>
      <c r="GF2116" s="103"/>
      <c r="GG2116" s="103"/>
      <c r="GH2116" s="103"/>
      <c r="GI2116" s="103"/>
      <c r="GJ2116" s="103"/>
      <c r="GK2116" s="103"/>
      <c r="GL2116" s="103"/>
      <c r="GM2116" s="103"/>
      <c r="GN2116" s="103"/>
      <c r="GO2116" s="103"/>
      <c r="GP2116" s="103"/>
      <c r="GQ2116" s="103"/>
      <c r="GR2116" s="103"/>
      <c r="GS2116" s="103"/>
      <c r="GT2116" s="103"/>
      <c r="GU2116" s="103"/>
      <c r="GV2116" s="103"/>
      <c r="GW2116" s="103"/>
      <c r="GX2116" s="103"/>
      <c r="GY2116" s="103"/>
      <c r="GZ2116" s="103"/>
      <c r="HA2116" s="103"/>
      <c r="HB2116" s="103"/>
      <c r="HC2116" s="103"/>
      <c r="HD2116" s="103"/>
      <c r="HE2116" s="103"/>
      <c r="HF2116" s="103"/>
      <c r="HG2116" s="103"/>
      <c r="HH2116" s="103"/>
      <c r="HI2116" s="103"/>
      <c r="HJ2116" s="103"/>
      <c r="HK2116" s="103"/>
      <c r="HL2116" s="103"/>
      <c r="HM2116" s="103"/>
      <c r="HN2116" s="103"/>
      <c r="HO2116" s="103"/>
      <c r="HP2116" s="103"/>
      <c r="HQ2116" s="103"/>
      <c r="HR2116" s="103"/>
      <c r="HS2116" s="103"/>
      <c r="HT2116" s="103"/>
      <c r="HU2116" s="103"/>
      <c r="HV2116" s="103"/>
      <c r="HW2116" s="103"/>
      <c r="HX2116" s="103"/>
      <c r="HY2116" s="103"/>
      <c r="HZ2116" s="103"/>
      <c r="IA2116" s="103"/>
      <c r="IB2116" s="103"/>
      <c r="IC2116" s="103"/>
      <c r="ID2116" s="103"/>
      <c r="IE2116" s="103"/>
      <c r="IF2116" s="103"/>
      <c r="IG2116" s="103"/>
      <c r="IH2116" s="103"/>
      <c r="II2116" s="103"/>
      <c r="IJ2116" s="103"/>
      <c r="IK2116" s="103"/>
      <c r="IL2116" s="103"/>
      <c r="IM2116" s="103"/>
      <c r="IN2116" s="103"/>
      <c r="IO2116" s="103"/>
      <c r="IP2116" s="103"/>
      <c r="IQ2116" s="103"/>
      <c r="IR2116" s="103"/>
      <c r="IS2116" s="103"/>
      <c r="IT2116" s="103"/>
      <c r="IU2116" s="103"/>
      <c r="IV2116" s="103"/>
      <c r="IW2116" s="103"/>
    </row>
    <row r="2117" customFormat="false" ht="17.6" hidden="false" customHeight="false" outlineLevel="0" collapsed="false">
      <c r="A2117" s="89" t="s">
        <v>2359</v>
      </c>
      <c r="B2117" s="90" t="s">
        <v>2298</v>
      </c>
      <c r="C2117" s="90" t="n">
        <f aca="false">ROUND(E2117*G2117,)</f>
        <v>7268</v>
      </c>
      <c r="D2117" s="103" t="s">
        <v>1420</v>
      </c>
      <c r="E2117" s="103" t="n">
        <v>8076</v>
      </c>
      <c r="F2117" s="103"/>
      <c r="G2117" s="103" t="n">
        <v>0.9</v>
      </c>
      <c r="H2117" s="103"/>
      <c r="I2117" s="103"/>
      <c r="J2117" s="103"/>
      <c r="K2117" s="103"/>
      <c r="L2117" s="103"/>
      <c r="M2117" s="103"/>
      <c r="N2117" s="103"/>
      <c r="O2117" s="104"/>
      <c r="P2117" s="103"/>
      <c r="Q2117" s="103"/>
      <c r="R2117" s="103"/>
      <c r="S2117" s="103"/>
      <c r="T2117" s="103"/>
      <c r="U2117" s="103"/>
      <c r="V2117" s="103"/>
      <c r="W2117" s="103"/>
      <c r="X2117" s="103"/>
      <c r="Y2117" s="103"/>
      <c r="Z2117" s="103"/>
      <c r="AA2117" s="103"/>
      <c r="AB2117" s="103"/>
      <c r="AC2117" s="103"/>
      <c r="AD2117" s="103"/>
      <c r="AE2117" s="103"/>
      <c r="AF2117" s="103"/>
      <c r="AG2117" s="103"/>
      <c r="AH2117" s="103"/>
      <c r="AI2117" s="103"/>
      <c r="AJ2117" s="103"/>
      <c r="AK2117" s="103"/>
      <c r="AL2117" s="103"/>
      <c r="AM2117" s="103"/>
      <c r="AN2117" s="103"/>
      <c r="AO2117" s="103"/>
      <c r="AP2117" s="103"/>
      <c r="AQ2117" s="103"/>
      <c r="AR2117" s="103"/>
      <c r="AS2117" s="103"/>
      <c r="AT2117" s="103"/>
      <c r="AU2117" s="103"/>
      <c r="AV2117" s="103"/>
      <c r="AW2117" s="103"/>
      <c r="AX2117" s="103"/>
      <c r="AY2117" s="103"/>
      <c r="AZ2117" s="103"/>
      <c r="BA2117" s="103"/>
      <c r="BB2117" s="103"/>
      <c r="BC2117" s="103"/>
      <c r="BD2117" s="103"/>
      <c r="BE2117" s="103"/>
      <c r="BF2117" s="103"/>
      <c r="BG2117" s="103"/>
      <c r="BH2117" s="103"/>
      <c r="BI2117" s="103"/>
      <c r="BJ2117" s="103"/>
      <c r="BK2117" s="103"/>
      <c r="BL2117" s="103"/>
      <c r="BM2117" s="103"/>
      <c r="BN2117" s="103"/>
      <c r="BO2117" s="103"/>
      <c r="BP2117" s="103"/>
      <c r="BQ2117" s="103"/>
      <c r="BR2117" s="103"/>
      <c r="BS2117" s="103"/>
      <c r="BT2117" s="103"/>
      <c r="BU2117" s="103"/>
      <c r="BV2117" s="103"/>
      <c r="BW2117" s="103"/>
      <c r="BX2117" s="103"/>
      <c r="BY2117" s="103"/>
      <c r="BZ2117" s="103"/>
      <c r="CA2117" s="103"/>
      <c r="CB2117" s="103"/>
      <c r="CC2117" s="103"/>
      <c r="CD2117" s="103"/>
      <c r="CE2117" s="103"/>
      <c r="CF2117" s="103"/>
      <c r="CG2117" s="103"/>
      <c r="CH2117" s="103"/>
      <c r="CI2117" s="103"/>
      <c r="CJ2117" s="103"/>
      <c r="CK2117" s="103"/>
      <c r="CL2117" s="103"/>
      <c r="CM2117" s="103"/>
      <c r="CN2117" s="103"/>
      <c r="CO2117" s="103"/>
      <c r="CP2117" s="103"/>
      <c r="CQ2117" s="103"/>
      <c r="CR2117" s="103"/>
      <c r="CS2117" s="103"/>
      <c r="CT2117" s="103"/>
      <c r="CU2117" s="103"/>
      <c r="CV2117" s="103"/>
      <c r="CW2117" s="103"/>
      <c r="CX2117" s="103"/>
      <c r="CY2117" s="103"/>
      <c r="CZ2117" s="103"/>
      <c r="DA2117" s="103"/>
      <c r="DB2117" s="103"/>
      <c r="DC2117" s="103"/>
      <c r="DD2117" s="103"/>
      <c r="DE2117" s="103"/>
      <c r="DF2117" s="103"/>
      <c r="DG2117" s="103"/>
      <c r="DH2117" s="103"/>
      <c r="DI2117" s="103"/>
      <c r="DJ2117" s="103"/>
      <c r="DK2117" s="103"/>
      <c r="DL2117" s="103"/>
      <c r="DM2117" s="103"/>
      <c r="DN2117" s="103"/>
      <c r="DO2117" s="103"/>
      <c r="DP2117" s="103"/>
      <c r="DQ2117" s="103"/>
      <c r="DR2117" s="103"/>
      <c r="DS2117" s="103"/>
      <c r="DT2117" s="103"/>
      <c r="DU2117" s="103"/>
      <c r="DV2117" s="103"/>
      <c r="DW2117" s="103"/>
      <c r="DX2117" s="103"/>
      <c r="DY2117" s="103"/>
      <c r="DZ2117" s="103"/>
      <c r="EA2117" s="103"/>
      <c r="EB2117" s="103"/>
      <c r="EC2117" s="103"/>
      <c r="ED2117" s="103"/>
      <c r="EE2117" s="103"/>
      <c r="EF2117" s="103"/>
      <c r="EG2117" s="103"/>
      <c r="EH2117" s="103"/>
      <c r="EI2117" s="103"/>
      <c r="EJ2117" s="103"/>
      <c r="EK2117" s="103"/>
      <c r="EL2117" s="103"/>
      <c r="EM2117" s="103"/>
      <c r="EN2117" s="103"/>
      <c r="EO2117" s="103"/>
      <c r="EP2117" s="103"/>
      <c r="EQ2117" s="103"/>
      <c r="ER2117" s="103"/>
      <c r="ES2117" s="103"/>
      <c r="ET2117" s="103"/>
      <c r="EU2117" s="103"/>
      <c r="EV2117" s="103"/>
      <c r="EW2117" s="103"/>
      <c r="EX2117" s="103"/>
      <c r="EY2117" s="103"/>
      <c r="EZ2117" s="103"/>
      <c r="FA2117" s="103"/>
      <c r="FB2117" s="103"/>
      <c r="FC2117" s="103"/>
      <c r="FD2117" s="103"/>
      <c r="FE2117" s="103"/>
      <c r="FF2117" s="103"/>
      <c r="FG2117" s="103"/>
      <c r="FH2117" s="103"/>
      <c r="FI2117" s="103"/>
      <c r="FJ2117" s="103"/>
      <c r="FK2117" s="103"/>
      <c r="FL2117" s="103"/>
      <c r="FM2117" s="103"/>
      <c r="FN2117" s="103"/>
      <c r="FO2117" s="103"/>
      <c r="FP2117" s="103"/>
      <c r="FQ2117" s="103"/>
      <c r="FR2117" s="103"/>
      <c r="FS2117" s="103"/>
      <c r="FT2117" s="103"/>
      <c r="FU2117" s="103"/>
      <c r="FV2117" s="103"/>
      <c r="FW2117" s="103"/>
      <c r="FX2117" s="103"/>
      <c r="FY2117" s="103"/>
      <c r="FZ2117" s="103"/>
      <c r="GA2117" s="103"/>
      <c r="GB2117" s="103"/>
      <c r="GC2117" s="103"/>
      <c r="GD2117" s="103"/>
      <c r="GE2117" s="103"/>
      <c r="GF2117" s="103"/>
      <c r="GG2117" s="103"/>
      <c r="GH2117" s="103"/>
      <c r="GI2117" s="103"/>
      <c r="GJ2117" s="103"/>
      <c r="GK2117" s="103"/>
      <c r="GL2117" s="103"/>
      <c r="GM2117" s="103"/>
      <c r="GN2117" s="103"/>
      <c r="GO2117" s="103"/>
      <c r="GP2117" s="103"/>
      <c r="GQ2117" s="103"/>
      <c r="GR2117" s="103"/>
      <c r="GS2117" s="103"/>
      <c r="GT2117" s="103"/>
      <c r="GU2117" s="103"/>
      <c r="GV2117" s="103"/>
      <c r="GW2117" s="103"/>
      <c r="GX2117" s="103"/>
      <c r="GY2117" s="103"/>
      <c r="GZ2117" s="103"/>
      <c r="HA2117" s="103"/>
      <c r="HB2117" s="103"/>
      <c r="HC2117" s="103"/>
      <c r="HD2117" s="103"/>
      <c r="HE2117" s="103"/>
      <c r="HF2117" s="103"/>
      <c r="HG2117" s="103"/>
      <c r="HH2117" s="103"/>
      <c r="HI2117" s="103"/>
      <c r="HJ2117" s="103"/>
      <c r="HK2117" s="103"/>
      <c r="HL2117" s="103"/>
      <c r="HM2117" s="103"/>
      <c r="HN2117" s="103"/>
      <c r="HO2117" s="103"/>
      <c r="HP2117" s="103"/>
      <c r="HQ2117" s="103"/>
      <c r="HR2117" s="103"/>
      <c r="HS2117" s="103"/>
      <c r="HT2117" s="103"/>
      <c r="HU2117" s="103"/>
      <c r="HV2117" s="103"/>
      <c r="HW2117" s="103"/>
      <c r="HX2117" s="103"/>
      <c r="HY2117" s="103"/>
      <c r="HZ2117" s="103"/>
      <c r="IA2117" s="103"/>
      <c r="IB2117" s="103"/>
      <c r="IC2117" s="103"/>
      <c r="ID2117" s="103"/>
      <c r="IE2117" s="103"/>
      <c r="IF2117" s="103"/>
      <c r="IG2117" s="103"/>
      <c r="IH2117" s="103"/>
      <c r="II2117" s="103"/>
      <c r="IJ2117" s="103"/>
      <c r="IK2117" s="103"/>
      <c r="IL2117" s="103"/>
      <c r="IM2117" s="103"/>
      <c r="IN2117" s="103"/>
      <c r="IO2117" s="103"/>
      <c r="IP2117" s="103"/>
      <c r="IQ2117" s="103"/>
      <c r="IR2117" s="103"/>
      <c r="IS2117" s="103"/>
      <c r="IT2117" s="103"/>
      <c r="IU2117" s="103"/>
      <c r="IV2117" s="103"/>
      <c r="IW2117" s="103"/>
    </row>
    <row r="2118" customFormat="false" ht="17.6" hidden="false" customHeight="false" outlineLevel="0" collapsed="false">
      <c r="A2118" s="89" t="s">
        <v>2360</v>
      </c>
      <c r="B2118" s="90" t="s">
        <v>2298</v>
      </c>
      <c r="C2118" s="90" t="n">
        <f aca="false">ROUND(E2118*G2118,)</f>
        <v>7552</v>
      </c>
      <c r="D2118" s="103" t="s">
        <v>1420</v>
      </c>
      <c r="E2118" s="103" t="n">
        <v>8391</v>
      </c>
      <c r="F2118" s="103"/>
      <c r="G2118" s="103" t="n">
        <v>0.9</v>
      </c>
      <c r="H2118" s="103"/>
      <c r="I2118" s="103"/>
      <c r="J2118" s="103"/>
      <c r="K2118" s="103"/>
      <c r="L2118" s="103"/>
      <c r="M2118" s="103"/>
      <c r="N2118" s="103"/>
      <c r="O2118" s="104"/>
      <c r="P2118" s="103"/>
      <c r="Q2118" s="103"/>
      <c r="R2118" s="103"/>
      <c r="S2118" s="103"/>
      <c r="T2118" s="103"/>
      <c r="U2118" s="103"/>
      <c r="V2118" s="103"/>
      <c r="W2118" s="103"/>
      <c r="X2118" s="103"/>
      <c r="Y2118" s="103"/>
      <c r="Z2118" s="103"/>
      <c r="AA2118" s="103"/>
      <c r="AB2118" s="103"/>
      <c r="AC2118" s="103"/>
      <c r="AD2118" s="103"/>
      <c r="AE2118" s="103"/>
      <c r="AF2118" s="103"/>
      <c r="AG2118" s="103"/>
      <c r="AH2118" s="103"/>
      <c r="AI2118" s="103"/>
      <c r="AJ2118" s="103"/>
      <c r="AK2118" s="103"/>
      <c r="AL2118" s="103"/>
      <c r="AM2118" s="103"/>
      <c r="AN2118" s="103"/>
      <c r="AO2118" s="103"/>
      <c r="AP2118" s="103"/>
      <c r="AQ2118" s="103"/>
      <c r="AR2118" s="103"/>
      <c r="AS2118" s="103"/>
      <c r="AT2118" s="103"/>
      <c r="AU2118" s="103"/>
      <c r="AV2118" s="103"/>
      <c r="AW2118" s="103"/>
      <c r="AX2118" s="103"/>
      <c r="AY2118" s="103"/>
      <c r="AZ2118" s="103"/>
      <c r="BA2118" s="103"/>
      <c r="BB2118" s="103"/>
      <c r="BC2118" s="103"/>
      <c r="BD2118" s="103"/>
      <c r="BE2118" s="103"/>
      <c r="BF2118" s="103"/>
      <c r="BG2118" s="103"/>
      <c r="BH2118" s="103"/>
      <c r="BI2118" s="103"/>
      <c r="BJ2118" s="103"/>
      <c r="BK2118" s="103"/>
      <c r="BL2118" s="103"/>
      <c r="BM2118" s="103"/>
      <c r="BN2118" s="103"/>
      <c r="BO2118" s="103"/>
      <c r="BP2118" s="103"/>
      <c r="BQ2118" s="103"/>
      <c r="BR2118" s="103"/>
      <c r="BS2118" s="103"/>
      <c r="BT2118" s="103"/>
      <c r="BU2118" s="103"/>
      <c r="BV2118" s="103"/>
      <c r="BW2118" s="103"/>
      <c r="BX2118" s="103"/>
      <c r="BY2118" s="103"/>
      <c r="BZ2118" s="103"/>
      <c r="CA2118" s="103"/>
      <c r="CB2118" s="103"/>
      <c r="CC2118" s="103"/>
      <c r="CD2118" s="103"/>
      <c r="CE2118" s="103"/>
      <c r="CF2118" s="103"/>
      <c r="CG2118" s="103"/>
      <c r="CH2118" s="103"/>
      <c r="CI2118" s="103"/>
      <c r="CJ2118" s="103"/>
      <c r="CK2118" s="103"/>
      <c r="CL2118" s="103"/>
      <c r="CM2118" s="103"/>
      <c r="CN2118" s="103"/>
      <c r="CO2118" s="103"/>
      <c r="CP2118" s="103"/>
      <c r="CQ2118" s="103"/>
      <c r="CR2118" s="103"/>
      <c r="CS2118" s="103"/>
      <c r="CT2118" s="103"/>
      <c r="CU2118" s="103"/>
      <c r="CV2118" s="103"/>
      <c r="CW2118" s="103"/>
      <c r="CX2118" s="103"/>
      <c r="CY2118" s="103"/>
      <c r="CZ2118" s="103"/>
      <c r="DA2118" s="103"/>
      <c r="DB2118" s="103"/>
      <c r="DC2118" s="103"/>
      <c r="DD2118" s="103"/>
      <c r="DE2118" s="103"/>
      <c r="DF2118" s="103"/>
      <c r="DG2118" s="103"/>
      <c r="DH2118" s="103"/>
      <c r="DI2118" s="103"/>
      <c r="DJ2118" s="103"/>
      <c r="DK2118" s="103"/>
      <c r="DL2118" s="103"/>
      <c r="DM2118" s="103"/>
      <c r="DN2118" s="103"/>
      <c r="DO2118" s="103"/>
      <c r="DP2118" s="103"/>
      <c r="DQ2118" s="103"/>
      <c r="DR2118" s="103"/>
      <c r="DS2118" s="103"/>
      <c r="DT2118" s="103"/>
      <c r="DU2118" s="103"/>
      <c r="DV2118" s="103"/>
      <c r="DW2118" s="103"/>
      <c r="DX2118" s="103"/>
      <c r="DY2118" s="103"/>
      <c r="DZ2118" s="103"/>
      <c r="EA2118" s="103"/>
      <c r="EB2118" s="103"/>
      <c r="EC2118" s="103"/>
      <c r="ED2118" s="103"/>
      <c r="EE2118" s="103"/>
      <c r="EF2118" s="103"/>
      <c r="EG2118" s="103"/>
      <c r="EH2118" s="103"/>
      <c r="EI2118" s="103"/>
      <c r="EJ2118" s="103"/>
      <c r="EK2118" s="103"/>
      <c r="EL2118" s="103"/>
      <c r="EM2118" s="103"/>
      <c r="EN2118" s="103"/>
      <c r="EO2118" s="103"/>
      <c r="EP2118" s="103"/>
      <c r="EQ2118" s="103"/>
      <c r="ER2118" s="103"/>
      <c r="ES2118" s="103"/>
      <c r="ET2118" s="103"/>
      <c r="EU2118" s="103"/>
      <c r="EV2118" s="103"/>
      <c r="EW2118" s="103"/>
      <c r="EX2118" s="103"/>
      <c r="EY2118" s="103"/>
      <c r="EZ2118" s="103"/>
      <c r="FA2118" s="103"/>
      <c r="FB2118" s="103"/>
      <c r="FC2118" s="103"/>
      <c r="FD2118" s="103"/>
      <c r="FE2118" s="103"/>
      <c r="FF2118" s="103"/>
      <c r="FG2118" s="103"/>
      <c r="FH2118" s="103"/>
      <c r="FI2118" s="103"/>
      <c r="FJ2118" s="103"/>
      <c r="FK2118" s="103"/>
      <c r="FL2118" s="103"/>
      <c r="FM2118" s="103"/>
      <c r="FN2118" s="103"/>
      <c r="FO2118" s="103"/>
      <c r="FP2118" s="103"/>
      <c r="FQ2118" s="103"/>
      <c r="FR2118" s="103"/>
      <c r="FS2118" s="103"/>
      <c r="FT2118" s="103"/>
      <c r="FU2118" s="103"/>
      <c r="FV2118" s="103"/>
      <c r="FW2118" s="103"/>
      <c r="FX2118" s="103"/>
      <c r="FY2118" s="103"/>
      <c r="FZ2118" s="103"/>
      <c r="GA2118" s="103"/>
      <c r="GB2118" s="103"/>
      <c r="GC2118" s="103"/>
      <c r="GD2118" s="103"/>
      <c r="GE2118" s="103"/>
      <c r="GF2118" s="103"/>
      <c r="GG2118" s="103"/>
      <c r="GH2118" s="103"/>
      <c r="GI2118" s="103"/>
      <c r="GJ2118" s="103"/>
      <c r="GK2118" s="103"/>
      <c r="GL2118" s="103"/>
      <c r="GM2118" s="103"/>
      <c r="GN2118" s="103"/>
      <c r="GO2118" s="103"/>
      <c r="GP2118" s="103"/>
      <c r="GQ2118" s="103"/>
      <c r="GR2118" s="103"/>
      <c r="GS2118" s="103"/>
      <c r="GT2118" s="103"/>
      <c r="GU2118" s="103"/>
      <c r="GV2118" s="103"/>
      <c r="GW2118" s="103"/>
      <c r="GX2118" s="103"/>
      <c r="GY2118" s="103"/>
      <c r="GZ2118" s="103"/>
      <c r="HA2118" s="103"/>
      <c r="HB2118" s="103"/>
      <c r="HC2118" s="103"/>
      <c r="HD2118" s="103"/>
      <c r="HE2118" s="103"/>
      <c r="HF2118" s="103"/>
      <c r="HG2118" s="103"/>
      <c r="HH2118" s="103"/>
      <c r="HI2118" s="103"/>
      <c r="HJ2118" s="103"/>
      <c r="HK2118" s="103"/>
      <c r="HL2118" s="103"/>
      <c r="HM2118" s="103"/>
      <c r="HN2118" s="103"/>
      <c r="HO2118" s="103"/>
      <c r="HP2118" s="103"/>
      <c r="HQ2118" s="103"/>
      <c r="HR2118" s="103"/>
      <c r="HS2118" s="103"/>
      <c r="HT2118" s="103"/>
      <c r="HU2118" s="103"/>
      <c r="HV2118" s="103"/>
      <c r="HW2118" s="103"/>
      <c r="HX2118" s="103"/>
      <c r="HY2118" s="103"/>
      <c r="HZ2118" s="103"/>
      <c r="IA2118" s="103"/>
      <c r="IB2118" s="103"/>
      <c r="IC2118" s="103"/>
      <c r="ID2118" s="103"/>
      <c r="IE2118" s="103"/>
      <c r="IF2118" s="103"/>
      <c r="IG2118" s="103"/>
      <c r="IH2118" s="103"/>
      <c r="II2118" s="103"/>
      <c r="IJ2118" s="103"/>
      <c r="IK2118" s="103"/>
      <c r="IL2118" s="103"/>
      <c r="IM2118" s="103"/>
      <c r="IN2118" s="103"/>
      <c r="IO2118" s="103"/>
      <c r="IP2118" s="103"/>
      <c r="IQ2118" s="103"/>
      <c r="IR2118" s="103"/>
      <c r="IS2118" s="103"/>
      <c r="IT2118" s="103"/>
      <c r="IU2118" s="103"/>
      <c r="IV2118" s="103"/>
      <c r="IW2118" s="103"/>
    </row>
    <row r="2119" customFormat="false" ht="17.6" hidden="false" customHeight="false" outlineLevel="0" collapsed="false">
      <c r="A2119" s="89" t="s">
        <v>2361</v>
      </c>
      <c r="B2119" s="90" t="s">
        <v>2298</v>
      </c>
      <c r="C2119" s="90" t="n">
        <f aca="false">ROUND(E2119*G2119,)</f>
        <v>7835</v>
      </c>
      <c r="D2119" s="103" t="s">
        <v>1420</v>
      </c>
      <c r="E2119" s="103" t="n">
        <v>8706</v>
      </c>
      <c r="F2119" s="103"/>
      <c r="G2119" s="103" t="n">
        <v>0.9</v>
      </c>
      <c r="H2119" s="103"/>
      <c r="I2119" s="103"/>
      <c r="J2119" s="103"/>
      <c r="K2119" s="103"/>
      <c r="L2119" s="103"/>
      <c r="M2119" s="103"/>
      <c r="N2119" s="103"/>
      <c r="O2119" s="104"/>
      <c r="P2119" s="103"/>
      <c r="Q2119" s="103"/>
      <c r="R2119" s="103"/>
      <c r="S2119" s="103"/>
      <c r="T2119" s="103"/>
      <c r="U2119" s="103"/>
      <c r="V2119" s="103"/>
      <c r="W2119" s="103"/>
      <c r="X2119" s="103"/>
      <c r="Y2119" s="103"/>
      <c r="Z2119" s="103"/>
      <c r="AA2119" s="103"/>
      <c r="AB2119" s="103"/>
      <c r="AC2119" s="103"/>
      <c r="AD2119" s="103"/>
      <c r="AE2119" s="103"/>
      <c r="AF2119" s="103"/>
      <c r="AG2119" s="103"/>
      <c r="AH2119" s="103"/>
      <c r="AI2119" s="103"/>
      <c r="AJ2119" s="103"/>
      <c r="AK2119" s="103"/>
      <c r="AL2119" s="103"/>
      <c r="AM2119" s="103"/>
      <c r="AN2119" s="103"/>
      <c r="AO2119" s="103"/>
      <c r="AP2119" s="103"/>
      <c r="AQ2119" s="103"/>
      <c r="AR2119" s="103"/>
      <c r="AS2119" s="103"/>
      <c r="AT2119" s="103"/>
      <c r="AU2119" s="103"/>
      <c r="AV2119" s="103"/>
      <c r="AW2119" s="103"/>
      <c r="AX2119" s="103"/>
      <c r="AY2119" s="103"/>
      <c r="AZ2119" s="103"/>
      <c r="BA2119" s="103"/>
      <c r="BB2119" s="103"/>
      <c r="BC2119" s="103"/>
      <c r="BD2119" s="103"/>
      <c r="BE2119" s="103"/>
      <c r="BF2119" s="103"/>
      <c r="BG2119" s="103"/>
      <c r="BH2119" s="103"/>
      <c r="BI2119" s="103"/>
      <c r="BJ2119" s="103"/>
      <c r="BK2119" s="103"/>
      <c r="BL2119" s="103"/>
      <c r="BM2119" s="103"/>
      <c r="BN2119" s="103"/>
      <c r="BO2119" s="103"/>
      <c r="BP2119" s="103"/>
      <c r="BQ2119" s="103"/>
      <c r="BR2119" s="103"/>
      <c r="BS2119" s="103"/>
      <c r="BT2119" s="103"/>
      <c r="BU2119" s="103"/>
      <c r="BV2119" s="103"/>
      <c r="BW2119" s="103"/>
      <c r="BX2119" s="103"/>
      <c r="BY2119" s="103"/>
      <c r="BZ2119" s="103"/>
      <c r="CA2119" s="103"/>
      <c r="CB2119" s="103"/>
      <c r="CC2119" s="103"/>
      <c r="CD2119" s="103"/>
      <c r="CE2119" s="103"/>
      <c r="CF2119" s="103"/>
      <c r="CG2119" s="103"/>
      <c r="CH2119" s="103"/>
      <c r="CI2119" s="103"/>
      <c r="CJ2119" s="103"/>
      <c r="CK2119" s="103"/>
      <c r="CL2119" s="103"/>
      <c r="CM2119" s="103"/>
      <c r="CN2119" s="103"/>
      <c r="CO2119" s="103"/>
      <c r="CP2119" s="103"/>
      <c r="CQ2119" s="103"/>
      <c r="CR2119" s="103"/>
      <c r="CS2119" s="103"/>
      <c r="CT2119" s="103"/>
      <c r="CU2119" s="103"/>
      <c r="CV2119" s="103"/>
      <c r="CW2119" s="103"/>
      <c r="CX2119" s="103"/>
      <c r="CY2119" s="103"/>
      <c r="CZ2119" s="103"/>
      <c r="DA2119" s="103"/>
      <c r="DB2119" s="103"/>
      <c r="DC2119" s="103"/>
      <c r="DD2119" s="103"/>
      <c r="DE2119" s="103"/>
      <c r="DF2119" s="103"/>
      <c r="DG2119" s="103"/>
      <c r="DH2119" s="103"/>
      <c r="DI2119" s="103"/>
      <c r="DJ2119" s="103"/>
      <c r="DK2119" s="103"/>
      <c r="DL2119" s="103"/>
      <c r="DM2119" s="103"/>
      <c r="DN2119" s="103"/>
      <c r="DO2119" s="103"/>
      <c r="DP2119" s="103"/>
      <c r="DQ2119" s="103"/>
      <c r="DR2119" s="103"/>
      <c r="DS2119" s="103"/>
      <c r="DT2119" s="103"/>
      <c r="DU2119" s="103"/>
      <c r="DV2119" s="103"/>
      <c r="DW2119" s="103"/>
      <c r="DX2119" s="103"/>
      <c r="DY2119" s="103"/>
      <c r="DZ2119" s="103"/>
      <c r="EA2119" s="103"/>
      <c r="EB2119" s="103"/>
      <c r="EC2119" s="103"/>
      <c r="ED2119" s="103"/>
      <c r="EE2119" s="103"/>
      <c r="EF2119" s="103"/>
      <c r="EG2119" s="103"/>
      <c r="EH2119" s="103"/>
      <c r="EI2119" s="103"/>
      <c r="EJ2119" s="103"/>
      <c r="EK2119" s="103"/>
      <c r="EL2119" s="103"/>
      <c r="EM2119" s="103"/>
      <c r="EN2119" s="103"/>
      <c r="EO2119" s="103"/>
      <c r="EP2119" s="103"/>
      <c r="EQ2119" s="103"/>
      <c r="ER2119" s="103"/>
      <c r="ES2119" s="103"/>
      <c r="ET2119" s="103"/>
      <c r="EU2119" s="103"/>
      <c r="EV2119" s="103"/>
      <c r="EW2119" s="103"/>
      <c r="EX2119" s="103"/>
      <c r="EY2119" s="103"/>
      <c r="EZ2119" s="103"/>
      <c r="FA2119" s="103"/>
      <c r="FB2119" s="103"/>
      <c r="FC2119" s="103"/>
      <c r="FD2119" s="103"/>
      <c r="FE2119" s="103"/>
      <c r="FF2119" s="103"/>
      <c r="FG2119" s="103"/>
      <c r="FH2119" s="103"/>
      <c r="FI2119" s="103"/>
      <c r="FJ2119" s="103"/>
      <c r="FK2119" s="103"/>
      <c r="FL2119" s="103"/>
      <c r="FM2119" s="103"/>
      <c r="FN2119" s="103"/>
      <c r="FO2119" s="103"/>
      <c r="FP2119" s="103"/>
      <c r="FQ2119" s="103"/>
      <c r="FR2119" s="103"/>
      <c r="FS2119" s="103"/>
      <c r="FT2119" s="103"/>
      <c r="FU2119" s="103"/>
      <c r="FV2119" s="103"/>
      <c r="FW2119" s="103"/>
      <c r="FX2119" s="103"/>
      <c r="FY2119" s="103"/>
      <c r="FZ2119" s="103"/>
      <c r="GA2119" s="103"/>
      <c r="GB2119" s="103"/>
      <c r="GC2119" s="103"/>
      <c r="GD2119" s="103"/>
      <c r="GE2119" s="103"/>
      <c r="GF2119" s="103"/>
      <c r="GG2119" s="103"/>
      <c r="GH2119" s="103"/>
      <c r="GI2119" s="103"/>
      <c r="GJ2119" s="103"/>
      <c r="GK2119" s="103"/>
      <c r="GL2119" s="103"/>
      <c r="GM2119" s="103"/>
      <c r="GN2119" s="103"/>
      <c r="GO2119" s="103"/>
      <c r="GP2119" s="103"/>
      <c r="GQ2119" s="103"/>
      <c r="GR2119" s="103"/>
      <c r="GS2119" s="103"/>
      <c r="GT2119" s="103"/>
      <c r="GU2119" s="103"/>
      <c r="GV2119" s="103"/>
      <c r="GW2119" s="103"/>
      <c r="GX2119" s="103"/>
      <c r="GY2119" s="103"/>
      <c r="GZ2119" s="103"/>
      <c r="HA2119" s="103"/>
      <c r="HB2119" s="103"/>
      <c r="HC2119" s="103"/>
      <c r="HD2119" s="103"/>
      <c r="HE2119" s="103"/>
      <c r="HF2119" s="103"/>
      <c r="HG2119" s="103"/>
      <c r="HH2119" s="103"/>
      <c r="HI2119" s="103"/>
      <c r="HJ2119" s="103"/>
      <c r="HK2119" s="103"/>
      <c r="HL2119" s="103"/>
      <c r="HM2119" s="103"/>
      <c r="HN2119" s="103"/>
      <c r="HO2119" s="103"/>
      <c r="HP2119" s="103"/>
      <c r="HQ2119" s="103"/>
      <c r="HR2119" s="103"/>
      <c r="HS2119" s="103"/>
      <c r="HT2119" s="103"/>
      <c r="HU2119" s="103"/>
      <c r="HV2119" s="103"/>
      <c r="HW2119" s="103"/>
      <c r="HX2119" s="103"/>
      <c r="HY2119" s="103"/>
      <c r="HZ2119" s="103"/>
      <c r="IA2119" s="103"/>
      <c r="IB2119" s="103"/>
      <c r="IC2119" s="103"/>
      <c r="ID2119" s="103"/>
      <c r="IE2119" s="103"/>
      <c r="IF2119" s="103"/>
      <c r="IG2119" s="103"/>
      <c r="IH2119" s="103"/>
      <c r="II2119" s="103"/>
      <c r="IJ2119" s="103"/>
      <c r="IK2119" s="103"/>
      <c r="IL2119" s="103"/>
      <c r="IM2119" s="103"/>
      <c r="IN2119" s="103"/>
      <c r="IO2119" s="103"/>
      <c r="IP2119" s="103"/>
      <c r="IQ2119" s="103"/>
      <c r="IR2119" s="103"/>
      <c r="IS2119" s="103"/>
      <c r="IT2119" s="103"/>
      <c r="IU2119" s="103"/>
      <c r="IV2119" s="103"/>
      <c r="IW2119" s="103"/>
    </row>
    <row r="2120" customFormat="false" ht="17.6" hidden="false" customHeight="false" outlineLevel="0" collapsed="false">
      <c r="A2120" s="89" t="s">
        <v>2362</v>
      </c>
      <c r="B2120" s="90" t="s">
        <v>2298</v>
      </c>
      <c r="C2120" s="90" t="n">
        <f aca="false">ROUND(E2120*G2120,)</f>
        <v>8119</v>
      </c>
      <c r="D2120" s="103" t="s">
        <v>1420</v>
      </c>
      <c r="E2120" s="103" t="n">
        <v>9021</v>
      </c>
      <c r="F2120" s="103"/>
      <c r="G2120" s="103" t="n">
        <v>0.9</v>
      </c>
      <c r="H2120" s="103"/>
      <c r="I2120" s="103"/>
      <c r="J2120" s="103"/>
      <c r="K2120" s="103"/>
      <c r="L2120" s="103"/>
      <c r="M2120" s="103"/>
      <c r="N2120" s="103"/>
      <c r="O2120" s="104"/>
      <c r="P2120" s="103"/>
      <c r="Q2120" s="103"/>
      <c r="R2120" s="103"/>
      <c r="S2120" s="103"/>
      <c r="T2120" s="103"/>
      <c r="U2120" s="103"/>
      <c r="V2120" s="103"/>
      <c r="W2120" s="103"/>
      <c r="X2120" s="103"/>
      <c r="Y2120" s="103"/>
      <c r="Z2120" s="103"/>
      <c r="AA2120" s="103"/>
      <c r="AB2120" s="103"/>
      <c r="AC2120" s="103"/>
      <c r="AD2120" s="103"/>
      <c r="AE2120" s="103"/>
      <c r="AF2120" s="103"/>
      <c r="AG2120" s="103"/>
      <c r="AH2120" s="103"/>
      <c r="AI2120" s="103"/>
      <c r="AJ2120" s="103"/>
      <c r="AK2120" s="103"/>
      <c r="AL2120" s="103"/>
      <c r="AM2120" s="103"/>
      <c r="AN2120" s="103"/>
      <c r="AO2120" s="103"/>
      <c r="AP2120" s="103"/>
      <c r="AQ2120" s="103"/>
      <c r="AR2120" s="103"/>
      <c r="AS2120" s="103"/>
      <c r="AT2120" s="103"/>
      <c r="AU2120" s="103"/>
      <c r="AV2120" s="103"/>
      <c r="AW2120" s="103"/>
      <c r="AX2120" s="103"/>
      <c r="AY2120" s="103"/>
      <c r="AZ2120" s="103"/>
      <c r="BA2120" s="103"/>
      <c r="BB2120" s="103"/>
      <c r="BC2120" s="103"/>
      <c r="BD2120" s="103"/>
      <c r="BE2120" s="103"/>
      <c r="BF2120" s="103"/>
      <c r="BG2120" s="103"/>
      <c r="BH2120" s="103"/>
      <c r="BI2120" s="103"/>
      <c r="BJ2120" s="103"/>
      <c r="BK2120" s="103"/>
      <c r="BL2120" s="103"/>
      <c r="BM2120" s="103"/>
      <c r="BN2120" s="103"/>
      <c r="BO2120" s="103"/>
      <c r="BP2120" s="103"/>
      <c r="BQ2120" s="103"/>
      <c r="BR2120" s="103"/>
      <c r="BS2120" s="103"/>
      <c r="BT2120" s="103"/>
      <c r="BU2120" s="103"/>
      <c r="BV2120" s="103"/>
      <c r="BW2120" s="103"/>
      <c r="BX2120" s="103"/>
      <c r="BY2120" s="103"/>
      <c r="BZ2120" s="103"/>
      <c r="CA2120" s="103"/>
      <c r="CB2120" s="103"/>
      <c r="CC2120" s="103"/>
      <c r="CD2120" s="103"/>
      <c r="CE2120" s="103"/>
      <c r="CF2120" s="103"/>
      <c r="CG2120" s="103"/>
      <c r="CH2120" s="103"/>
      <c r="CI2120" s="103"/>
      <c r="CJ2120" s="103"/>
      <c r="CK2120" s="103"/>
      <c r="CL2120" s="103"/>
      <c r="CM2120" s="103"/>
      <c r="CN2120" s="103"/>
      <c r="CO2120" s="103"/>
      <c r="CP2120" s="103"/>
      <c r="CQ2120" s="103"/>
      <c r="CR2120" s="103"/>
      <c r="CS2120" s="103"/>
      <c r="CT2120" s="103"/>
      <c r="CU2120" s="103"/>
      <c r="CV2120" s="103"/>
      <c r="CW2120" s="103"/>
      <c r="CX2120" s="103"/>
      <c r="CY2120" s="103"/>
      <c r="CZ2120" s="103"/>
      <c r="DA2120" s="103"/>
      <c r="DB2120" s="103"/>
      <c r="DC2120" s="103"/>
      <c r="DD2120" s="103"/>
      <c r="DE2120" s="103"/>
      <c r="DF2120" s="103"/>
      <c r="DG2120" s="103"/>
      <c r="DH2120" s="103"/>
      <c r="DI2120" s="103"/>
      <c r="DJ2120" s="103"/>
      <c r="DK2120" s="103"/>
      <c r="DL2120" s="103"/>
      <c r="DM2120" s="103"/>
      <c r="DN2120" s="103"/>
      <c r="DO2120" s="103"/>
      <c r="DP2120" s="103"/>
      <c r="DQ2120" s="103"/>
      <c r="DR2120" s="103"/>
      <c r="DS2120" s="103"/>
      <c r="DT2120" s="103"/>
      <c r="DU2120" s="103"/>
      <c r="DV2120" s="103"/>
      <c r="DW2120" s="103"/>
      <c r="DX2120" s="103"/>
      <c r="DY2120" s="103"/>
      <c r="DZ2120" s="103"/>
      <c r="EA2120" s="103"/>
      <c r="EB2120" s="103"/>
      <c r="EC2120" s="103"/>
      <c r="ED2120" s="103"/>
      <c r="EE2120" s="103"/>
      <c r="EF2120" s="103"/>
      <c r="EG2120" s="103"/>
      <c r="EH2120" s="103"/>
      <c r="EI2120" s="103"/>
      <c r="EJ2120" s="103"/>
      <c r="EK2120" s="103"/>
      <c r="EL2120" s="103"/>
      <c r="EM2120" s="103"/>
      <c r="EN2120" s="103"/>
      <c r="EO2120" s="103"/>
      <c r="EP2120" s="103"/>
      <c r="EQ2120" s="103"/>
      <c r="ER2120" s="103"/>
      <c r="ES2120" s="103"/>
      <c r="ET2120" s="103"/>
      <c r="EU2120" s="103"/>
      <c r="EV2120" s="103"/>
      <c r="EW2120" s="103"/>
      <c r="EX2120" s="103"/>
      <c r="EY2120" s="103"/>
      <c r="EZ2120" s="103"/>
      <c r="FA2120" s="103"/>
      <c r="FB2120" s="103"/>
      <c r="FC2120" s="103"/>
      <c r="FD2120" s="103"/>
      <c r="FE2120" s="103"/>
      <c r="FF2120" s="103"/>
      <c r="FG2120" s="103"/>
      <c r="FH2120" s="103"/>
      <c r="FI2120" s="103"/>
      <c r="FJ2120" s="103"/>
      <c r="FK2120" s="103"/>
      <c r="FL2120" s="103"/>
      <c r="FM2120" s="103"/>
      <c r="FN2120" s="103"/>
      <c r="FO2120" s="103"/>
      <c r="FP2120" s="103"/>
      <c r="FQ2120" s="103"/>
      <c r="FR2120" s="103"/>
      <c r="FS2120" s="103"/>
      <c r="FT2120" s="103"/>
      <c r="FU2120" s="103"/>
      <c r="FV2120" s="103"/>
      <c r="FW2120" s="103"/>
      <c r="FX2120" s="103"/>
      <c r="FY2120" s="103"/>
      <c r="FZ2120" s="103"/>
      <c r="GA2120" s="103"/>
      <c r="GB2120" s="103"/>
      <c r="GC2120" s="103"/>
      <c r="GD2120" s="103"/>
      <c r="GE2120" s="103"/>
      <c r="GF2120" s="103"/>
      <c r="GG2120" s="103"/>
      <c r="GH2120" s="103"/>
      <c r="GI2120" s="103"/>
      <c r="GJ2120" s="103"/>
      <c r="GK2120" s="103"/>
      <c r="GL2120" s="103"/>
      <c r="GM2120" s="103"/>
      <c r="GN2120" s="103"/>
      <c r="GO2120" s="103"/>
      <c r="GP2120" s="103"/>
      <c r="GQ2120" s="103"/>
      <c r="GR2120" s="103"/>
      <c r="GS2120" s="103"/>
      <c r="GT2120" s="103"/>
      <c r="GU2120" s="103"/>
      <c r="GV2120" s="103"/>
      <c r="GW2120" s="103"/>
      <c r="GX2120" s="103"/>
      <c r="GY2120" s="103"/>
      <c r="GZ2120" s="103"/>
      <c r="HA2120" s="103"/>
      <c r="HB2120" s="103"/>
      <c r="HC2120" s="103"/>
      <c r="HD2120" s="103"/>
      <c r="HE2120" s="103"/>
      <c r="HF2120" s="103"/>
      <c r="HG2120" s="103"/>
      <c r="HH2120" s="103"/>
      <c r="HI2120" s="103"/>
      <c r="HJ2120" s="103"/>
      <c r="HK2120" s="103"/>
      <c r="HL2120" s="103"/>
      <c r="HM2120" s="103"/>
      <c r="HN2120" s="103"/>
      <c r="HO2120" s="103"/>
      <c r="HP2120" s="103"/>
      <c r="HQ2120" s="103"/>
      <c r="HR2120" s="103"/>
      <c r="HS2120" s="103"/>
      <c r="HT2120" s="103"/>
      <c r="HU2120" s="103"/>
      <c r="HV2120" s="103"/>
      <c r="HW2120" s="103"/>
      <c r="HX2120" s="103"/>
      <c r="HY2120" s="103"/>
      <c r="HZ2120" s="103"/>
      <c r="IA2120" s="103"/>
      <c r="IB2120" s="103"/>
      <c r="IC2120" s="103"/>
      <c r="ID2120" s="103"/>
      <c r="IE2120" s="103"/>
      <c r="IF2120" s="103"/>
      <c r="IG2120" s="103"/>
      <c r="IH2120" s="103"/>
      <c r="II2120" s="103"/>
      <c r="IJ2120" s="103"/>
      <c r="IK2120" s="103"/>
      <c r="IL2120" s="103"/>
      <c r="IM2120" s="103"/>
      <c r="IN2120" s="103"/>
      <c r="IO2120" s="103"/>
      <c r="IP2120" s="103"/>
      <c r="IQ2120" s="103"/>
      <c r="IR2120" s="103"/>
      <c r="IS2120" s="103"/>
      <c r="IT2120" s="103"/>
      <c r="IU2120" s="103"/>
      <c r="IV2120" s="103"/>
      <c r="IW2120" s="103"/>
    </row>
    <row r="2121" customFormat="false" ht="17.6" hidden="false" customHeight="false" outlineLevel="0" collapsed="false">
      <c r="A2121" s="89" t="s">
        <v>2363</v>
      </c>
      <c r="B2121" s="90" t="s">
        <v>2298</v>
      </c>
      <c r="C2121" s="90" t="n">
        <f aca="false">ROUND(E2121*G2121,)</f>
        <v>5212</v>
      </c>
      <c r="D2121" s="103" t="s">
        <v>1420</v>
      </c>
      <c r="E2121" s="103" t="n">
        <v>5791</v>
      </c>
      <c r="F2121" s="103"/>
      <c r="G2121" s="103" t="n">
        <v>0.9</v>
      </c>
      <c r="H2121" s="103"/>
      <c r="I2121" s="103"/>
      <c r="J2121" s="103"/>
      <c r="K2121" s="103"/>
      <c r="L2121" s="103"/>
      <c r="M2121" s="103"/>
      <c r="N2121" s="103"/>
      <c r="O2121" s="104"/>
      <c r="P2121" s="103"/>
      <c r="Q2121" s="103"/>
      <c r="R2121" s="103"/>
      <c r="S2121" s="103"/>
      <c r="T2121" s="103"/>
      <c r="U2121" s="103"/>
      <c r="V2121" s="103"/>
      <c r="W2121" s="103"/>
      <c r="X2121" s="103"/>
      <c r="Y2121" s="103"/>
      <c r="Z2121" s="103"/>
      <c r="AA2121" s="103"/>
      <c r="AB2121" s="103"/>
      <c r="AC2121" s="103"/>
      <c r="AD2121" s="103"/>
      <c r="AE2121" s="103"/>
      <c r="AF2121" s="103"/>
      <c r="AG2121" s="103"/>
      <c r="AH2121" s="103"/>
      <c r="AI2121" s="103"/>
      <c r="AJ2121" s="103"/>
      <c r="AK2121" s="103"/>
      <c r="AL2121" s="103"/>
      <c r="AM2121" s="103"/>
      <c r="AN2121" s="103"/>
      <c r="AO2121" s="103"/>
      <c r="AP2121" s="103"/>
      <c r="AQ2121" s="103"/>
      <c r="AR2121" s="103"/>
      <c r="AS2121" s="103"/>
      <c r="AT2121" s="103"/>
      <c r="AU2121" s="103"/>
      <c r="AV2121" s="103"/>
      <c r="AW2121" s="103"/>
      <c r="AX2121" s="103"/>
      <c r="AY2121" s="103"/>
      <c r="AZ2121" s="103"/>
      <c r="BA2121" s="103"/>
      <c r="BB2121" s="103"/>
      <c r="BC2121" s="103"/>
      <c r="BD2121" s="103"/>
      <c r="BE2121" s="103"/>
      <c r="BF2121" s="103"/>
      <c r="BG2121" s="103"/>
      <c r="BH2121" s="103"/>
      <c r="BI2121" s="103"/>
      <c r="BJ2121" s="103"/>
      <c r="BK2121" s="103"/>
      <c r="BL2121" s="103"/>
      <c r="BM2121" s="103"/>
      <c r="BN2121" s="103"/>
      <c r="BO2121" s="103"/>
      <c r="BP2121" s="103"/>
      <c r="BQ2121" s="103"/>
      <c r="BR2121" s="103"/>
      <c r="BS2121" s="103"/>
      <c r="BT2121" s="103"/>
      <c r="BU2121" s="103"/>
      <c r="BV2121" s="103"/>
      <c r="BW2121" s="103"/>
      <c r="BX2121" s="103"/>
      <c r="BY2121" s="103"/>
      <c r="BZ2121" s="103"/>
      <c r="CA2121" s="103"/>
      <c r="CB2121" s="103"/>
      <c r="CC2121" s="103"/>
      <c r="CD2121" s="103"/>
      <c r="CE2121" s="103"/>
      <c r="CF2121" s="103"/>
      <c r="CG2121" s="103"/>
      <c r="CH2121" s="103"/>
      <c r="CI2121" s="103"/>
      <c r="CJ2121" s="103"/>
      <c r="CK2121" s="103"/>
      <c r="CL2121" s="103"/>
      <c r="CM2121" s="103"/>
      <c r="CN2121" s="103"/>
      <c r="CO2121" s="103"/>
      <c r="CP2121" s="103"/>
      <c r="CQ2121" s="103"/>
      <c r="CR2121" s="103"/>
      <c r="CS2121" s="103"/>
      <c r="CT2121" s="103"/>
      <c r="CU2121" s="103"/>
      <c r="CV2121" s="103"/>
      <c r="CW2121" s="103"/>
      <c r="CX2121" s="103"/>
      <c r="CY2121" s="103"/>
      <c r="CZ2121" s="103"/>
      <c r="DA2121" s="103"/>
      <c r="DB2121" s="103"/>
      <c r="DC2121" s="103"/>
      <c r="DD2121" s="103"/>
      <c r="DE2121" s="103"/>
      <c r="DF2121" s="103"/>
      <c r="DG2121" s="103"/>
      <c r="DH2121" s="103"/>
      <c r="DI2121" s="103"/>
      <c r="DJ2121" s="103"/>
      <c r="DK2121" s="103"/>
      <c r="DL2121" s="103"/>
      <c r="DM2121" s="103"/>
      <c r="DN2121" s="103"/>
      <c r="DO2121" s="103"/>
      <c r="DP2121" s="103"/>
      <c r="DQ2121" s="103"/>
      <c r="DR2121" s="103"/>
      <c r="DS2121" s="103"/>
      <c r="DT2121" s="103"/>
      <c r="DU2121" s="103"/>
      <c r="DV2121" s="103"/>
      <c r="DW2121" s="103"/>
      <c r="DX2121" s="103"/>
      <c r="DY2121" s="103"/>
      <c r="DZ2121" s="103"/>
      <c r="EA2121" s="103"/>
      <c r="EB2121" s="103"/>
      <c r="EC2121" s="103"/>
      <c r="ED2121" s="103"/>
      <c r="EE2121" s="103"/>
      <c r="EF2121" s="103"/>
      <c r="EG2121" s="103"/>
      <c r="EH2121" s="103"/>
      <c r="EI2121" s="103"/>
      <c r="EJ2121" s="103"/>
      <c r="EK2121" s="103"/>
      <c r="EL2121" s="103"/>
      <c r="EM2121" s="103"/>
      <c r="EN2121" s="103"/>
      <c r="EO2121" s="103"/>
      <c r="EP2121" s="103"/>
      <c r="EQ2121" s="103"/>
      <c r="ER2121" s="103"/>
      <c r="ES2121" s="103"/>
      <c r="ET2121" s="103"/>
      <c r="EU2121" s="103"/>
      <c r="EV2121" s="103"/>
      <c r="EW2121" s="103"/>
      <c r="EX2121" s="103"/>
      <c r="EY2121" s="103"/>
      <c r="EZ2121" s="103"/>
      <c r="FA2121" s="103"/>
      <c r="FB2121" s="103"/>
      <c r="FC2121" s="103"/>
      <c r="FD2121" s="103"/>
      <c r="FE2121" s="103"/>
      <c r="FF2121" s="103"/>
      <c r="FG2121" s="103"/>
      <c r="FH2121" s="103"/>
      <c r="FI2121" s="103"/>
      <c r="FJ2121" s="103"/>
      <c r="FK2121" s="103"/>
      <c r="FL2121" s="103"/>
      <c r="FM2121" s="103"/>
      <c r="FN2121" s="103"/>
      <c r="FO2121" s="103"/>
      <c r="FP2121" s="103"/>
      <c r="FQ2121" s="103"/>
      <c r="FR2121" s="103"/>
      <c r="FS2121" s="103"/>
      <c r="FT2121" s="103"/>
      <c r="FU2121" s="103"/>
      <c r="FV2121" s="103"/>
      <c r="FW2121" s="103"/>
      <c r="FX2121" s="103"/>
      <c r="FY2121" s="103"/>
      <c r="FZ2121" s="103"/>
      <c r="GA2121" s="103"/>
      <c r="GB2121" s="103"/>
      <c r="GC2121" s="103"/>
      <c r="GD2121" s="103"/>
      <c r="GE2121" s="103"/>
      <c r="GF2121" s="103"/>
      <c r="GG2121" s="103"/>
      <c r="GH2121" s="103"/>
      <c r="GI2121" s="103"/>
      <c r="GJ2121" s="103"/>
      <c r="GK2121" s="103"/>
      <c r="GL2121" s="103"/>
      <c r="GM2121" s="103"/>
      <c r="GN2121" s="103"/>
      <c r="GO2121" s="103"/>
      <c r="GP2121" s="103"/>
      <c r="GQ2121" s="103"/>
      <c r="GR2121" s="103"/>
      <c r="GS2121" s="103"/>
      <c r="GT2121" s="103"/>
      <c r="GU2121" s="103"/>
      <c r="GV2121" s="103"/>
      <c r="GW2121" s="103"/>
      <c r="GX2121" s="103"/>
      <c r="GY2121" s="103"/>
      <c r="GZ2121" s="103"/>
      <c r="HA2121" s="103"/>
      <c r="HB2121" s="103"/>
      <c r="HC2121" s="103"/>
      <c r="HD2121" s="103"/>
      <c r="HE2121" s="103"/>
      <c r="HF2121" s="103"/>
      <c r="HG2121" s="103"/>
      <c r="HH2121" s="103"/>
      <c r="HI2121" s="103"/>
      <c r="HJ2121" s="103"/>
      <c r="HK2121" s="103"/>
      <c r="HL2121" s="103"/>
      <c r="HM2121" s="103"/>
      <c r="HN2121" s="103"/>
      <c r="HO2121" s="103"/>
      <c r="HP2121" s="103"/>
      <c r="HQ2121" s="103"/>
      <c r="HR2121" s="103"/>
      <c r="HS2121" s="103"/>
      <c r="HT2121" s="103"/>
      <c r="HU2121" s="103"/>
      <c r="HV2121" s="103"/>
      <c r="HW2121" s="103"/>
      <c r="HX2121" s="103"/>
      <c r="HY2121" s="103"/>
      <c r="HZ2121" s="103"/>
      <c r="IA2121" s="103"/>
      <c r="IB2121" s="103"/>
      <c r="IC2121" s="103"/>
      <c r="ID2121" s="103"/>
      <c r="IE2121" s="103"/>
      <c r="IF2121" s="103"/>
      <c r="IG2121" s="103"/>
      <c r="IH2121" s="103"/>
      <c r="II2121" s="103"/>
      <c r="IJ2121" s="103"/>
      <c r="IK2121" s="103"/>
      <c r="IL2121" s="103"/>
      <c r="IM2121" s="103"/>
      <c r="IN2121" s="103"/>
      <c r="IO2121" s="103"/>
      <c r="IP2121" s="103"/>
      <c r="IQ2121" s="103"/>
      <c r="IR2121" s="103"/>
      <c r="IS2121" s="103"/>
      <c r="IT2121" s="103"/>
      <c r="IU2121" s="103"/>
      <c r="IV2121" s="103"/>
      <c r="IW2121" s="103"/>
    </row>
    <row r="2122" customFormat="false" ht="17.6" hidden="false" customHeight="false" outlineLevel="0" collapsed="false">
      <c r="A2122" s="89" t="s">
        <v>2364</v>
      </c>
      <c r="B2122" s="90" t="s">
        <v>2298</v>
      </c>
      <c r="C2122" s="90" t="n">
        <f aca="false">ROUND(E2122*G2122,)</f>
        <v>2520</v>
      </c>
      <c r="D2122" s="90" t="s">
        <v>1420</v>
      </c>
      <c r="E2122" s="90" t="n">
        <v>2800</v>
      </c>
      <c r="G2122" s="103" t="n">
        <v>0.9</v>
      </c>
    </row>
    <row r="2123" customFormat="false" ht="17.6" hidden="false" customHeight="false" outlineLevel="0" collapsed="false">
      <c r="A2123" s="89" t="s">
        <v>2365</v>
      </c>
      <c r="B2123" s="90" t="s">
        <v>2298</v>
      </c>
      <c r="C2123" s="90" t="n">
        <f aca="false">ROUND(E2123*G2123,)</f>
        <v>2200</v>
      </c>
      <c r="D2123" s="90" t="s">
        <v>1420</v>
      </c>
      <c r="E2123" s="90" t="n">
        <v>2200</v>
      </c>
      <c r="G2123" s="103" t="n">
        <v>1</v>
      </c>
    </row>
    <row r="2124" customFormat="false" ht="17.6" hidden="false" customHeight="false" outlineLevel="0" collapsed="false">
      <c r="A2124" s="89" t="s">
        <v>2366</v>
      </c>
      <c r="B2124" s="90" t="s">
        <v>2298</v>
      </c>
      <c r="C2124" s="90" t="n">
        <f aca="false">ROUND(E2124*G2124,)</f>
        <v>2200</v>
      </c>
      <c r="D2124" s="90" t="s">
        <v>1420</v>
      </c>
      <c r="E2124" s="90" t="n">
        <v>2200</v>
      </c>
      <c r="G2124" s="103" t="n">
        <v>1</v>
      </c>
    </row>
    <row r="2125" customFormat="false" ht="17.6" hidden="false" customHeight="false" outlineLevel="0" collapsed="false">
      <c r="A2125" s="89" t="s">
        <v>2367</v>
      </c>
      <c r="B2125" s="90" t="s">
        <v>2298</v>
      </c>
      <c r="C2125" s="90" t="n">
        <f aca="false">ROUND(E2125*G2125,)</f>
        <v>2200</v>
      </c>
      <c r="D2125" s="90" t="s">
        <v>1420</v>
      </c>
      <c r="E2125" s="90" t="n">
        <v>2200</v>
      </c>
      <c r="G2125" s="103" t="n">
        <v>1</v>
      </c>
    </row>
    <row r="2126" customFormat="false" ht="17.6" hidden="false" customHeight="false" outlineLevel="0" collapsed="false">
      <c r="A2126" s="89" t="s">
        <v>2368</v>
      </c>
      <c r="B2126" s="90" t="s">
        <v>2298</v>
      </c>
      <c r="D2126" s="90" t="s">
        <v>1420</v>
      </c>
      <c r="E2126" s="90" t="n">
        <v>2200</v>
      </c>
      <c r="F2126" s="90" t="n">
        <f aca="false">400*1</f>
        <v>400</v>
      </c>
      <c r="G2126" s="103" t="n">
        <v>1</v>
      </c>
    </row>
    <row r="2127" customFormat="false" ht="17.6" hidden="false" customHeight="false" outlineLevel="0" collapsed="false">
      <c r="A2127" s="89" t="s">
        <v>2369</v>
      </c>
      <c r="B2127" s="90" t="s">
        <v>2298</v>
      </c>
      <c r="D2127" s="90" t="s">
        <v>1420</v>
      </c>
      <c r="E2127" s="90" t="n">
        <v>2200</v>
      </c>
      <c r="F2127" s="90" t="n">
        <f aca="false">400*2</f>
        <v>800</v>
      </c>
      <c r="G2127" s="103" t="n">
        <v>1</v>
      </c>
    </row>
    <row r="2128" customFormat="false" ht="17.6" hidden="false" customHeight="false" outlineLevel="0" collapsed="false">
      <c r="A2128" s="89" t="s">
        <v>2370</v>
      </c>
      <c r="B2128" s="90" t="s">
        <v>2298</v>
      </c>
      <c r="D2128" s="90" t="s">
        <v>1420</v>
      </c>
      <c r="E2128" s="90" t="n">
        <v>2200</v>
      </c>
      <c r="F2128" s="90" t="n">
        <f aca="false">400*3</f>
        <v>1200</v>
      </c>
      <c r="G2128" s="103" t="n">
        <v>1</v>
      </c>
    </row>
    <row r="2129" customFormat="false" ht="17.6" hidden="false" customHeight="false" outlineLevel="0" collapsed="false">
      <c r="A2129" s="89" t="s">
        <v>2371</v>
      </c>
      <c r="B2129" s="90" t="s">
        <v>2298</v>
      </c>
      <c r="D2129" s="90" t="s">
        <v>1420</v>
      </c>
      <c r="E2129" s="90" t="n">
        <v>2200</v>
      </c>
      <c r="F2129" s="90" t="n">
        <f aca="false">400*4</f>
        <v>1600</v>
      </c>
      <c r="G2129" s="103" t="n">
        <v>1</v>
      </c>
    </row>
    <row r="2130" customFormat="false" ht="17.6" hidden="false" customHeight="false" outlineLevel="0" collapsed="false">
      <c r="A2130" s="89" t="s">
        <v>2372</v>
      </c>
      <c r="B2130" s="90" t="s">
        <v>2298</v>
      </c>
      <c r="D2130" s="90" t="s">
        <v>1420</v>
      </c>
      <c r="E2130" s="90" t="n">
        <v>2200</v>
      </c>
      <c r="F2130" s="90" t="n">
        <f aca="false">400*5</f>
        <v>2000</v>
      </c>
      <c r="G2130" s="103" t="n">
        <v>1</v>
      </c>
    </row>
    <row r="2131" customFormat="false" ht="17.6" hidden="false" customHeight="false" outlineLevel="0" collapsed="false">
      <c r="A2131" s="89" t="s">
        <v>2373</v>
      </c>
      <c r="B2131" s="90" t="s">
        <v>2298</v>
      </c>
      <c r="D2131" s="90" t="s">
        <v>1420</v>
      </c>
      <c r="E2131" s="90" t="n">
        <v>2200</v>
      </c>
      <c r="F2131" s="90" t="n">
        <f aca="false">400*6</f>
        <v>2400</v>
      </c>
      <c r="G2131" s="103" t="n">
        <v>1</v>
      </c>
    </row>
    <row r="2132" customFormat="false" ht="17.6" hidden="false" customHeight="false" outlineLevel="0" collapsed="false">
      <c r="A2132" s="89" t="s">
        <v>2374</v>
      </c>
      <c r="B2132" s="90" t="s">
        <v>2298</v>
      </c>
      <c r="D2132" s="90" t="s">
        <v>1420</v>
      </c>
      <c r="E2132" s="90" t="n">
        <v>2200</v>
      </c>
      <c r="F2132" s="90" t="n">
        <f aca="false">400*7</f>
        <v>2800</v>
      </c>
      <c r="G2132" s="103" t="n">
        <v>1</v>
      </c>
    </row>
    <row r="2133" customFormat="false" ht="17.6" hidden="false" customHeight="false" outlineLevel="0" collapsed="false">
      <c r="A2133" s="89" t="s">
        <v>2375</v>
      </c>
      <c r="B2133" s="90" t="s">
        <v>2298</v>
      </c>
      <c r="D2133" s="90" t="s">
        <v>1420</v>
      </c>
      <c r="E2133" s="90" t="n">
        <v>2200</v>
      </c>
      <c r="F2133" s="90" t="n">
        <f aca="false">400*8</f>
        <v>3200</v>
      </c>
      <c r="G2133" s="103" t="n">
        <v>1</v>
      </c>
    </row>
    <row r="2134" customFormat="false" ht="17.6" hidden="false" customHeight="false" outlineLevel="0" collapsed="false">
      <c r="A2134" s="89" t="s">
        <v>2376</v>
      </c>
      <c r="B2134" s="90" t="s">
        <v>2298</v>
      </c>
      <c r="D2134" s="90" t="s">
        <v>1420</v>
      </c>
      <c r="E2134" s="90" t="n">
        <v>2200</v>
      </c>
      <c r="F2134" s="90" t="n">
        <f aca="false">400*9</f>
        <v>3600</v>
      </c>
      <c r="G2134" s="103" t="n">
        <v>1</v>
      </c>
    </row>
    <row r="2135" customFormat="false" ht="17.6" hidden="false" customHeight="false" outlineLevel="0" collapsed="false">
      <c r="A2135" s="89" t="s">
        <v>2377</v>
      </c>
      <c r="B2135" s="90" t="s">
        <v>2298</v>
      </c>
      <c r="D2135" s="90" t="s">
        <v>1420</v>
      </c>
      <c r="E2135" s="90" t="n">
        <v>2200</v>
      </c>
      <c r="F2135" s="90" t="n">
        <f aca="false">400*10</f>
        <v>4000</v>
      </c>
      <c r="G2135" s="103" t="n">
        <v>1</v>
      </c>
    </row>
    <row r="2136" customFormat="false" ht="17.6" hidden="false" customHeight="false" outlineLevel="0" collapsed="false">
      <c r="A2136" s="89" t="s">
        <v>2378</v>
      </c>
      <c r="B2136" s="90" t="s">
        <v>2298</v>
      </c>
      <c r="D2136" s="90" t="s">
        <v>1420</v>
      </c>
      <c r="E2136" s="90" t="n">
        <v>2200</v>
      </c>
      <c r="F2136" s="90" t="n">
        <f aca="false">400*11</f>
        <v>4400</v>
      </c>
      <c r="G2136" s="103" t="n">
        <v>1</v>
      </c>
    </row>
    <row r="2137" customFormat="false" ht="17.6" hidden="false" customHeight="false" outlineLevel="0" collapsed="false">
      <c r="A2137" s="89" t="s">
        <v>2379</v>
      </c>
      <c r="B2137" s="90" t="s">
        <v>2298</v>
      </c>
      <c r="D2137" s="90" t="s">
        <v>1420</v>
      </c>
      <c r="E2137" s="90" t="n">
        <v>2200</v>
      </c>
      <c r="F2137" s="90" t="n">
        <f aca="false">400*12</f>
        <v>4800</v>
      </c>
      <c r="G2137" s="103" t="n">
        <v>1</v>
      </c>
    </row>
    <row r="2138" customFormat="false" ht="17.6" hidden="false" customHeight="false" outlineLevel="0" collapsed="false">
      <c r="A2138" s="89" t="s">
        <v>2380</v>
      </c>
      <c r="B2138" s="90" t="s">
        <v>2298</v>
      </c>
      <c r="D2138" s="90" t="s">
        <v>1420</v>
      </c>
      <c r="E2138" s="90" t="n">
        <v>2200</v>
      </c>
      <c r="F2138" s="90" t="n">
        <f aca="false">400*13</f>
        <v>5200</v>
      </c>
      <c r="G2138" s="103" t="n">
        <v>1</v>
      </c>
    </row>
    <row r="2139" customFormat="false" ht="17.6" hidden="false" customHeight="false" outlineLevel="0" collapsed="false">
      <c r="A2139" s="89" t="s">
        <v>2381</v>
      </c>
      <c r="B2139" s="90" t="s">
        <v>2298</v>
      </c>
      <c r="C2139" s="90" t="n">
        <f aca="false">E2139*G2139</f>
        <v>2640</v>
      </c>
      <c r="D2139" s="90" t="s">
        <v>1420</v>
      </c>
      <c r="E2139" s="90" t="n">
        <f aca="false">2800+500</f>
        <v>3300</v>
      </c>
      <c r="G2139" s="90" t="n">
        <v>0.8</v>
      </c>
    </row>
    <row r="2140" customFormat="false" ht="17.6" hidden="false" customHeight="false" outlineLevel="0" collapsed="false">
      <c r="A2140" s="89" t="s">
        <v>2382</v>
      </c>
      <c r="B2140" s="90" t="s">
        <v>2298</v>
      </c>
      <c r="C2140" s="90" t="n">
        <f aca="false">E2140*G2140</f>
        <v>3040</v>
      </c>
      <c r="D2140" s="90" t="s">
        <v>1420</v>
      </c>
      <c r="E2140" s="90" t="n">
        <f aca="false">2800+500*2</f>
        <v>3800</v>
      </c>
      <c r="G2140" s="90" t="n">
        <v>0.8</v>
      </c>
    </row>
    <row r="2141" customFormat="false" ht="17.6" hidden="false" customHeight="false" outlineLevel="0" collapsed="false">
      <c r="A2141" s="89" t="s">
        <v>2383</v>
      </c>
      <c r="B2141" s="90" t="s">
        <v>2298</v>
      </c>
      <c r="C2141" s="90" t="n">
        <f aca="false">E2141*G2141</f>
        <v>3145</v>
      </c>
      <c r="D2141" s="90" t="s">
        <v>1420</v>
      </c>
      <c r="E2141" s="90" t="n">
        <f aca="false">2800+300*3</f>
        <v>3700</v>
      </c>
      <c r="G2141" s="90" t="n">
        <v>0.85</v>
      </c>
    </row>
    <row r="2142" customFormat="false" ht="17.6" hidden="false" customHeight="false" outlineLevel="0" collapsed="false">
      <c r="A2142" s="89" t="s">
        <v>2384</v>
      </c>
      <c r="B2142" s="90" t="s">
        <v>2298</v>
      </c>
      <c r="C2142" s="90" t="n">
        <f aca="false">E2142*G2142</f>
        <v>3400</v>
      </c>
      <c r="D2142" s="90" t="s">
        <v>1420</v>
      </c>
      <c r="E2142" s="90" t="n">
        <f aca="false">2800+300*4</f>
        <v>4000</v>
      </c>
      <c r="G2142" s="90" t="n">
        <v>0.85</v>
      </c>
    </row>
    <row r="2143" customFormat="false" ht="17.6" hidden="false" customHeight="false" outlineLevel="0" collapsed="false">
      <c r="A2143" s="89" t="s">
        <v>2385</v>
      </c>
      <c r="B2143" s="90" t="s">
        <v>2298</v>
      </c>
      <c r="C2143" s="90" t="n">
        <f aca="false">E2143*G2143</f>
        <v>3655</v>
      </c>
      <c r="D2143" s="90" t="s">
        <v>1420</v>
      </c>
      <c r="E2143" s="90" t="n">
        <f aca="false">2800+300*5</f>
        <v>4300</v>
      </c>
      <c r="G2143" s="90" t="n">
        <v>0.85</v>
      </c>
    </row>
    <row r="2144" customFormat="false" ht="17.6" hidden="false" customHeight="false" outlineLevel="0" collapsed="false">
      <c r="A2144" s="89" t="s">
        <v>2386</v>
      </c>
      <c r="B2144" s="90" t="s">
        <v>2298</v>
      </c>
      <c r="C2144" s="90" t="n">
        <f aca="false">E2144*G2144</f>
        <v>3910</v>
      </c>
      <c r="D2144" s="90" t="s">
        <v>1420</v>
      </c>
      <c r="E2144" s="90" t="n">
        <f aca="false">2800+300*6</f>
        <v>4600</v>
      </c>
      <c r="G2144" s="90" t="n">
        <v>0.85</v>
      </c>
    </row>
    <row r="2145" customFormat="false" ht="17.6" hidden="false" customHeight="false" outlineLevel="0" collapsed="false">
      <c r="A2145" s="89" t="s">
        <v>2387</v>
      </c>
      <c r="B2145" s="90" t="s">
        <v>2298</v>
      </c>
      <c r="C2145" s="90" t="n">
        <f aca="false">E2145*G2145</f>
        <v>4165</v>
      </c>
      <c r="D2145" s="90" t="s">
        <v>1420</v>
      </c>
      <c r="E2145" s="90" t="n">
        <f aca="false">2800+300*7</f>
        <v>4900</v>
      </c>
      <c r="G2145" s="90" t="n">
        <v>0.85</v>
      </c>
    </row>
    <row r="2146" customFormat="false" ht="17.6" hidden="false" customHeight="false" outlineLevel="0" collapsed="false">
      <c r="A2146" s="89" t="s">
        <v>2388</v>
      </c>
      <c r="B2146" s="90" t="s">
        <v>2298</v>
      </c>
      <c r="C2146" s="90" t="n">
        <f aca="false">E2146*G2146</f>
        <v>4420</v>
      </c>
      <c r="D2146" s="90" t="s">
        <v>1420</v>
      </c>
      <c r="E2146" s="90" t="n">
        <f aca="false">2800+300*8</f>
        <v>5200</v>
      </c>
      <c r="G2146" s="90" t="n">
        <v>0.85</v>
      </c>
    </row>
    <row r="2147" customFormat="false" ht="17.6" hidden="false" customHeight="false" outlineLevel="0" collapsed="false">
      <c r="A2147" s="89" t="s">
        <v>2389</v>
      </c>
      <c r="B2147" s="90" t="s">
        <v>2298</v>
      </c>
      <c r="C2147" s="90" t="n">
        <f aca="false">E2147*G2147</f>
        <v>4675</v>
      </c>
      <c r="D2147" s="90" t="s">
        <v>1420</v>
      </c>
      <c r="E2147" s="90" t="n">
        <f aca="false">2800+300*9</f>
        <v>5500</v>
      </c>
      <c r="G2147" s="90" t="n">
        <v>0.85</v>
      </c>
    </row>
    <row r="2148" customFormat="false" ht="17.6" hidden="false" customHeight="false" outlineLevel="0" collapsed="false">
      <c r="A2148" s="89" t="s">
        <v>2390</v>
      </c>
      <c r="B2148" s="90" t="s">
        <v>2298</v>
      </c>
      <c r="C2148" s="90" t="n">
        <f aca="false">E2148*G2148</f>
        <v>4930</v>
      </c>
      <c r="D2148" s="90" t="s">
        <v>1420</v>
      </c>
      <c r="E2148" s="90" t="n">
        <f aca="false">2800+300*10</f>
        <v>5800</v>
      </c>
      <c r="G2148" s="90" t="n">
        <v>0.85</v>
      </c>
    </row>
    <row r="2149" customFormat="false" ht="17.6" hidden="false" customHeight="false" outlineLevel="0" collapsed="false">
      <c r="A2149" s="89" t="s">
        <v>2391</v>
      </c>
      <c r="B2149" s="90" t="s">
        <v>2298</v>
      </c>
      <c r="C2149" s="90" t="n">
        <f aca="false">E2149*G2149</f>
        <v>5185</v>
      </c>
      <c r="D2149" s="90" t="s">
        <v>1420</v>
      </c>
      <c r="E2149" s="90" t="n">
        <f aca="false">2800+300*11</f>
        <v>6100</v>
      </c>
      <c r="G2149" s="90" t="n">
        <v>0.85</v>
      </c>
    </row>
    <row r="2150" customFormat="false" ht="17.6" hidden="false" customHeight="false" outlineLevel="0" collapsed="false">
      <c r="A2150" s="89" t="s">
        <v>2392</v>
      </c>
      <c r="B2150" s="90" t="s">
        <v>2298</v>
      </c>
      <c r="C2150" s="90" t="n">
        <f aca="false">E2150*G2150</f>
        <v>3300</v>
      </c>
      <c r="D2150" s="90" t="s">
        <v>1420</v>
      </c>
      <c r="E2150" s="90" t="n">
        <f aca="false">2800+500</f>
        <v>3300</v>
      </c>
      <c r="G2150" s="90" t="n">
        <v>1</v>
      </c>
    </row>
    <row r="2151" customFormat="false" ht="17.6" hidden="false" customHeight="false" outlineLevel="0" collapsed="false">
      <c r="A2151" s="89" t="s">
        <v>2393</v>
      </c>
      <c r="B2151" s="90" t="s">
        <v>2298</v>
      </c>
      <c r="C2151" s="90" t="n">
        <f aca="false">E2151*G2151</f>
        <v>3600</v>
      </c>
      <c r="D2151" s="90" t="s">
        <v>1420</v>
      </c>
      <c r="E2151" s="90" t="n">
        <f aca="false">2800+400*2</f>
        <v>3600</v>
      </c>
      <c r="G2151" s="90" t="n">
        <v>1</v>
      </c>
    </row>
    <row r="2152" customFormat="false" ht="17.6" hidden="false" customHeight="false" outlineLevel="0" collapsed="false">
      <c r="A2152" s="89" t="s">
        <v>2394</v>
      </c>
      <c r="B2152" s="90" t="s">
        <v>2298</v>
      </c>
      <c r="C2152" s="90" t="n">
        <f aca="false">E2152*G2152</f>
        <v>3700</v>
      </c>
      <c r="D2152" s="90" t="s">
        <v>1420</v>
      </c>
      <c r="E2152" s="90" t="n">
        <f aca="false">2800+300*3</f>
        <v>3700</v>
      </c>
      <c r="G2152" s="90" t="n">
        <v>1</v>
      </c>
    </row>
    <row r="2153" customFormat="false" ht="17.6" hidden="false" customHeight="false" outlineLevel="0" collapsed="false">
      <c r="A2153" s="89" t="s">
        <v>2395</v>
      </c>
      <c r="B2153" s="90" t="s">
        <v>2298</v>
      </c>
      <c r="C2153" s="90" t="n">
        <f aca="false">E2153*G2153</f>
        <v>4000</v>
      </c>
      <c r="D2153" s="90" t="s">
        <v>1420</v>
      </c>
      <c r="E2153" s="90" t="n">
        <f aca="false">2800+300*4</f>
        <v>4000</v>
      </c>
      <c r="G2153" s="90" t="n">
        <v>1</v>
      </c>
    </row>
    <row r="2154" customFormat="false" ht="17.6" hidden="false" customHeight="false" outlineLevel="0" collapsed="false">
      <c r="A2154" s="89" t="s">
        <v>2396</v>
      </c>
      <c r="B2154" s="90" t="s">
        <v>2298</v>
      </c>
      <c r="C2154" s="90" t="n">
        <f aca="false">E2154*G2154</f>
        <v>4300</v>
      </c>
      <c r="D2154" s="90" t="s">
        <v>1420</v>
      </c>
      <c r="E2154" s="90" t="n">
        <f aca="false">2800+300*5</f>
        <v>4300</v>
      </c>
      <c r="G2154" s="90" t="n">
        <v>1</v>
      </c>
    </row>
    <row r="2155" customFormat="false" ht="17.6" hidden="false" customHeight="false" outlineLevel="0" collapsed="false">
      <c r="A2155" s="89" t="s">
        <v>2397</v>
      </c>
      <c r="B2155" s="90" t="s">
        <v>2298</v>
      </c>
      <c r="C2155" s="90" t="n">
        <f aca="false">E2155*G2155</f>
        <v>4600</v>
      </c>
      <c r="D2155" s="90" t="s">
        <v>1420</v>
      </c>
      <c r="E2155" s="90" t="n">
        <f aca="false">2800+300*6</f>
        <v>4600</v>
      </c>
      <c r="G2155" s="90" t="n">
        <v>1</v>
      </c>
    </row>
    <row r="2156" customFormat="false" ht="17.6" hidden="false" customHeight="false" outlineLevel="0" collapsed="false">
      <c r="A2156" s="89" t="s">
        <v>2398</v>
      </c>
      <c r="B2156" s="90" t="s">
        <v>2298</v>
      </c>
      <c r="C2156" s="90" t="n">
        <f aca="false">E2156*G2156</f>
        <v>4900</v>
      </c>
      <c r="D2156" s="90" t="s">
        <v>1420</v>
      </c>
      <c r="E2156" s="90" t="n">
        <f aca="false">2800+300*7</f>
        <v>4900</v>
      </c>
      <c r="G2156" s="90" t="n">
        <v>1</v>
      </c>
    </row>
    <row r="2157" customFormat="false" ht="17.6" hidden="false" customHeight="false" outlineLevel="0" collapsed="false">
      <c r="A2157" s="89" t="s">
        <v>2399</v>
      </c>
      <c r="B2157" s="90" t="s">
        <v>2298</v>
      </c>
      <c r="C2157" s="90" t="n">
        <f aca="false">E2157*G2157</f>
        <v>5200</v>
      </c>
      <c r="D2157" s="90" t="s">
        <v>1420</v>
      </c>
      <c r="E2157" s="90" t="n">
        <f aca="false">2800+300*8</f>
        <v>5200</v>
      </c>
      <c r="G2157" s="90" t="n">
        <v>1</v>
      </c>
    </row>
    <row r="2158" customFormat="false" ht="17.6" hidden="false" customHeight="false" outlineLevel="0" collapsed="false">
      <c r="A2158" s="89" t="s">
        <v>2400</v>
      </c>
      <c r="B2158" s="90" t="s">
        <v>2298</v>
      </c>
      <c r="C2158" s="90" t="n">
        <f aca="false">E2158*G2158</f>
        <v>5500</v>
      </c>
      <c r="D2158" s="90" t="s">
        <v>1420</v>
      </c>
      <c r="E2158" s="90" t="n">
        <f aca="false">2800+300*9</f>
        <v>5500</v>
      </c>
      <c r="G2158" s="90" t="n">
        <v>1</v>
      </c>
    </row>
    <row r="2159" customFormat="false" ht="17.6" hidden="false" customHeight="false" outlineLevel="0" collapsed="false">
      <c r="A2159" s="89" t="s">
        <v>2401</v>
      </c>
      <c r="B2159" s="90" t="s">
        <v>2298</v>
      </c>
      <c r="C2159" s="90" t="n">
        <f aca="false">E2159*G2159</f>
        <v>2805</v>
      </c>
      <c r="D2159" s="90" t="s">
        <v>1420</v>
      </c>
      <c r="E2159" s="90" t="n">
        <f aca="false">2800+500</f>
        <v>3300</v>
      </c>
      <c r="G2159" s="90" t="n">
        <v>0.85</v>
      </c>
    </row>
    <row r="2160" customFormat="false" ht="17.6" hidden="false" customHeight="false" outlineLevel="0" collapsed="false">
      <c r="A2160" s="89" t="s">
        <v>2402</v>
      </c>
      <c r="B2160" s="90" t="s">
        <v>2298</v>
      </c>
      <c r="C2160" s="90" t="n">
        <f aca="false">E2160*G2160</f>
        <v>3230</v>
      </c>
      <c r="D2160" s="90" t="s">
        <v>1420</v>
      </c>
      <c r="E2160" s="90" t="n">
        <f aca="false">2800+500*2</f>
        <v>3800</v>
      </c>
      <c r="G2160" s="90" t="n">
        <v>0.85</v>
      </c>
    </row>
    <row r="2161" customFormat="false" ht="17.6" hidden="false" customHeight="false" outlineLevel="0" collapsed="false">
      <c r="A2161" s="89" t="s">
        <v>2403</v>
      </c>
      <c r="B2161" s="90" t="s">
        <v>2298</v>
      </c>
      <c r="C2161" s="90" t="n">
        <f aca="false">E2161*G2161</f>
        <v>3145</v>
      </c>
      <c r="D2161" s="90" t="s">
        <v>1420</v>
      </c>
      <c r="E2161" s="90" t="n">
        <f aca="false">2800+300*3</f>
        <v>3700</v>
      </c>
      <c r="G2161" s="90" t="n">
        <v>0.85</v>
      </c>
    </row>
    <row r="2162" customFormat="false" ht="17.6" hidden="false" customHeight="false" outlineLevel="0" collapsed="false">
      <c r="A2162" s="89" t="s">
        <v>2404</v>
      </c>
      <c r="B2162" s="90" t="s">
        <v>2298</v>
      </c>
      <c r="C2162" s="90" t="n">
        <f aca="false">E2162*G2162</f>
        <v>3400</v>
      </c>
      <c r="D2162" s="90" t="s">
        <v>1420</v>
      </c>
      <c r="E2162" s="90" t="n">
        <f aca="false">2800+300*4</f>
        <v>4000</v>
      </c>
      <c r="G2162" s="90" t="n">
        <v>0.85</v>
      </c>
    </row>
    <row r="2163" customFormat="false" ht="17.6" hidden="false" customHeight="false" outlineLevel="0" collapsed="false">
      <c r="A2163" s="89" t="s">
        <v>2405</v>
      </c>
      <c r="B2163" s="90" t="s">
        <v>2298</v>
      </c>
      <c r="C2163" s="90" t="n">
        <f aca="false">E2163*G2163</f>
        <v>3655</v>
      </c>
      <c r="D2163" s="90" t="s">
        <v>1420</v>
      </c>
      <c r="E2163" s="90" t="n">
        <f aca="false">2800+300*5</f>
        <v>4300</v>
      </c>
      <c r="G2163" s="90" t="n">
        <v>0.85</v>
      </c>
    </row>
    <row r="2164" customFormat="false" ht="17.6" hidden="false" customHeight="false" outlineLevel="0" collapsed="false">
      <c r="A2164" s="89" t="s">
        <v>2406</v>
      </c>
      <c r="B2164" s="90" t="s">
        <v>2298</v>
      </c>
      <c r="C2164" s="90" t="n">
        <f aca="false">E2164*G2164</f>
        <v>3910</v>
      </c>
      <c r="D2164" s="90" t="s">
        <v>1420</v>
      </c>
      <c r="E2164" s="90" t="n">
        <f aca="false">2800+300*6</f>
        <v>4600</v>
      </c>
      <c r="G2164" s="90" t="n">
        <v>0.85</v>
      </c>
    </row>
    <row r="2165" customFormat="false" ht="17.6" hidden="false" customHeight="false" outlineLevel="0" collapsed="false">
      <c r="A2165" s="89" t="s">
        <v>2407</v>
      </c>
      <c r="B2165" s="90" t="s">
        <v>2298</v>
      </c>
      <c r="C2165" s="90" t="n">
        <f aca="false">E2165*G2165</f>
        <v>4165</v>
      </c>
      <c r="D2165" s="90" t="s">
        <v>1420</v>
      </c>
      <c r="E2165" s="90" t="n">
        <f aca="false">2800+300*7</f>
        <v>4900</v>
      </c>
      <c r="G2165" s="90" t="n">
        <v>0.85</v>
      </c>
    </row>
    <row r="2166" customFormat="false" ht="17.6" hidden="false" customHeight="false" outlineLevel="0" collapsed="false">
      <c r="A2166" s="89" t="s">
        <v>2408</v>
      </c>
      <c r="B2166" s="90" t="s">
        <v>2298</v>
      </c>
      <c r="C2166" s="90" t="n">
        <f aca="false">E2166*G2166</f>
        <v>4420</v>
      </c>
      <c r="D2166" s="90" t="s">
        <v>1420</v>
      </c>
      <c r="E2166" s="90" t="n">
        <f aca="false">2800+300*8</f>
        <v>5200</v>
      </c>
      <c r="G2166" s="90" t="n">
        <v>0.85</v>
      </c>
    </row>
    <row r="2167" customFormat="false" ht="17.6" hidden="false" customHeight="false" outlineLevel="0" collapsed="false">
      <c r="A2167" s="89" t="s">
        <v>2409</v>
      </c>
      <c r="B2167" s="90" t="s">
        <v>2298</v>
      </c>
      <c r="C2167" s="90" t="n">
        <f aca="false">E2167*G2167</f>
        <v>4675</v>
      </c>
      <c r="D2167" s="90" t="s">
        <v>1420</v>
      </c>
      <c r="E2167" s="90" t="n">
        <f aca="false">2800+300*9</f>
        <v>5500</v>
      </c>
      <c r="G2167" s="90" t="n">
        <v>0.85</v>
      </c>
    </row>
    <row r="2168" customFormat="false" ht="17.6" hidden="false" customHeight="false" outlineLevel="0" collapsed="false">
      <c r="A2168" s="91"/>
    </row>
    <row r="2169" customFormat="false" ht="17.6" hidden="false" customHeight="false" outlineLevel="0" collapsed="false">
      <c r="A2169" s="91"/>
    </row>
    <row r="2170" customFormat="false" ht="17.6" hidden="false" customHeight="false" outlineLevel="0" collapsed="false">
      <c r="A2170" s="91" t="s">
        <v>2410</v>
      </c>
      <c r="B2170" s="90" t="s">
        <v>49</v>
      </c>
      <c r="C2170" s="90" t="n">
        <f aca="false">E2170*G2170+F2170</f>
        <v>24127</v>
      </c>
      <c r="D2170" s="90" t="s">
        <v>1078</v>
      </c>
      <c r="E2170" s="90" t="n">
        <v>35080</v>
      </c>
      <c r="F2170" s="90" t="n">
        <f aca="false">525+800</f>
        <v>1325</v>
      </c>
      <c r="G2170" s="90" t="n">
        <v>0.65</v>
      </c>
    </row>
    <row r="2171" customFormat="false" ht="17.6" hidden="false" customHeight="false" outlineLevel="0" collapsed="false">
      <c r="A2171" s="91" t="s">
        <v>2411</v>
      </c>
      <c r="B2171" s="90" t="s">
        <v>49</v>
      </c>
      <c r="C2171" s="90" t="n">
        <f aca="false">E2171*G2171+F2171</f>
        <v>24352</v>
      </c>
      <c r="D2171" s="90" t="s">
        <v>1078</v>
      </c>
      <c r="E2171" s="90" t="n">
        <v>35080</v>
      </c>
      <c r="F2171" s="90" t="n">
        <f aca="false">525+225+800</f>
        <v>1550</v>
      </c>
      <c r="G2171" s="90" t="n">
        <v>0.65</v>
      </c>
    </row>
    <row r="2172" customFormat="false" ht="17.6" hidden="false" customHeight="false" outlineLevel="0" collapsed="false">
      <c r="A2172" s="91" t="s">
        <v>2412</v>
      </c>
      <c r="B2172" s="90" t="s">
        <v>49</v>
      </c>
      <c r="C2172" s="90" t="n">
        <f aca="false">E2172*G2172+F2172</f>
        <v>20062</v>
      </c>
      <c r="D2172" s="90" t="s">
        <v>1078</v>
      </c>
      <c r="E2172" s="90" t="n">
        <v>28480</v>
      </c>
      <c r="F2172" s="90" t="n">
        <f aca="false">525+225+800</f>
        <v>1550</v>
      </c>
      <c r="G2172" s="90" t="n">
        <v>0.65</v>
      </c>
    </row>
    <row r="2173" customFormat="false" ht="17.6" hidden="false" customHeight="false" outlineLevel="0" collapsed="false">
      <c r="A2173" s="91" t="s">
        <v>2413</v>
      </c>
      <c r="B2173" s="90" t="s">
        <v>49</v>
      </c>
      <c r="C2173" s="90" t="n">
        <f aca="false">E2173*G2173+F2173</f>
        <v>9637</v>
      </c>
      <c r="D2173" s="90" t="s">
        <v>1078</v>
      </c>
      <c r="E2173" s="90" t="n">
        <v>12980</v>
      </c>
      <c r="F2173" s="90" t="n">
        <f aca="false">400+800</f>
        <v>1200</v>
      </c>
      <c r="G2173" s="90" t="n">
        <v>0.65</v>
      </c>
    </row>
    <row r="2174" customFormat="false" ht="17.6" hidden="false" customHeight="false" outlineLevel="0" collapsed="false">
      <c r="A2174" s="91" t="s">
        <v>2414</v>
      </c>
      <c r="B2174" s="90" t="s">
        <v>49</v>
      </c>
      <c r="C2174" s="90" t="n">
        <f aca="false">E2174*G2174+F2174</f>
        <v>9962</v>
      </c>
      <c r="D2174" s="90" t="s">
        <v>1078</v>
      </c>
      <c r="E2174" s="90" t="n">
        <v>13480</v>
      </c>
      <c r="F2174" s="90" t="n">
        <f aca="false">400+800</f>
        <v>1200</v>
      </c>
      <c r="G2174" s="90" t="n">
        <v>0.65</v>
      </c>
    </row>
    <row r="2175" customFormat="false" ht="17.6" hidden="false" customHeight="false" outlineLevel="0" collapsed="false">
      <c r="A2175" s="91" t="s">
        <v>2415</v>
      </c>
      <c r="B2175" s="90" t="s">
        <v>40</v>
      </c>
      <c r="C2175" s="90" t="n">
        <f aca="false">E2175*G2175+F2175</f>
        <v>213.2</v>
      </c>
      <c r="D2175" s="90" t="s">
        <v>1078</v>
      </c>
      <c r="E2175" s="90" t="n">
        <v>328</v>
      </c>
      <c r="G2175" s="90" t="n">
        <v>0.65</v>
      </c>
    </row>
    <row r="2176" customFormat="false" ht="17.6" hidden="false" customHeight="false" outlineLevel="0" collapsed="false">
      <c r="A2176" s="91" t="s">
        <v>2416</v>
      </c>
      <c r="B2176" s="90" t="s">
        <v>40</v>
      </c>
      <c r="C2176" s="90" t="n">
        <f aca="false">E2176*G2176+F2176</f>
        <v>213.2</v>
      </c>
      <c r="D2176" s="90" t="s">
        <v>1078</v>
      </c>
      <c r="E2176" s="90" t="n">
        <v>328</v>
      </c>
      <c r="G2176" s="90" t="n">
        <v>0.65</v>
      </c>
    </row>
    <row r="2177" customFormat="false" ht="17.6" hidden="false" customHeight="false" outlineLevel="0" collapsed="false">
      <c r="A2177" s="91" t="s">
        <v>2417</v>
      </c>
      <c r="B2177" s="90" t="s">
        <v>40</v>
      </c>
      <c r="C2177" s="90" t="n">
        <f aca="false">E2177*G2177+F2177</f>
        <v>213.2</v>
      </c>
      <c r="D2177" s="90" t="s">
        <v>1078</v>
      </c>
      <c r="E2177" s="90" t="n">
        <v>328</v>
      </c>
      <c r="G2177" s="90" t="n">
        <v>0.65</v>
      </c>
    </row>
    <row r="2178" customFormat="false" ht="17.6" hidden="false" customHeight="false" outlineLevel="0" collapsed="false">
      <c r="A2178" s="91" t="s">
        <v>2418</v>
      </c>
      <c r="B2178" s="90" t="s">
        <v>40</v>
      </c>
      <c r="C2178" s="90" t="n">
        <f aca="false">E2178*G2178+F2178</f>
        <v>213.2</v>
      </c>
      <c r="D2178" s="90" t="s">
        <v>1078</v>
      </c>
      <c r="E2178" s="90" t="n">
        <v>328</v>
      </c>
      <c r="G2178" s="90" t="n">
        <v>0.65</v>
      </c>
    </row>
    <row r="2179" customFormat="false" ht="17.6" hidden="false" customHeight="false" outlineLevel="0" collapsed="false">
      <c r="A2179" s="91" t="s">
        <v>2419</v>
      </c>
      <c r="B2179" s="90" t="s">
        <v>40</v>
      </c>
      <c r="C2179" s="90" t="n">
        <f aca="false">E2179*G2179+F2179</f>
        <v>310.7</v>
      </c>
      <c r="D2179" s="90" t="s">
        <v>1078</v>
      </c>
      <c r="E2179" s="90" t="n">
        <v>478</v>
      </c>
      <c r="G2179" s="90" t="n">
        <v>0.65</v>
      </c>
    </row>
    <row r="2180" customFormat="false" ht="17.6" hidden="false" customHeight="false" outlineLevel="0" collapsed="false">
      <c r="A2180" s="91" t="s">
        <v>2420</v>
      </c>
      <c r="B2180" s="90" t="s">
        <v>40</v>
      </c>
      <c r="C2180" s="90" t="n">
        <f aca="false">E2180*G2180+F2180</f>
        <v>408.2</v>
      </c>
      <c r="D2180" s="90" t="s">
        <v>1078</v>
      </c>
      <c r="E2180" s="90" t="n">
        <v>628</v>
      </c>
      <c r="G2180" s="90" t="n">
        <v>0.65</v>
      </c>
    </row>
    <row r="2181" customFormat="false" ht="17.6" hidden="false" customHeight="false" outlineLevel="0" collapsed="false">
      <c r="A2181" s="91" t="s">
        <v>2421</v>
      </c>
      <c r="B2181" s="90" t="s">
        <v>40</v>
      </c>
      <c r="C2181" s="90" t="n">
        <f aca="false">E2181*G2181+F2181</f>
        <v>408.2</v>
      </c>
      <c r="D2181" s="90" t="s">
        <v>1078</v>
      </c>
      <c r="E2181" s="90" t="n">
        <v>628</v>
      </c>
      <c r="G2181" s="90" t="n">
        <v>0.65</v>
      </c>
    </row>
    <row r="2182" customFormat="false" ht="17.6" hidden="false" customHeight="false" outlineLevel="0" collapsed="false">
      <c r="A2182" s="91" t="s">
        <v>2422</v>
      </c>
      <c r="B2182" s="90" t="s">
        <v>40</v>
      </c>
      <c r="C2182" s="90" t="n">
        <f aca="false">E2182*G2182+F2182</f>
        <v>564.2</v>
      </c>
      <c r="D2182" s="90" t="s">
        <v>1078</v>
      </c>
      <c r="E2182" s="90" t="n">
        <v>868</v>
      </c>
      <c r="G2182" s="90" t="n">
        <v>0.65</v>
      </c>
    </row>
    <row r="2183" customFormat="false" ht="17.6" hidden="false" customHeight="false" outlineLevel="0" collapsed="false">
      <c r="A2183" s="91" t="s">
        <v>2423</v>
      </c>
      <c r="B2183" s="90" t="s">
        <v>40</v>
      </c>
      <c r="C2183" s="90" t="n">
        <f aca="false">E2183*G2183+F2183</f>
        <v>1092.2</v>
      </c>
      <c r="D2183" s="90" t="s">
        <v>1078</v>
      </c>
      <c r="E2183" s="90" t="n">
        <v>868</v>
      </c>
      <c r="F2183" s="90" t="n">
        <v>528</v>
      </c>
      <c r="G2183" s="90" t="n">
        <v>0.65</v>
      </c>
    </row>
    <row r="2184" customFormat="false" ht="17.6" hidden="false" customHeight="false" outlineLevel="0" collapsed="false">
      <c r="A2184" s="91" t="s">
        <v>2424</v>
      </c>
      <c r="B2184" s="90" t="s">
        <v>49</v>
      </c>
      <c r="C2184" s="90" t="n">
        <f aca="false">E2184*G2184+F2184</f>
        <v>8762</v>
      </c>
      <c r="D2184" s="90" t="s">
        <v>1078</v>
      </c>
      <c r="E2184" s="90" t="n">
        <v>13480</v>
      </c>
      <c r="G2184" s="90" t="n">
        <v>0.65</v>
      </c>
    </row>
    <row r="2185" customFormat="false" ht="17.6" hidden="false" customHeight="false" outlineLevel="0" collapsed="false">
      <c r="A2185" s="91" t="s">
        <v>2425</v>
      </c>
      <c r="B2185" s="90" t="s">
        <v>49</v>
      </c>
      <c r="C2185" s="90" t="n">
        <f aca="false">E2185*G2185+F2185</f>
        <v>8437</v>
      </c>
      <c r="D2185" s="90" t="s">
        <v>1078</v>
      </c>
      <c r="E2185" s="90" t="n">
        <v>12980</v>
      </c>
      <c r="G2185" s="90" t="n">
        <v>0.65</v>
      </c>
    </row>
    <row r="2186" customFormat="false" ht="17.6" hidden="false" customHeight="false" outlineLevel="0" collapsed="false">
      <c r="A2186" s="91" t="s">
        <v>2426</v>
      </c>
      <c r="B2186" s="90" t="s">
        <v>49</v>
      </c>
      <c r="C2186" s="90" t="n">
        <f aca="false">E2186*G2186+F2186</f>
        <v>7787</v>
      </c>
      <c r="D2186" s="90" t="s">
        <v>1078</v>
      </c>
      <c r="E2186" s="90" t="n">
        <v>11980</v>
      </c>
      <c r="G2186" s="90" t="n">
        <v>0.65</v>
      </c>
    </row>
    <row r="2187" customFormat="false" ht="17.6" hidden="false" customHeight="false" outlineLevel="0" collapsed="false">
      <c r="A2187" s="91" t="s">
        <v>2427</v>
      </c>
      <c r="B2187" s="90" t="s">
        <v>49</v>
      </c>
      <c r="C2187" s="90" t="n">
        <f aca="false">E2187*G2187+F2187</f>
        <v>7462</v>
      </c>
      <c r="D2187" s="90" t="s">
        <v>1078</v>
      </c>
      <c r="E2187" s="90" t="n">
        <v>11480</v>
      </c>
      <c r="G2187" s="90" t="n">
        <v>0.65</v>
      </c>
    </row>
    <row r="2188" customFormat="false" ht="17.6" hidden="false" customHeight="false" outlineLevel="0" collapsed="false">
      <c r="A2188" s="91"/>
    </row>
    <row r="2189" customFormat="false" ht="17.6" hidden="false" customHeight="false" outlineLevel="0" collapsed="false">
      <c r="A2189" s="105" t="s">
        <v>2428</v>
      </c>
      <c r="B2189" s="4"/>
      <c r="C2189" s="4" t="n">
        <f aca="false">53910*0.7</f>
        <v>37737</v>
      </c>
      <c r="D2189" s="4" t="s">
        <v>2429</v>
      </c>
    </row>
    <row r="2190" customFormat="false" ht="17.6" hidden="false" customHeight="false" outlineLevel="0" collapsed="false">
      <c r="A2190" s="105" t="s">
        <v>2430</v>
      </c>
      <c r="B2190" s="4"/>
      <c r="C2190" s="4" t="n">
        <f aca="false">52150*0.7</f>
        <v>36505</v>
      </c>
      <c r="D2190" s="4" t="s">
        <v>2429</v>
      </c>
    </row>
    <row r="2191" customFormat="false" ht="17.6" hidden="false" customHeight="false" outlineLevel="0" collapsed="false">
      <c r="A2191" s="105" t="s">
        <v>2431</v>
      </c>
      <c r="B2191" s="4"/>
      <c r="C2191" s="4" t="n">
        <f aca="false">47590*0.7</f>
        <v>33313</v>
      </c>
      <c r="D2191" s="4" t="s">
        <v>2429</v>
      </c>
    </row>
    <row r="2192" customFormat="false" ht="17.6" hidden="false" customHeight="false" outlineLevel="0" collapsed="false">
      <c r="A2192" s="91"/>
    </row>
    <row r="2193" customFormat="false" ht="17.6" hidden="false" customHeight="false" outlineLevel="0" collapsed="false">
      <c r="A2193" s="91" t="s">
        <v>2432</v>
      </c>
      <c r="C2193" s="101" t="n">
        <f aca="false">64750*0.65+1620+500+1000/3+150+150</f>
        <v>44840.8333333333</v>
      </c>
      <c r="D2193" s="90" t="s">
        <v>1241</v>
      </c>
    </row>
    <row r="2194" customFormat="false" ht="17.6" hidden="false" customHeight="false" outlineLevel="0" collapsed="false">
      <c r="A2194" s="91"/>
    </row>
    <row r="2195" customFormat="false" ht="17.6" hidden="false" customHeight="false" outlineLevel="0" collapsed="false">
      <c r="A2195" s="91" t="s">
        <v>2433</v>
      </c>
      <c r="C2195" s="90" t="n">
        <f aca="false">8614*0.6</f>
        <v>5168.4</v>
      </c>
      <c r="D2195" s="90" t="s">
        <v>1374</v>
      </c>
    </row>
    <row r="2196" customFormat="false" ht="17.6" hidden="false" customHeight="false" outlineLevel="0" collapsed="false">
      <c r="A2196" s="91" t="s">
        <v>2434</v>
      </c>
      <c r="C2196" s="90" t="n">
        <f aca="false">4760*0.6</f>
        <v>2856</v>
      </c>
      <c r="D2196" s="90" t="s">
        <v>1374</v>
      </c>
    </row>
    <row r="2197" customFormat="false" ht="17.6" hidden="false" customHeight="false" outlineLevel="0" collapsed="false">
      <c r="A2197" s="91"/>
    </row>
    <row r="2198" customFormat="false" ht="17.6" hidden="false" customHeight="false" outlineLevel="0" collapsed="false">
      <c r="A2198" s="91"/>
    </row>
    <row r="2199" customFormat="false" ht="17.6" hidden="false" customHeight="false" outlineLevel="0" collapsed="false">
      <c r="A2199" s="91" t="s">
        <v>2435</v>
      </c>
      <c r="C2199" s="90" t="n">
        <v>9800</v>
      </c>
      <c r="D2199" s="90" t="s">
        <v>1153</v>
      </c>
    </row>
    <row r="2200" customFormat="false" ht="17.6" hidden="false" customHeight="false" outlineLevel="0" collapsed="false">
      <c r="A2200" s="91"/>
    </row>
    <row r="2201" customFormat="false" ht="17.6" hidden="false" customHeight="false" outlineLevel="0" collapsed="false">
      <c r="A2201" s="4"/>
      <c r="C2201" s="4"/>
    </row>
    <row r="2202" customFormat="false" ht="17.6" hidden="false" customHeight="false" outlineLevel="0" collapsed="false">
      <c r="A2202" s="91"/>
      <c r="D2202" s="103"/>
      <c r="E2202" s="103"/>
      <c r="F2202" s="103"/>
      <c r="G2202" s="103"/>
      <c r="H2202" s="103"/>
      <c r="I2202" s="103"/>
      <c r="J2202" s="103"/>
      <c r="K2202" s="103"/>
      <c r="L2202" s="103"/>
      <c r="M2202" s="103"/>
      <c r="N2202" s="103"/>
      <c r="O2202" s="104"/>
      <c r="P2202" s="104"/>
      <c r="Q2202" s="104"/>
      <c r="R2202" s="104"/>
      <c r="S2202" s="104"/>
      <c r="T2202" s="104"/>
      <c r="U2202" s="104"/>
      <c r="V2202" s="104"/>
      <c r="W2202" s="104"/>
      <c r="X2202" s="104"/>
      <c r="Y2202" s="104"/>
      <c r="Z2202" s="104"/>
      <c r="AA2202" s="104"/>
      <c r="AB2202" s="104"/>
      <c r="AC2202" s="104"/>
      <c r="AD2202" s="104"/>
      <c r="AE2202" s="104"/>
      <c r="AF2202" s="104"/>
      <c r="AG2202" s="104"/>
      <c r="AH2202" s="104"/>
      <c r="AI2202" s="104"/>
      <c r="AJ2202" s="104"/>
      <c r="AK2202" s="104"/>
      <c r="AL2202" s="104"/>
      <c r="AM2202" s="104"/>
      <c r="AN2202" s="104"/>
      <c r="AO2202" s="104"/>
      <c r="AP2202" s="104"/>
      <c r="AQ2202" s="104"/>
      <c r="AR2202" s="104"/>
      <c r="AS2202" s="104"/>
      <c r="AT2202" s="104"/>
      <c r="AU2202" s="104"/>
      <c r="AV2202" s="104"/>
      <c r="AW2202" s="104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  <c r="BH2202" s="104"/>
      <c r="BI2202" s="104"/>
      <c r="BJ2202" s="104"/>
      <c r="BK2202" s="104"/>
      <c r="BL2202" s="104"/>
      <c r="BM2202" s="104"/>
      <c r="BN2202" s="104"/>
      <c r="BO2202" s="104"/>
      <c r="BP2202" s="104"/>
      <c r="BQ2202" s="104"/>
      <c r="BR2202" s="104"/>
      <c r="BS2202" s="104"/>
      <c r="BT2202" s="104"/>
      <c r="BU2202" s="104"/>
      <c r="BV2202" s="104"/>
      <c r="BW2202" s="104"/>
      <c r="BX2202" s="104"/>
      <c r="BY2202" s="104"/>
      <c r="BZ2202" s="104"/>
      <c r="CA2202" s="104"/>
      <c r="CB2202" s="104"/>
      <c r="CC2202" s="104"/>
      <c r="CD2202" s="104"/>
      <c r="CE2202" s="104"/>
      <c r="CF2202" s="104"/>
      <c r="CG2202" s="104"/>
      <c r="CH2202" s="104"/>
      <c r="CI2202" s="104"/>
      <c r="CJ2202" s="104"/>
      <c r="CK2202" s="104"/>
      <c r="CL2202" s="104"/>
      <c r="CM2202" s="104"/>
      <c r="CN2202" s="104"/>
      <c r="CO2202" s="104"/>
      <c r="CP2202" s="104"/>
      <c r="CQ2202" s="104"/>
      <c r="CR2202" s="104"/>
      <c r="CS2202" s="104"/>
      <c r="CT2202" s="104"/>
      <c r="CU2202" s="104"/>
      <c r="CV2202" s="104"/>
      <c r="CW2202" s="104"/>
      <c r="CX2202" s="104"/>
      <c r="CY2202" s="104"/>
      <c r="CZ2202" s="104"/>
      <c r="DA2202" s="104"/>
      <c r="DB2202" s="104"/>
      <c r="DC2202" s="104"/>
      <c r="DD2202" s="104"/>
      <c r="DE2202" s="104"/>
      <c r="DF2202" s="104"/>
      <c r="DG2202" s="104"/>
      <c r="DH2202" s="104"/>
      <c r="DI2202" s="104"/>
      <c r="DJ2202" s="104"/>
      <c r="DK2202" s="104"/>
      <c r="DL2202" s="104"/>
      <c r="DM2202" s="104"/>
      <c r="DN2202" s="104"/>
      <c r="DO2202" s="104"/>
      <c r="DP2202" s="104"/>
      <c r="DQ2202" s="104"/>
      <c r="DR2202" s="104"/>
      <c r="DS2202" s="104"/>
      <c r="DT2202" s="104"/>
      <c r="DU2202" s="104"/>
      <c r="DV2202" s="104"/>
      <c r="DW2202" s="104"/>
      <c r="DX2202" s="104"/>
      <c r="DY2202" s="104"/>
      <c r="DZ2202" s="104"/>
      <c r="EA2202" s="104"/>
      <c r="EB2202" s="104"/>
      <c r="EC2202" s="104"/>
      <c r="ED2202" s="104"/>
      <c r="EE2202" s="104"/>
      <c r="EF2202" s="104"/>
      <c r="EG2202" s="104"/>
      <c r="EH2202" s="104"/>
      <c r="EI2202" s="104"/>
      <c r="EJ2202" s="104"/>
      <c r="EK2202" s="104"/>
      <c r="EL2202" s="104"/>
      <c r="EM2202" s="104"/>
      <c r="EN2202" s="104"/>
      <c r="EO2202" s="104"/>
      <c r="EP2202" s="104"/>
      <c r="EQ2202" s="104"/>
      <c r="ER2202" s="104"/>
      <c r="ES2202" s="104"/>
      <c r="ET2202" s="104"/>
      <c r="EU2202" s="104"/>
      <c r="EV2202" s="104"/>
      <c r="EW2202" s="104"/>
      <c r="EX2202" s="104"/>
      <c r="EY2202" s="104"/>
      <c r="EZ2202" s="104"/>
      <c r="FA2202" s="104"/>
      <c r="FB2202" s="104"/>
      <c r="FC2202" s="104"/>
      <c r="FD2202" s="104"/>
      <c r="FE2202" s="104"/>
      <c r="FF2202" s="104"/>
      <c r="FG2202" s="104"/>
      <c r="FH2202" s="104"/>
      <c r="FI2202" s="104"/>
      <c r="FJ2202" s="104"/>
      <c r="FK2202" s="104"/>
      <c r="FL2202" s="104"/>
      <c r="FM2202" s="104"/>
      <c r="FN2202" s="104"/>
      <c r="FO2202" s="104"/>
      <c r="FP2202" s="104"/>
      <c r="FQ2202" s="104"/>
      <c r="FR2202" s="104"/>
      <c r="FS2202" s="104"/>
      <c r="FT2202" s="104"/>
      <c r="FU2202" s="104"/>
      <c r="FV2202" s="104"/>
      <c r="FW2202" s="104"/>
      <c r="FX2202" s="104"/>
      <c r="FY2202" s="104"/>
      <c r="FZ2202" s="104"/>
      <c r="GA2202" s="104"/>
      <c r="GB2202" s="104"/>
      <c r="GC2202" s="104"/>
      <c r="GD2202" s="104"/>
      <c r="GE2202" s="104"/>
      <c r="GF2202" s="104"/>
      <c r="GG2202" s="104"/>
      <c r="GH2202" s="104"/>
      <c r="GI2202" s="104"/>
      <c r="GJ2202" s="104"/>
      <c r="GK2202" s="104"/>
      <c r="GL2202" s="104"/>
      <c r="GM2202" s="104"/>
      <c r="GN2202" s="104"/>
      <c r="GO2202" s="104"/>
      <c r="GP2202" s="104"/>
      <c r="GQ2202" s="104"/>
      <c r="GR2202" s="104"/>
      <c r="GS2202" s="104"/>
      <c r="GT2202" s="104"/>
      <c r="GU2202" s="104"/>
      <c r="GV2202" s="104"/>
      <c r="GW2202" s="104"/>
      <c r="GX2202" s="104"/>
      <c r="GY2202" s="104"/>
      <c r="GZ2202" s="104"/>
      <c r="HA2202" s="104"/>
      <c r="HB2202" s="104"/>
      <c r="HC2202" s="104"/>
      <c r="HD2202" s="104"/>
      <c r="HE2202" s="104"/>
      <c r="HF2202" s="104"/>
      <c r="HG2202" s="104"/>
      <c r="HH2202" s="104"/>
      <c r="HI2202" s="104"/>
      <c r="HJ2202" s="104"/>
      <c r="HK2202" s="104"/>
      <c r="HL2202" s="104"/>
      <c r="HM2202" s="104"/>
      <c r="HN2202" s="104"/>
      <c r="HO2202" s="104"/>
      <c r="HP2202" s="104"/>
      <c r="HQ2202" s="104"/>
      <c r="HR2202" s="104"/>
      <c r="HS2202" s="104"/>
      <c r="HT2202" s="104"/>
      <c r="HU2202" s="104"/>
      <c r="HV2202" s="104"/>
      <c r="HW2202" s="104"/>
      <c r="HX2202" s="104"/>
      <c r="HY2202" s="104"/>
      <c r="HZ2202" s="104"/>
      <c r="IA2202" s="104"/>
      <c r="IB2202" s="104"/>
      <c r="IC2202" s="104"/>
      <c r="ID2202" s="104"/>
      <c r="IE2202" s="104"/>
      <c r="IF2202" s="104"/>
      <c r="IG2202" s="104"/>
      <c r="IH2202" s="104"/>
      <c r="II2202" s="104"/>
      <c r="IJ2202" s="104"/>
      <c r="IK2202" s="104"/>
      <c r="IL2202" s="104"/>
      <c r="IM2202" s="104"/>
      <c r="IN2202" s="104"/>
      <c r="IO2202" s="104"/>
      <c r="IP2202" s="104"/>
      <c r="IQ2202" s="104"/>
      <c r="IR2202" s="104"/>
      <c r="IS2202" s="104"/>
      <c r="IT2202" s="104"/>
      <c r="IU2202" s="104"/>
      <c r="IV2202" s="104"/>
      <c r="IW2202" s="104"/>
    </row>
    <row r="2203" customFormat="false" ht="17.6" hidden="false" customHeight="false" outlineLevel="0" collapsed="false">
      <c r="A2203" s="91"/>
    </row>
    <row r="2204" customFormat="false" ht="17.6" hidden="false" customHeight="false" outlineLevel="0" collapsed="false">
      <c r="A2204" s="91" t="s">
        <v>2436</v>
      </c>
      <c r="C2204" s="90" t="n">
        <f aca="false">23000*0.65+400+225</f>
        <v>15575</v>
      </c>
      <c r="D2204" s="90" t="s">
        <v>1978</v>
      </c>
    </row>
    <row r="2205" customFormat="false" ht="17.6" hidden="false" customHeight="false" outlineLevel="0" collapsed="false">
      <c r="A2205" s="91"/>
    </row>
    <row r="2206" customFormat="false" ht="17.6" hidden="false" customHeight="false" outlineLevel="0" collapsed="false">
      <c r="A2206" s="91" t="s">
        <v>2437</v>
      </c>
      <c r="C2206" s="90" t="n">
        <f aca="false">250*0.65</f>
        <v>162.5</v>
      </c>
      <c r="D2206" s="90" t="s">
        <v>1978</v>
      </c>
    </row>
    <row r="2207" customFormat="false" ht="18" hidden="false" customHeight="false" outlineLevel="0" collapsed="false">
      <c r="A2207" s="101" t="s">
        <v>2438</v>
      </c>
      <c r="C2207" s="90" t="n">
        <f aca="false">290*0.65</f>
        <v>188.5</v>
      </c>
      <c r="D2207" s="90" t="s">
        <v>1978</v>
      </c>
    </row>
    <row r="2208" customFormat="false" ht="18" hidden="false" customHeight="false" outlineLevel="0" collapsed="false">
      <c r="A2208" s="101" t="s">
        <v>2439</v>
      </c>
      <c r="C2208" s="90" t="n">
        <f aca="false">290*0.65</f>
        <v>188.5</v>
      </c>
      <c r="D2208" s="90" t="s">
        <v>1978</v>
      </c>
    </row>
    <row r="2209" customFormat="false" ht="18" hidden="false" customHeight="false" outlineLevel="0" collapsed="false">
      <c r="A2209" s="101" t="s">
        <v>2440</v>
      </c>
      <c r="C2209" s="90" t="n">
        <f aca="false">290*0.65</f>
        <v>188.5</v>
      </c>
      <c r="D2209" s="90" t="s">
        <v>1978</v>
      </c>
    </row>
    <row r="2210" customFormat="false" ht="18" hidden="false" customHeight="false" outlineLevel="0" collapsed="false">
      <c r="A2210" s="101" t="s">
        <v>2441</v>
      </c>
      <c r="C2210" s="90" t="n">
        <f aca="false">290*0.65</f>
        <v>188.5</v>
      </c>
      <c r="D2210" s="90" t="s">
        <v>1978</v>
      </c>
    </row>
    <row r="2211" customFormat="false" ht="18" hidden="false" customHeight="false" outlineLevel="0" collapsed="false">
      <c r="A2211" s="101" t="s">
        <v>2442</v>
      </c>
      <c r="C2211" s="90" t="n">
        <f aca="false">550*0.65</f>
        <v>357.5</v>
      </c>
      <c r="D2211" s="90" t="s">
        <v>1978</v>
      </c>
    </row>
    <row r="2212" customFormat="false" ht="18" hidden="false" customHeight="false" outlineLevel="0" collapsed="false">
      <c r="A2212" s="101" t="s">
        <v>2443</v>
      </c>
      <c r="C2212" s="90" t="n">
        <f aca="false">550*0.65</f>
        <v>357.5</v>
      </c>
      <c r="D2212" s="90" t="s">
        <v>1978</v>
      </c>
    </row>
    <row r="2213" customFormat="false" ht="18" hidden="false" customHeight="false" outlineLevel="0" collapsed="false">
      <c r="A2213" s="101" t="s">
        <v>2444</v>
      </c>
      <c r="C2213" s="90" t="n">
        <f aca="false">550*0.65</f>
        <v>357.5</v>
      </c>
      <c r="D2213" s="90" t="s">
        <v>1978</v>
      </c>
    </row>
    <row r="2214" customFormat="false" ht="18" hidden="false" customHeight="false" outlineLevel="0" collapsed="false">
      <c r="A2214" s="101" t="s">
        <v>2445</v>
      </c>
      <c r="C2214" s="90" t="n">
        <f aca="false">550*0.65</f>
        <v>357.5</v>
      </c>
      <c r="D2214" s="90" t="s">
        <v>1978</v>
      </c>
    </row>
    <row r="2215" customFormat="false" ht="18" hidden="false" customHeight="false" outlineLevel="0" collapsed="false">
      <c r="A2215" s="101" t="s">
        <v>2446</v>
      </c>
      <c r="C2215" s="90" t="n">
        <f aca="false">940*0.65</f>
        <v>611</v>
      </c>
      <c r="D2215" s="90" t="s">
        <v>1978</v>
      </c>
    </row>
    <row r="2216" customFormat="false" ht="17.6" hidden="false" customHeight="false" outlineLevel="0" collapsed="false">
      <c r="A2216" s="91"/>
    </row>
    <row r="2217" customFormat="false" ht="17.6" hidden="false" customHeight="false" outlineLevel="0" collapsed="false">
      <c r="A2217" s="91" t="s">
        <v>2447</v>
      </c>
      <c r="C2217" s="90" t="n">
        <v>500</v>
      </c>
      <c r="D2217" s="90" t="s">
        <v>2448</v>
      </c>
    </row>
    <row r="2218" customFormat="false" ht="17.6" hidden="false" customHeight="false" outlineLevel="0" collapsed="false">
      <c r="A2218" s="91" t="s">
        <v>2449</v>
      </c>
      <c r="C2218" s="90" t="n">
        <v>3280</v>
      </c>
      <c r="D2218" s="90" t="s">
        <v>919</v>
      </c>
    </row>
    <row r="2219" customFormat="false" ht="17.6" hidden="false" customHeight="false" outlineLevel="0" collapsed="false">
      <c r="A2219" s="91" t="s">
        <v>2450</v>
      </c>
      <c r="C2219" s="90" t="n">
        <f aca="false">2200*0.58</f>
        <v>1276</v>
      </c>
      <c r="D2219" s="90" t="s">
        <v>2233</v>
      </c>
    </row>
    <row r="2220" customFormat="false" ht="17.6" hidden="false" customHeight="false" outlineLevel="0" collapsed="false">
      <c r="A2220" s="91"/>
    </row>
    <row r="2221" customFormat="false" ht="17.6" hidden="false" customHeight="false" outlineLevel="0" collapsed="false">
      <c r="A2221" s="91" t="s">
        <v>2451</v>
      </c>
      <c r="C2221" s="90" t="n">
        <f aca="false">19650*0.75+162+97+432+486/3+108</f>
        <v>15698.5</v>
      </c>
      <c r="D2221" s="90" t="s">
        <v>2452</v>
      </c>
    </row>
    <row r="2222" customFormat="false" ht="17.6" hidden="false" customHeight="false" outlineLevel="0" collapsed="false">
      <c r="A2222" s="91" t="s">
        <v>2453</v>
      </c>
      <c r="C2222" s="90" t="n">
        <f aca="false">21820*0.75+162+97+432+486/3+108</f>
        <v>17326</v>
      </c>
      <c r="D2222" s="90" t="s">
        <v>2452</v>
      </c>
    </row>
    <row r="2223" customFormat="false" ht="17.6" hidden="false" customHeight="false" outlineLevel="0" collapsed="false">
      <c r="A2223" s="91"/>
    </row>
    <row r="2224" customFormat="false" ht="17.6" hidden="false" customHeight="false" outlineLevel="0" collapsed="false">
      <c r="A2224" s="91"/>
    </row>
    <row r="2225" customFormat="false" ht="17.6" hidden="false" customHeight="false" outlineLevel="0" collapsed="false">
      <c r="A2225" s="106"/>
      <c r="B2225" s="106"/>
      <c r="C2225" s="106"/>
      <c r="D2225" s="106"/>
      <c r="E2225" s="103"/>
      <c r="F2225" s="103"/>
      <c r="G2225" s="103"/>
      <c r="H2225" s="103"/>
      <c r="I2225" s="103"/>
      <c r="J2225" s="103"/>
      <c r="K2225" s="103"/>
      <c r="L2225" s="103"/>
      <c r="M2225" s="103"/>
      <c r="N2225" s="103"/>
      <c r="O2225" s="107"/>
      <c r="P2225" s="107"/>
      <c r="Q2225" s="107"/>
      <c r="R2225" s="107"/>
      <c r="S2225" s="107"/>
      <c r="T2225" s="107"/>
      <c r="U2225" s="107"/>
      <c r="V2225" s="107"/>
      <c r="W2225" s="107"/>
      <c r="X2225" s="107"/>
      <c r="Y2225" s="107"/>
      <c r="Z2225" s="107"/>
      <c r="AA2225" s="107"/>
      <c r="AB2225" s="107"/>
      <c r="AC2225" s="107"/>
      <c r="AD2225" s="107"/>
      <c r="AE2225" s="107"/>
      <c r="AF2225" s="107"/>
      <c r="AG2225" s="107"/>
      <c r="AH2225" s="107"/>
      <c r="AI2225" s="107"/>
      <c r="AJ2225" s="107"/>
      <c r="AK2225" s="107"/>
      <c r="AL2225" s="107"/>
      <c r="AM2225" s="107"/>
      <c r="AN2225" s="107"/>
      <c r="AO2225" s="107"/>
      <c r="AP2225" s="107"/>
      <c r="AQ2225" s="107"/>
      <c r="AR2225" s="107"/>
      <c r="AS2225" s="107"/>
      <c r="AT2225" s="107"/>
      <c r="AU2225" s="107"/>
      <c r="AV2225" s="107"/>
      <c r="AW2225" s="107"/>
      <c r="AX2225" s="107"/>
      <c r="AY2225" s="107"/>
      <c r="AZ2225" s="107"/>
      <c r="BA2225" s="107"/>
      <c r="BB2225" s="107"/>
      <c r="BC2225" s="107"/>
      <c r="BD2225" s="107"/>
      <c r="BE2225" s="107"/>
      <c r="BF2225" s="107"/>
      <c r="BG2225" s="107"/>
      <c r="BH2225" s="107"/>
      <c r="BI2225" s="107"/>
      <c r="BJ2225" s="107"/>
      <c r="BK2225" s="107"/>
      <c r="BL2225" s="107"/>
      <c r="BM2225" s="107"/>
      <c r="BN2225" s="107"/>
      <c r="BO2225" s="107"/>
      <c r="BP2225" s="107"/>
      <c r="BQ2225" s="107"/>
      <c r="BR2225" s="107"/>
      <c r="BS2225" s="107"/>
      <c r="BT2225" s="107"/>
      <c r="BU2225" s="107"/>
      <c r="BV2225" s="107"/>
      <c r="BW2225" s="107"/>
      <c r="BX2225" s="107"/>
      <c r="BY2225" s="107"/>
      <c r="BZ2225" s="107"/>
      <c r="CA2225" s="107"/>
      <c r="CB2225" s="107"/>
      <c r="CC2225" s="107"/>
      <c r="CD2225" s="107"/>
      <c r="CE2225" s="107"/>
      <c r="CF2225" s="107"/>
      <c r="CG2225" s="107"/>
      <c r="CH2225" s="107"/>
      <c r="CI2225" s="107"/>
      <c r="CJ2225" s="107"/>
      <c r="CK2225" s="107"/>
      <c r="CL2225" s="107"/>
      <c r="CM2225" s="107"/>
      <c r="CN2225" s="107"/>
      <c r="CO2225" s="107"/>
      <c r="CP2225" s="107"/>
      <c r="CQ2225" s="107"/>
      <c r="CR2225" s="107"/>
      <c r="CS2225" s="107"/>
      <c r="CT2225" s="107"/>
      <c r="CU2225" s="107"/>
      <c r="CV2225" s="107"/>
      <c r="CW2225" s="107"/>
      <c r="CX2225" s="107"/>
      <c r="CY2225" s="107"/>
      <c r="CZ2225" s="107"/>
      <c r="DA2225" s="107"/>
      <c r="DB2225" s="107"/>
      <c r="DC2225" s="107"/>
      <c r="DD2225" s="107"/>
      <c r="DE2225" s="107"/>
      <c r="DF2225" s="107"/>
      <c r="DG2225" s="107"/>
      <c r="DH2225" s="107"/>
      <c r="DI2225" s="107"/>
      <c r="DJ2225" s="107"/>
      <c r="DK2225" s="107"/>
      <c r="DL2225" s="107"/>
      <c r="DM2225" s="107"/>
      <c r="DN2225" s="107"/>
      <c r="DO2225" s="107"/>
      <c r="DP2225" s="107"/>
      <c r="DQ2225" s="107"/>
      <c r="DR2225" s="107"/>
      <c r="DS2225" s="107"/>
      <c r="DT2225" s="107"/>
      <c r="DU2225" s="107"/>
      <c r="DV2225" s="107"/>
      <c r="DW2225" s="107"/>
      <c r="DX2225" s="107"/>
      <c r="DY2225" s="107"/>
      <c r="DZ2225" s="107"/>
      <c r="EA2225" s="107"/>
      <c r="EB2225" s="107"/>
      <c r="EC2225" s="107"/>
      <c r="ED2225" s="107"/>
      <c r="EE2225" s="107"/>
      <c r="EF2225" s="107"/>
      <c r="EG2225" s="107"/>
      <c r="EH2225" s="107"/>
      <c r="EI2225" s="107"/>
      <c r="EJ2225" s="107"/>
      <c r="EK2225" s="107"/>
      <c r="EL2225" s="107"/>
      <c r="EM2225" s="107"/>
      <c r="EN2225" s="107"/>
      <c r="EO2225" s="107"/>
      <c r="EP2225" s="107"/>
      <c r="EQ2225" s="107"/>
      <c r="ER2225" s="107"/>
      <c r="ES2225" s="107"/>
      <c r="ET2225" s="107"/>
      <c r="EU2225" s="107"/>
      <c r="EV2225" s="107"/>
      <c r="EW2225" s="107"/>
      <c r="EX2225" s="107"/>
      <c r="EY2225" s="107"/>
      <c r="EZ2225" s="107"/>
      <c r="FA2225" s="107"/>
      <c r="FB2225" s="107"/>
      <c r="FC2225" s="107"/>
      <c r="FD2225" s="107"/>
      <c r="FE2225" s="107"/>
      <c r="FF2225" s="107"/>
      <c r="FG2225" s="107"/>
      <c r="FH2225" s="107"/>
      <c r="FI2225" s="107"/>
      <c r="FJ2225" s="107"/>
      <c r="FK2225" s="107"/>
      <c r="FL2225" s="107"/>
      <c r="FM2225" s="107"/>
      <c r="FN2225" s="107"/>
      <c r="FO2225" s="107"/>
      <c r="FP2225" s="107"/>
      <c r="FQ2225" s="107"/>
      <c r="FR2225" s="107"/>
      <c r="FS2225" s="107"/>
      <c r="FT2225" s="107"/>
      <c r="FU2225" s="107"/>
      <c r="FV2225" s="107"/>
      <c r="FW2225" s="107"/>
      <c r="FX2225" s="107"/>
      <c r="FY2225" s="107"/>
      <c r="FZ2225" s="107"/>
      <c r="GA2225" s="107"/>
      <c r="GB2225" s="107"/>
      <c r="GC2225" s="107"/>
      <c r="GD2225" s="107"/>
      <c r="GE2225" s="107"/>
      <c r="GF2225" s="107"/>
      <c r="GG2225" s="107"/>
      <c r="GH2225" s="107"/>
      <c r="GI2225" s="107"/>
      <c r="GJ2225" s="107"/>
      <c r="GK2225" s="107"/>
      <c r="GL2225" s="107"/>
      <c r="GM2225" s="107"/>
      <c r="GN2225" s="107"/>
      <c r="GO2225" s="107"/>
      <c r="GP2225" s="107"/>
      <c r="GQ2225" s="107"/>
      <c r="GR2225" s="107"/>
      <c r="GS2225" s="107"/>
      <c r="GT2225" s="107"/>
      <c r="GU2225" s="107"/>
      <c r="GV2225" s="107"/>
      <c r="GW2225" s="107"/>
      <c r="GX2225" s="107"/>
      <c r="GY2225" s="107"/>
      <c r="GZ2225" s="107"/>
      <c r="HA2225" s="107"/>
      <c r="HB2225" s="107"/>
      <c r="HC2225" s="107"/>
      <c r="HD2225" s="107"/>
      <c r="HE2225" s="107"/>
      <c r="HF2225" s="107"/>
      <c r="HG2225" s="107"/>
      <c r="HH2225" s="107"/>
      <c r="HI2225" s="107"/>
      <c r="HJ2225" s="107"/>
      <c r="HK2225" s="107"/>
      <c r="HL2225" s="107"/>
      <c r="HM2225" s="107"/>
      <c r="HN2225" s="107"/>
      <c r="HO2225" s="107"/>
      <c r="HP2225" s="107"/>
      <c r="HQ2225" s="107"/>
      <c r="HR2225" s="107"/>
      <c r="HS2225" s="107"/>
      <c r="HT2225" s="107"/>
      <c r="HU2225" s="107"/>
      <c r="HV2225" s="107"/>
      <c r="HW2225" s="107"/>
      <c r="HX2225" s="107"/>
      <c r="HY2225" s="107"/>
      <c r="HZ2225" s="107"/>
      <c r="IA2225" s="107"/>
      <c r="IB2225" s="107"/>
      <c r="IC2225" s="107"/>
      <c r="ID2225" s="107"/>
      <c r="IE2225" s="107"/>
      <c r="IF2225" s="107"/>
      <c r="IG2225" s="107"/>
      <c r="IH2225" s="107"/>
      <c r="II2225" s="107"/>
      <c r="IJ2225" s="107"/>
      <c r="IK2225" s="107"/>
      <c r="IL2225" s="107"/>
      <c r="IM2225" s="107"/>
      <c r="IN2225" s="107"/>
      <c r="IO2225" s="107"/>
      <c r="IP2225" s="107"/>
      <c r="IQ2225" s="107"/>
      <c r="IR2225" s="107"/>
      <c r="IS2225" s="107"/>
      <c r="IT2225" s="107"/>
      <c r="IU2225" s="107"/>
      <c r="IV2225" s="107"/>
      <c r="IW2225" s="106"/>
    </row>
    <row r="2226" customFormat="false" ht="17.6" hidden="false" customHeight="false" outlineLevel="0" collapsed="false">
      <c r="A2226" s="91"/>
    </row>
    <row r="2227" customFormat="false" ht="17.6" hidden="false" customHeight="false" outlineLevel="0" collapsed="false">
      <c r="A2227" s="91"/>
      <c r="D2227" s="103"/>
      <c r="E2227" s="103"/>
      <c r="F2227" s="103"/>
      <c r="G2227" s="103"/>
      <c r="H2227" s="103"/>
      <c r="I2227" s="103"/>
      <c r="J2227" s="103"/>
      <c r="K2227" s="103"/>
      <c r="L2227" s="103"/>
      <c r="M2227" s="103"/>
      <c r="N2227" s="103"/>
      <c r="O2227" s="104"/>
      <c r="P2227" s="91"/>
      <c r="Q2227" s="91"/>
      <c r="R2227" s="91"/>
      <c r="S2227" s="91"/>
      <c r="T2227" s="91"/>
      <c r="U2227" s="91"/>
      <c r="V2227" s="91"/>
      <c r="W2227" s="91"/>
      <c r="X2227" s="91"/>
      <c r="Y2227" s="91"/>
      <c r="Z2227" s="91"/>
      <c r="AA2227" s="91"/>
      <c r="AB2227" s="91"/>
      <c r="AC2227" s="91"/>
      <c r="AD2227" s="91"/>
      <c r="AE2227" s="91"/>
      <c r="AF2227" s="91"/>
      <c r="AG2227" s="91"/>
      <c r="AH2227" s="91"/>
      <c r="AI2227" s="91"/>
      <c r="AJ2227" s="91"/>
      <c r="AK2227" s="91"/>
      <c r="AL2227" s="91"/>
      <c r="AM2227" s="91"/>
      <c r="AN2227" s="91"/>
      <c r="AO2227" s="91"/>
      <c r="AP2227" s="91"/>
      <c r="AQ2227" s="91"/>
      <c r="AR2227" s="91"/>
      <c r="AS2227" s="91"/>
      <c r="AT2227" s="91"/>
      <c r="AU2227" s="91"/>
      <c r="AV2227" s="91"/>
      <c r="AW2227" s="91"/>
      <c r="AX2227" s="91"/>
      <c r="AY2227" s="91"/>
      <c r="AZ2227" s="91"/>
      <c r="BA2227" s="91"/>
      <c r="BB2227" s="91"/>
      <c r="BC2227" s="91"/>
      <c r="BD2227" s="91"/>
      <c r="BE2227" s="91"/>
      <c r="BF2227" s="91"/>
      <c r="BG2227" s="91"/>
      <c r="BH2227" s="91"/>
      <c r="BI2227" s="91"/>
      <c r="BJ2227" s="91"/>
      <c r="BK2227" s="91"/>
      <c r="BL2227" s="91"/>
      <c r="BM2227" s="91"/>
      <c r="BN2227" s="91"/>
      <c r="BO2227" s="91"/>
      <c r="BP2227" s="91"/>
      <c r="BQ2227" s="91"/>
      <c r="BR2227" s="91"/>
      <c r="BS2227" s="91"/>
      <c r="BT2227" s="91"/>
      <c r="BU2227" s="91"/>
      <c r="BV2227" s="91"/>
      <c r="BW2227" s="91"/>
      <c r="BX2227" s="91"/>
      <c r="BY2227" s="91"/>
      <c r="BZ2227" s="91"/>
      <c r="CA2227" s="91"/>
      <c r="CB2227" s="91"/>
      <c r="CC2227" s="91"/>
      <c r="CD2227" s="91"/>
      <c r="CE2227" s="91"/>
      <c r="CF2227" s="91"/>
      <c r="CG2227" s="91"/>
      <c r="CH2227" s="91"/>
      <c r="CI2227" s="91"/>
      <c r="CJ2227" s="91"/>
      <c r="CK2227" s="91"/>
      <c r="CL2227" s="91"/>
      <c r="CM2227" s="91"/>
      <c r="CN2227" s="91"/>
      <c r="CO2227" s="91"/>
      <c r="CP2227" s="91"/>
      <c r="CQ2227" s="91"/>
      <c r="CR2227" s="91"/>
      <c r="CS2227" s="91"/>
      <c r="CT2227" s="91"/>
      <c r="CU2227" s="91"/>
      <c r="CV2227" s="91"/>
      <c r="CW2227" s="91"/>
      <c r="CX2227" s="91"/>
      <c r="CY2227" s="91"/>
      <c r="CZ2227" s="91"/>
      <c r="DA2227" s="91"/>
      <c r="DB2227" s="91"/>
      <c r="DC2227" s="91"/>
      <c r="DD2227" s="91"/>
      <c r="DE2227" s="91"/>
      <c r="DF2227" s="91"/>
      <c r="DG2227" s="91"/>
      <c r="DH2227" s="91"/>
      <c r="DI2227" s="91"/>
      <c r="DJ2227" s="91"/>
      <c r="DK2227" s="91"/>
      <c r="DL2227" s="91"/>
      <c r="DM2227" s="91"/>
      <c r="DN2227" s="91"/>
      <c r="DO2227" s="91"/>
      <c r="DP2227" s="91"/>
      <c r="DQ2227" s="91"/>
      <c r="DR2227" s="91"/>
      <c r="DS2227" s="91"/>
      <c r="DT2227" s="91"/>
      <c r="DU2227" s="91"/>
      <c r="DV2227" s="91"/>
      <c r="DW2227" s="91"/>
      <c r="DX2227" s="91"/>
      <c r="DY2227" s="91"/>
      <c r="DZ2227" s="91"/>
      <c r="EA2227" s="91"/>
      <c r="EB2227" s="91"/>
      <c r="EC2227" s="91"/>
      <c r="ED2227" s="91"/>
      <c r="EE2227" s="91"/>
      <c r="EF2227" s="91"/>
      <c r="EG2227" s="91"/>
      <c r="EH2227" s="91"/>
      <c r="EI2227" s="91"/>
      <c r="EJ2227" s="91"/>
      <c r="EK2227" s="91"/>
      <c r="EL2227" s="91"/>
      <c r="EM2227" s="91"/>
      <c r="EN2227" s="91"/>
      <c r="EO2227" s="91"/>
      <c r="EP2227" s="91"/>
      <c r="EQ2227" s="91"/>
      <c r="ER2227" s="91"/>
      <c r="ES2227" s="91"/>
      <c r="ET2227" s="91"/>
      <c r="EU2227" s="91"/>
      <c r="EV2227" s="91"/>
      <c r="EW2227" s="91"/>
      <c r="EX2227" s="91"/>
      <c r="EY2227" s="91"/>
      <c r="EZ2227" s="91"/>
      <c r="FA2227" s="91"/>
      <c r="FB2227" s="91"/>
      <c r="FC2227" s="91"/>
      <c r="FD2227" s="91"/>
      <c r="FE2227" s="91"/>
      <c r="FF2227" s="91"/>
      <c r="FG2227" s="91"/>
      <c r="FH2227" s="91"/>
      <c r="FI2227" s="91"/>
      <c r="FJ2227" s="91"/>
      <c r="FK2227" s="91"/>
      <c r="FL2227" s="91"/>
      <c r="FM2227" s="91"/>
      <c r="FN2227" s="91"/>
      <c r="FO2227" s="91"/>
      <c r="FP2227" s="91"/>
      <c r="FQ2227" s="91"/>
      <c r="FR2227" s="91"/>
      <c r="FS2227" s="91"/>
      <c r="FT2227" s="91"/>
      <c r="FU2227" s="91"/>
      <c r="FV2227" s="91"/>
      <c r="FW2227" s="91"/>
      <c r="FX2227" s="91"/>
      <c r="FY2227" s="91"/>
      <c r="FZ2227" s="91"/>
      <c r="GA2227" s="91"/>
      <c r="GB2227" s="91"/>
      <c r="GC2227" s="91"/>
      <c r="GD2227" s="91"/>
      <c r="GE2227" s="91"/>
      <c r="GF2227" s="91"/>
      <c r="GG2227" s="91"/>
      <c r="GH2227" s="91"/>
      <c r="GI2227" s="91"/>
      <c r="GJ2227" s="91"/>
      <c r="GK2227" s="91"/>
      <c r="GL2227" s="91"/>
      <c r="GM2227" s="91"/>
      <c r="GN2227" s="91"/>
      <c r="GO2227" s="91"/>
      <c r="GP2227" s="91"/>
      <c r="GQ2227" s="91"/>
      <c r="GR2227" s="91"/>
      <c r="GS2227" s="91"/>
      <c r="GT2227" s="91"/>
      <c r="GU2227" s="91"/>
      <c r="GV2227" s="91"/>
      <c r="GW2227" s="91"/>
      <c r="GX2227" s="91"/>
      <c r="GY2227" s="91"/>
      <c r="GZ2227" s="91"/>
      <c r="HA2227" s="91"/>
      <c r="HB2227" s="91"/>
      <c r="HC2227" s="91"/>
      <c r="HD2227" s="91"/>
      <c r="HE2227" s="91"/>
      <c r="HF2227" s="91"/>
      <c r="HG2227" s="91"/>
      <c r="HH2227" s="91"/>
      <c r="HI2227" s="91"/>
      <c r="HJ2227" s="91"/>
      <c r="HK2227" s="91"/>
      <c r="HL2227" s="91"/>
      <c r="HM2227" s="91"/>
      <c r="HN2227" s="91"/>
      <c r="HO2227" s="91"/>
      <c r="HP2227" s="91"/>
      <c r="HQ2227" s="91"/>
      <c r="HR2227" s="91"/>
      <c r="HS2227" s="91"/>
      <c r="HT2227" s="91"/>
      <c r="HU2227" s="91"/>
      <c r="HV2227" s="91"/>
      <c r="HW2227" s="91"/>
      <c r="HX2227" s="91"/>
      <c r="HY2227" s="91"/>
      <c r="HZ2227" s="91"/>
      <c r="IA2227" s="91"/>
      <c r="IB2227" s="91"/>
      <c r="IC2227" s="91"/>
      <c r="ID2227" s="91"/>
      <c r="IE2227" s="91"/>
      <c r="IF2227" s="91"/>
      <c r="IG2227" s="91"/>
      <c r="IH2227" s="91"/>
      <c r="II2227" s="91"/>
      <c r="IJ2227" s="91"/>
      <c r="IK2227" s="91"/>
      <c r="IL2227" s="91"/>
      <c r="IM2227" s="91"/>
      <c r="IN2227" s="91"/>
      <c r="IO2227" s="91"/>
      <c r="IP2227" s="91"/>
      <c r="IQ2227" s="91"/>
      <c r="IR2227" s="91"/>
      <c r="IS2227" s="91"/>
      <c r="IT2227" s="91"/>
      <c r="IU2227" s="91"/>
      <c r="IV2227" s="91"/>
      <c r="IW2227" s="91"/>
    </row>
    <row r="2228" customFormat="false" ht="17.6" hidden="false" customHeight="false" outlineLevel="0" collapsed="false">
      <c r="A2228" s="91"/>
      <c r="D2228" s="103"/>
      <c r="E2228" s="103"/>
      <c r="F2228" s="103"/>
      <c r="G2228" s="103"/>
      <c r="H2228" s="103"/>
      <c r="I2228" s="103"/>
      <c r="J2228" s="103"/>
      <c r="K2228" s="103"/>
      <c r="L2228" s="103"/>
      <c r="M2228" s="103"/>
      <c r="N2228" s="103"/>
      <c r="O2228" s="104"/>
      <c r="P2228" s="91"/>
      <c r="Q2228" s="91"/>
      <c r="R2228" s="91"/>
      <c r="S2228" s="91"/>
      <c r="T2228" s="91"/>
      <c r="U2228" s="91"/>
      <c r="V2228" s="91"/>
      <c r="W2228" s="91"/>
      <c r="X2228" s="91"/>
      <c r="Y2228" s="91"/>
      <c r="Z2228" s="91"/>
      <c r="AA2228" s="91"/>
      <c r="AB2228" s="91"/>
      <c r="AC2228" s="91"/>
      <c r="AD2228" s="91"/>
      <c r="AE2228" s="91"/>
      <c r="AF2228" s="91"/>
      <c r="AG2228" s="91"/>
      <c r="AH2228" s="91"/>
      <c r="AI2228" s="91"/>
      <c r="AJ2228" s="91"/>
      <c r="AK2228" s="91"/>
      <c r="AL2228" s="91"/>
      <c r="AM2228" s="91"/>
      <c r="AN2228" s="91"/>
      <c r="AO2228" s="91"/>
      <c r="AP2228" s="91"/>
      <c r="AQ2228" s="91"/>
      <c r="AR2228" s="91"/>
      <c r="AS2228" s="91"/>
      <c r="AT2228" s="91"/>
      <c r="AU2228" s="91"/>
      <c r="AV2228" s="91"/>
      <c r="AW2228" s="91"/>
      <c r="AX2228" s="91"/>
      <c r="AY2228" s="91"/>
      <c r="AZ2228" s="91"/>
      <c r="BA2228" s="91"/>
      <c r="BB2228" s="91"/>
      <c r="BC2228" s="91"/>
      <c r="BD2228" s="91"/>
      <c r="BE2228" s="91"/>
      <c r="BF2228" s="91"/>
      <c r="BG2228" s="91"/>
      <c r="BH2228" s="91"/>
      <c r="BI2228" s="91"/>
      <c r="BJ2228" s="91"/>
      <c r="BK2228" s="91"/>
      <c r="BL2228" s="91"/>
      <c r="BM2228" s="91"/>
      <c r="BN2228" s="91"/>
      <c r="BO2228" s="91"/>
      <c r="BP2228" s="91"/>
      <c r="BQ2228" s="91"/>
      <c r="BR2228" s="91"/>
      <c r="BS2228" s="91"/>
      <c r="BT2228" s="91"/>
      <c r="BU2228" s="91"/>
      <c r="BV2228" s="91"/>
      <c r="BW2228" s="91"/>
      <c r="BX2228" s="91"/>
      <c r="BY2228" s="91"/>
      <c r="BZ2228" s="91"/>
      <c r="CA2228" s="91"/>
      <c r="CB2228" s="91"/>
      <c r="CC2228" s="91"/>
      <c r="CD2228" s="91"/>
      <c r="CE2228" s="91"/>
      <c r="CF2228" s="91"/>
      <c r="CG2228" s="91"/>
      <c r="CH2228" s="91"/>
      <c r="CI2228" s="91"/>
      <c r="CJ2228" s="91"/>
      <c r="CK2228" s="91"/>
      <c r="CL2228" s="91"/>
      <c r="CM2228" s="91"/>
      <c r="CN2228" s="91"/>
      <c r="CO2228" s="91"/>
      <c r="CP2228" s="91"/>
      <c r="CQ2228" s="91"/>
      <c r="CR2228" s="91"/>
      <c r="CS2228" s="91"/>
      <c r="CT2228" s="91"/>
      <c r="CU2228" s="91"/>
      <c r="CV2228" s="91"/>
      <c r="CW2228" s="91"/>
      <c r="CX2228" s="91"/>
      <c r="CY2228" s="91"/>
      <c r="CZ2228" s="91"/>
      <c r="DA2228" s="91"/>
      <c r="DB2228" s="91"/>
      <c r="DC2228" s="91"/>
      <c r="DD2228" s="91"/>
      <c r="DE2228" s="91"/>
      <c r="DF2228" s="91"/>
      <c r="DG2228" s="91"/>
      <c r="DH2228" s="91"/>
      <c r="DI2228" s="91"/>
      <c r="DJ2228" s="91"/>
      <c r="DK2228" s="91"/>
      <c r="DL2228" s="91"/>
      <c r="DM2228" s="91"/>
      <c r="DN2228" s="91"/>
      <c r="DO2228" s="91"/>
      <c r="DP2228" s="91"/>
      <c r="DQ2228" s="91"/>
      <c r="DR2228" s="91"/>
      <c r="DS2228" s="91"/>
      <c r="DT2228" s="91"/>
      <c r="DU2228" s="91"/>
      <c r="DV2228" s="91"/>
      <c r="DW2228" s="91"/>
      <c r="DX2228" s="91"/>
      <c r="DY2228" s="91"/>
      <c r="DZ2228" s="91"/>
      <c r="EA2228" s="91"/>
      <c r="EB2228" s="91"/>
      <c r="EC2228" s="91"/>
      <c r="ED2228" s="91"/>
      <c r="EE2228" s="91"/>
      <c r="EF2228" s="91"/>
      <c r="EG2228" s="91"/>
      <c r="EH2228" s="91"/>
      <c r="EI2228" s="91"/>
      <c r="EJ2228" s="91"/>
      <c r="EK2228" s="91"/>
      <c r="EL2228" s="91"/>
      <c r="EM2228" s="91"/>
      <c r="EN2228" s="91"/>
      <c r="EO2228" s="91"/>
      <c r="EP2228" s="91"/>
      <c r="EQ2228" s="91"/>
      <c r="ER2228" s="91"/>
      <c r="ES2228" s="91"/>
      <c r="ET2228" s="91"/>
      <c r="EU2228" s="91"/>
      <c r="EV2228" s="91"/>
      <c r="EW2228" s="91"/>
      <c r="EX2228" s="91"/>
      <c r="EY2228" s="91"/>
      <c r="EZ2228" s="91"/>
      <c r="FA2228" s="91"/>
      <c r="FB2228" s="91"/>
      <c r="FC2228" s="91"/>
      <c r="FD2228" s="91"/>
      <c r="FE2228" s="91"/>
      <c r="FF2228" s="91"/>
      <c r="FG2228" s="91"/>
      <c r="FH2228" s="91"/>
      <c r="FI2228" s="91"/>
      <c r="FJ2228" s="91"/>
      <c r="FK2228" s="91"/>
      <c r="FL2228" s="91"/>
      <c r="FM2228" s="91"/>
      <c r="FN2228" s="91"/>
      <c r="FO2228" s="91"/>
      <c r="FP2228" s="91"/>
      <c r="FQ2228" s="91"/>
      <c r="FR2228" s="91"/>
      <c r="FS2228" s="91"/>
      <c r="FT2228" s="91"/>
      <c r="FU2228" s="91"/>
      <c r="FV2228" s="91"/>
      <c r="FW2228" s="91"/>
      <c r="FX2228" s="91"/>
      <c r="FY2228" s="91"/>
      <c r="FZ2228" s="91"/>
      <c r="GA2228" s="91"/>
      <c r="GB2228" s="91"/>
      <c r="GC2228" s="91"/>
      <c r="GD2228" s="91"/>
      <c r="GE2228" s="91"/>
      <c r="GF2228" s="91"/>
      <c r="GG2228" s="91"/>
      <c r="GH2228" s="91"/>
      <c r="GI2228" s="91"/>
      <c r="GJ2228" s="91"/>
      <c r="GK2228" s="91"/>
      <c r="GL2228" s="91"/>
      <c r="GM2228" s="91"/>
      <c r="GN2228" s="91"/>
      <c r="GO2228" s="91"/>
      <c r="GP2228" s="91"/>
      <c r="GQ2228" s="91"/>
      <c r="GR2228" s="91"/>
      <c r="GS2228" s="91"/>
      <c r="GT2228" s="91"/>
      <c r="GU2228" s="91"/>
      <c r="GV2228" s="91"/>
      <c r="GW2228" s="91"/>
      <c r="GX2228" s="91"/>
      <c r="GY2228" s="91"/>
      <c r="GZ2228" s="91"/>
      <c r="HA2228" s="91"/>
      <c r="HB2228" s="91"/>
      <c r="HC2228" s="91"/>
      <c r="HD2228" s="91"/>
      <c r="HE2228" s="91"/>
      <c r="HF2228" s="91"/>
      <c r="HG2228" s="91"/>
      <c r="HH2228" s="91"/>
      <c r="HI2228" s="91"/>
      <c r="HJ2228" s="91"/>
      <c r="HK2228" s="91"/>
      <c r="HL2228" s="91"/>
      <c r="HM2228" s="91"/>
      <c r="HN2228" s="91"/>
      <c r="HO2228" s="91"/>
      <c r="HP2228" s="91"/>
      <c r="HQ2228" s="91"/>
      <c r="HR2228" s="91"/>
      <c r="HS2228" s="91"/>
      <c r="HT2228" s="91"/>
      <c r="HU2228" s="91"/>
      <c r="HV2228" s="91"/>
      <c r="HW2228" s="91"/>
      <c r="HX2228" s="91"/>
      <c r="HY2228" s="91"/>
      <c r="HZ2228" s="91"/>
      <c r="IA2228" s="91"/>
      <c r="IB2228" s="91"/>
      <c r="IC2228" s="91"/>
      <c r="ID2228" s="91"/>
      <c r="IE2228" s="91"/>
      <c r="IF2228" s="91"/>
      <c r="IG2228" s="91"/>
      <c r="IH2228" s="91"/>
      <c r="II2228" s="91"/>
      <c r="IJ2228" s="91"/>
      <c r="IK2228" s="91"/>
      <c r="IL2228" s="91"/>
      <c r="IM2228" s="91"/>
      <c r="IN2228" s="91"/>
      <c r="IO2228" s="91"/>
      <c r="IP2228" s="91"/>
      <c r="IQ2228" s="91"/>
      <c r="IR2228" s="91"/>
      <c r="IS2228" s="91"/>
      <c r="IT2228" s="91"/>
      <c r="IU2228" s="91"/>
      <c r="IV2228" s="91"/>
      <c r="IW2228" s="91"/>
    </row>
    <row r="2229" customFormat="false" ht="17.6" hidden="false" customHeight="false" outlineLevel="0" collapsed="false">
      <c r="A2229" s="91"/>
    </row>
    <row r="2230" customFormat="false" ht="17.6" hidden="false" customHeight="false" outlineLevel="0" collapsed="false">
      <c r="A2230" s="91"/>
      <c r="D2230" s="103"/>
      <c r="E2230" s="103"/>
      <c r="F2230" s="103"/>
      <c r="G2230" s="103"/>
      <c r="H2230" s="103"/>
      <c r="I2230" s="103"/>
      <c r="J2230" s="103"/>
      <c r="K2230" s="103"/>
      <c r="L2230" s="103"/>
      <c r="M2230" s="103"/>
      <c r="N2230" s="103"/>
      <c r="O2230" s="104"/>
      <c r="P2230" s="91"/>
      <c r="Q2230" s="91"/>
      <c r="R2230" s="91"/>
      <c r="S2230" s="91"/>
      <c r="T2230" s="91"/>
      <c r="U2230" s="91"/>
      <c r="V2230" s="91"/>
      <c r="W2230" s="91"/>
      <c r="X2230" s="91"/>
      <c r="Y2230" s="91"/>
      <c r="Z2230" s="91"/>
      <c r="AA2230" s="91"/>
      <c r="AB2230" s="91"/>
      <c r="AC2230" s="91"/>
      <c r="AD2230" s="91"/>
      <c r="AE2230" s="91"/>
      <c r="AF2230" s="91"/>
      <c r="AG2230" s="91"/>
      <c r="AH2230" s="91"/>
      <c r="AI2230" s="91"/>
      <c r="AJ2230" s="91"/>
      <c r="AK2230" s="91"/>
      <c r="AL2230" s="91"/>
      <c r="AM2230" s="91"/>
      <c r="AN2230" s="91"/>
      <c r="AO2230" s="91"/>
      <c r="AP2230" s="91"/>
      <c r="AQ2230" s="91"/>
      <c r="AR2230" s="91"/>
      <c r="AS2230" s="91"/>
      <c r="AT2230" s="91"/>
      <c r="AU2230" s="91"/>
      <c r="AV2230" s="91"/>
      <c r="AW2230" s="91"/>
      <c r="AX2230" s="91"/>
      <c r="AY2230" s="91"/>
      <c r="AZ2230" s="91"/>
      <c r="BA2230" s="91"/>
      <c r="BB2230" s="91"/>
      <c r="BC2230" s="91"/>
      <c r="BD2230" s="91"/>
      <c r="BE2230" s="91"/>
      <c r="BF2230" s="91"/>
      <c r="BG2230" s="91"/>
      <c r="BH2230" s="91"/>
      <c r="BI2230" s="91"/>
      <c r="BJ2230" s="91"/>
      <c r="BK2230" s="91"/>
      <c r="BL2230" s="91"/>
      <c r="BM2230" s="91"/>
      <c r="BN2230" s="91"/>
      <c r="BO2230" s="91"/>
      <c r="BP2230" s="91"/>
      <c r="BQ2230" s="91"/>
      <c r="BR2230" s="91"/>
      <c r="BS2230" s="91"/>
      <c r="BT2230" s="91"/>
      <c r="BU2230" s="91"/>
      <c r="BV2230" s="91"/>
      <c r="BW2230" s="91"/>
      <c r="BX2230" s="91"/>
      <c r="BY2230" s="91"/>
      <c r="BZ2230" s="91"/>
      <c r="CA2230" s="91"/>
      <c r="CB2230" s="91"/>
      <c r="CC2230" s="91"/>
      <c r="CD2230" s="91"/>
      <c r="CE2230" s="91"/>
      <c r="CF2230" s="91"/>
      <c r="CG2230" s="91"/>
      <c r="CH2230" s="91"/>
      <c r="CI2230" s="91"/>
      <c r="CJ2230" s="91"/>
      <c r="CK2230" s="91"/>
      <c r="CL2230" s="91"/>
      <c r="CM2230" s="91"/>
      <c r="CN2230" s="91"/>
      <c r="CO2230" s="91"/>
      <c r="CP2230" s="91"/>
      <c r="CQ2230" s="91"/>
      <c r="CR2230" s="91"/>
      <c r="CS2230" s="91"/>
      <c r="CT2230" s="91"/>
      <c r="CU2230" s="91"/>
      <c r="CV2230" s="91"/>
      <c r="CW2230" s="91"/>
      <c r="CX2230" s="91"/>
      <c r="CY2230" s="91"/>
      <c r="CZ2230" s="91"/>
      <c r="DA2230" s="91"/>
      <c r="DB2230" s="91"/>
      <c r="DC2230" s="91"/>
      <c r="DD2230" s="91"/>
      <c r="DE2230" s="91"/>
      <c r="DF2230" s="91"/>
      <c r="DG2230" s="91"/>
      <c r="DH2230" s="91"/>
      <c r="DI2230" s="91"/>
      <c r="DJ2230" s="91"/>
      <c r="DK2230" s="91"/>
      <c r="DL2230" s="91"/>
      <c r="DM2230" s="91"/>
      <c r="DN2230" s="91"/>
      <c r="DO2230" s="91"/>
      <c r="DP2230" s="91"/>
      <c r="DQ2230" s="91"/>
      <c r="DR2230" s="91"/>
      <c r="DS2230" s="91"/>
      <c r="DT2230" s="91"/>
      <c r="DU2230" s="91"/>
      <c r="DV2230" s="91"/>
      <c r="DW2230" s="91"/>
      <c r="DX2230" s="91"/>
      <c r="DY2230" s="91"/>
      <c r="DZ2230" s="91"/>
      <c r="EA2230" s="91"/>
      <c r="EB2230" s="91"/>
      <c r="EC2230" s="91"/>
      <c r="ED2230" s="91"/>
      <c r="EE2230" s="91"/>
      <c r="EF2230" s="91"/>
      <c r="EG2230" s="91"/>
      <c r="EH2230" s="91"/>
      <c r="EI2230" s="91"/>
      <c r="EJ2230" s="91"/>
      <c r="EK2230" s="91"/>
      <c r="EL2230" s="91"/>
      <c r="EM2230" s="91"/>
      <c r="EN2230" s="91"/>
      <c r="EO2230" s="91"/>
      <c r="EP2230" s="91"/>
      <c r="EQ2230" s="91"/>
      <c r="ER2230" s="91"/>
      <c r="ES2230" s="91"/>
      <c r="ET2230" s="91"/>
      <c r="EU2230" s="91"/>
      <c r="EV2230" s="91"/>
      <c r="EW2230" s="91"/>
      <c r="EX2230" s="91"/>
      <c r="EY2230" s="91"/>
      <c r="EZ2230" s="91"/>
      <c r="FA2230" s="91"/>
      <c r="FB2230" s="91"/>
      <c r="FC2230" s="91"/>
      <c r="FD2230" s="91"/>
      <c r="FE2230" s="91"/>
      <c r="FF2230" s="91"/>
      <c r="FG2230" s="91"/>
      <c r="FH2230" s="91"/>
      <c r="FI2230" s="91"/>
      <c r="FJ2230" s="91"/>
      <c r="FK2230" s="91"/>
      <c r="FL2230" s="91"/>
      <c r="FM2230" s="91"/>
      <c r="FN2230" s="91"/>
      <c r="FO2230" s="91"/>
      <c r="FP2230" s="91"/>
      <c r="FQ2230" s="91"/>
      <c r="FR2230" s="91"/>
      <c r="FS2230" s="91"/>
      <c r="FT2230" s="91"/>
      <c r="FU2230" s="91"/>
      <c r="FV2230" s="91"/>
      <c r="FW2230" s="91"/>
      <c r="FX2230" s="91"/>
      <c r="FY2230" s="91"/>
      <c r="FZ2230" s="91"/>
      <c r="GA2230" s="91"/>
      <c r="GB2230" s="91"/>
      <c r="GC2230" s="91"/>
      <c r="GD2230" s="91"/>
      <c r="GE2230" s="91"/>
      <c r="GF2230" s="91"/>
      <c r="GG2230" s="91"/>
      <c r="GH2230" s="91"/>
      <c r="GI2230" s="91"/>
      <c r="GJ2230" s="91"/>
      <c r="GK2230" s="91"/>
      <c r="GL2230" s="91"/>
      <c r="GM2230" s="91"/>
      <c r="GN2230" s="91"/>
      <c r="GO2230" s="91"/>
      <c r="GP2230" s="91"/>
      <c r="GQ2230" s="91"/>
      <c r="GR2230" s="91"/>
      <c r="GS2230" s="91"/>
      <c r="GT2230" s="91"/>
      <c r="GU2230" s="91"/>
      <c r="GV2230" s="91"/>
      <c r="GW2230" s="91"/>
      <c r="GX2230" s="91"/>
      <c r="GY2230" s="91"/>
      <c r="GZ2230" s="91"/>
      <c r="HA2230" s="91"/>
      <c r="HB2230" s="91"/>
      <c r="HC2230" s="91"/>
      <c r="HD2230" s="91"/>
      <c r="HE2230" s="91"/>
      <c r="HF2230" s="91"/>
      <c r="HG2230" s="91"/>
      <c r="HH2230" s="91"/>
      <c r="HI2230" s="91"/>
      <c r="HJ2230" s="91"/>
      <c r="HK2230" s="91"/>
      <c r="HL2230" s="91"/>
      <c r="HM2230" s="91"/>
      <c r="HN2230" s="91"/>
      <c r="HO2230" s="91"/>
      <c r="HP2230" s="91"/>
      <c r="HQ2230" s="91"/>
      <c r="HR2230" s="91"/>
      <c r="HS2230" s="91"/>
      <c r="HT2230" s="91"/>
      <c r="HU2230" s="91"/>
      <c r="HV2230" s="91"/>
      <c r="HW2230" s="91"/>
      <c r="HX2230" s="91"/>
      <c r="HY2230" s="91"/>
      <c r="HZ2230" s="91"/>
      <c r="IA2230" s="91"/>
      <c r="IB2230" s="91"/>
      <c r="IC2230" s="91"/>
      <c r="ID2230" s="91"/>
      <c r="IE2230" s="91"/>
      <c r="IF2230" s="91"/>
      <c r="IG2230" s="91"/>
      <c r="IH2230" s="91"/>
      <c r="II2230" s="91"/>
      <c r="IJ2230" s="91"/>
      <c r="IK2230" s="91"/>
      <c r="IL2230" s="91"/>
      <c r="IM2230" s="91"/>
      <c r="IN2230" s="91"/>
      <c r="IO2230" s="91"/>
      <c r="IP2230" s="91"/>
      <c r="IQ2230" s="91"/>
      <c r="IR2230" s="91"/>
      <c r="IS2230" s="91"/>
      <c r="IT2230" s="91"/>
      <c r="IU2230" s="91"/>
      <c r="IV2230" s="91"/>
      <c r="IW2230" s="91"/>
    </row>
    <row r="2231" customFormat="false" ht="17.6" hidden="false" customHeight="false" outlineLevel="0" collapsed="false">
      <c r="A2231" s="91" t="s">
        <v>2454</v>
      </c>
      <c r="B2231" s="90" t="s">
        <v>40</v>
      </c>
      <c r="C2231" s="90" t="n">
        <f aca="false">896*0.56</f>
        <v>501.76</v>
      </c>
      <c r="D2231" s="103" t="s">
        <v>2455</v>
      </c>
      <c r="E2231" s="103"/>
      <c r="F2231" s="103"/>
      <c r="G2231" s="103"/>
      <c r="H2231" s="103"/>
      <c r="I2231" s="103"/>
      <c r="J2231" s="103"/>
      <c r="K2231" s="103"/>
      <c r="L2231" s="103"/>
      <c r="M2231" s="103"/>
      <c r="N2231" s="103"/>
      <c r="O2231" s="104"/>
      <c r="P2231" s="103"/>
      <c r="Q2231" s="103"/>
      <c r="R2231" s="103"/>
      <c r="S2231" s="103"/>
      <c r="T2231" s="103"/>
      <c r="U2231" s="103"/>
      <c r="V2231" s="103"/>
      <c r="W2231" s="103"/>
      <c r="X2231" s="103"/>
      <c r="Y2231" s="103"/>
      <c r="Z2231" s="103"/>
      <c r="AA2231" s="103"/>
      <c r="AB2231" s="103"/>
      <c r="AC2231" s="103"/>
      <c r="AD2231" s="103"/>
      <c r="AE2231" s="103"/>
      <c r="AF2231" s="103"/>
      <c r="AG2231" s="103"/>
      <c r="AH2231" s="103"/>
      <c r="AI2231" s="103"/>
      <c r="AJ2231" s="103"/>
      <c r="AK2231" s="103"/>
      <c r="AL2231" s="103"/>
      <c r="AM2231" s="103"/>
      <c r="AN2231" s="103"/>
      <c r="AO2231" s="103"/>
      <c r="AP2231" s="103"/>
      <c r="AQ2231" s="103"/>
      <c r="AR2231" s="103"/>
      <c r="AS2231" s="103"/>
      <c r="AT2231" s="103"/>
      <c r="AU2231" s="103"/>
      <c r="AV2231" s="103"/>
      <c r="AW2231" s="103"/>
      <c r="AX2231" s="103"/>
      <c r="AY2231" s="103"/>
      <c r="AZ2231" s="103"/>
      <c r="BA2231" s="103"/>
      <c r="BB2231" s="103"/>
      <c r="BC2231" s="103"/>
      <c r="BD2231" s="103"/>
      <c r="BE2231" s="103"/>
      <c r="BF2231" s="103"/>
      <c r="BG2231" s="103"/>
      <c r="BH2231" s="103"/>
      <c r="BI2231" s="103"/>
      <c r="BJ2231" s="103"/>
      <c r="BK2231" s="103"/>
      <c r="BL2231" s="103"/>
      <c r="BM2231" s="103"/>
      <c r="BN2231" s="103"/>
      <c r="BO2231" s="103"/>
      <c r="BP2231" s="103"/>
      <c r="BQ2231" s="103"/>
      <c r="BR2231" s="103"/>
      <c r="BS2231" s="103"/>
      <c r="BT2231" s="103"/>
      <c r="BU2231" s="103"/>
      <c r="BV2231" s="103"/>
      <c r="BW2231" s="103"/>
      <c r="BX2231" s="103"/>
      <c r="BY2231" s="103"/>
      <c r="BZ2231" s="103"/>
      <c r="CA2231" s="103"/>
      <c r="CB2231" s="103"/>
      <c r="CC2231" s="103"/>
      <c r="CD2231" s="103"/>
      <c r="CE2231" s="103"/>
      <c r="CF2231" s="103"/>
      <c r="CG2231" s="103"/>
      <c r="CH2231" s="103"/>
      <c r="CI2231" s="103"/>
      <c r="CJ2231" s="103"/>
      <c r="CK2231" s="103"/>
      <c r="CL2231" s="103"/>
      <c r="CM2231" s="103"/>
      <c r="CN2231" s="103"/>
      <c r="CO2231" s="103"/>
      <c r="CP2231" s="103"/>
      <c r="CQ2231" s="103"/>
      <c r="CR2231" s="103"/>
      <c r="CS2231" s="103"/>
      <c r="CT2231" s="103"/>
      <c r="CU2231" s="103"/>
      <c r="CV2231" s="103"/>
      <c r="CW2231" s="103"/>
      <c r="CX2231" s="103"/>
      <c r="CY2231" s="103"/>
      <c r="CZ2231" s="103"/>
      <c r="DA2231" s="103"/>
      <c r="DB2231" s="103"/>
      <c r="DC2231" s="103"/>
      <c r="DD2231" s="103"/>
      <c r="DE2231" s="103"/>
      <c r="DF2231" s="103"/>
      <c r="DG2231" s="103"/>
      <c r="DH2231" s="103"/>
      <c r="DI2231" s="103"/>
      <c r="DJ2231" s="103"/>
      <c r="DK2231" s="103"/>
      <c r="DL2231" s="103"/>
      <c r="DM2231" s="103"/>
      <c r="DN2231" s="103"/>
      <c r="DO2231" s="103"/>
      <c r="DP2231" s="103"/>
      <c r="DQ2231" s="103"/>
      <c r="DR2231" s="103"/>
      <c r="DS2231" s="103"/>
      <c r="DT2231" s="103"/>
      <c r="DU2231" s="103"/>
      <c r="DV2231" s="103"/>
      <c r="DW2231" s="103"/>
      <c r="DX2231" s="103"/>
      <c r="DY2231" s="103"/>
      <c r="DZ2231" s="103"/>
      <c r="EA2231" s="103"/>
      <c r="EB2231" s="103"/>
      <c r="EC2231" s="103"/>
      <c r="ED2231" s="103"/>
      <c r="EE2231" s="103"/>
      <c r="EF2231" s="103"/>
      <c r="EG2231" s="103"/>
      <c r="EH2231" s="103"/>
      <c r="EI2231" s="103"/>
      <c r="EJ2231" s="103"/>
      <c r="EK2231" s="103"/>
      <c r="EL2231" s="103"/>
      <c r="EM2231" s="103"/>
      <c r="EN2231" s="103"/>
      <c r="EO2231" s="103"/>
      <c r="EP2231" s="103"/>
      <c r="EQ2231" s="103"/>
      <c r="ER2231" s="103"/>
      <c r="ES2231" s="103"/>
      <c r="ET2231" s="103"/>
      <c r="EU2231" s="103"/>
      <c r="EV2231" s="103"/>
      <c r="EW2231" s="103"/>
      <c r="EX2231" s="103"/>
      <c r="EY2231" s="103"/>
      <c r="EZ2231" s="103"/>
      <c r="FA2231" s="103"/>
      <c r="FB2231" s="103"/>
      <c r="FC2231" s="103"/>
      <c r="FD2231" s="103"/>
      <c r="FE2231" s="103"/>
      <c r="FF2231" s="103"/>
      <c r="FG2231" s="103"/>
      <c r="FH2231" s="103"/>
      <c r="FI2231" s="103"/>
      <c r="FJ2231" s="103"/>
      <c r="FK2231" s="103"/>
      <c r="FL2231" s="103"/>
      <c r="FM2231" s="103"/>
      <c r="FN2231" s="103"/>
      <c r="FO2231" s="103"/>
      <c r="FP2231" s="103"/>
      <c r="FQ2231" s="103"/>
      <c r="FR2231" s="103"/>
      <c r="FS2231" s="103"/>
      <c r="FT2231" s="103"/>
      <c r="FU2231" s="103"/>
      <c r="FV2231" s="103"/>
      <c r="FW2231" s="103"/>
      <c r="FX2231" s="103"/>
      <c r="FY2231" s="103"/>
      <c r="FZ2231" s="103"/>
      <c r="GA2231" s="103"/>
      <c r="GB2231" s="103"/>
      <c r="GC2231" s="103"/>
      <c r="GD2231" s="103"/>
      <c r="GE2231" s="103"/>
      <c r="GF2231" s="103"/>
      <c r="GG2231" s="103"/>
      <c r="GH2231" s="103"/>
      <c r="GI2231" s="103"/>
      <c r="GJ2231" s="103"/>
      <c r="GK2231" s="103"/>
      <c r="GL2231" s="103"/>
      <c r="GM2231" s="103"/>
      <c r="GN2231" s="103"/>
      <c r="GO2231" s="103"/>
      <c r="GP2231" s="103"/>
      <c r="GQ2231" s="103"/>
      <c r="GR2231" s="103"/>
      <c r="GS2231" s="103"/>
      <c r="GT2231" s="103"/>
      <c r="GU2231" s="103"/>
      <c r="GV2231" s="103"/>
      <c r="GW2231" s="103"/>
      <c r="GX2231" s="103"/>
      <c r="GY2231" s="103"/>
      <c r="GZ2231" s="103"/>
      <c r="HA2231" s="103"/>
      <c r="HB2231" s="103"/>
      <c r="HC2231" s="103"/>
      <c r="HD2231" s="103"/>
      <c r="HE2231" s="103"/>
      <c r="HF2231" s="103"/>
      <c r="HG2231" s="103"/>
      <c r="HH2231" s="103"/>
      <c r="HI2231" s="103"/>
      <c r="HJ2231" s="103"/>
      <c r="HK2231" s="103"/>
      <c r="HL2231" s="103"/>
      <c r="HM2231" s="103"/>
      <c r="HN2231" s="103"/>
      <c r="HO2231" s="103"/>
      <c r="HP2231" s="103"/>
      <c r="HQ2231" s="103"/>
      <c r="HR2231" s="103"/>
      <c r="HS2231" s="103"/>
      <c r="HT2231" s="103"/>
      <c r="HU2231" s="103"/>
      <c r="HV2231" s="103"/>
      <c r="HW2231" s="103"/>
      <c r="HX2231" s="103"/>
      <c r="HY2231" s="103"/>
      <c r="HZ2231" s="103"/>
      <c r="IA2231" s="103"/>
      <c r="IB2231" s="103"/>
      <c r="IC2231" s="103"/>
      <c r="ID2231" s="103"/>
      <c r="IE2231" s="103"/>
      <c r="IF2231" s="103"/>
      <c r="IG2231" s="103"/>
      <c r="IH2231" s="103"/>
      <c r="II2231" s="103"/>
      <c r="IJ2231" s="103"/>
      <c r="IK2231" s="103"/>
      <c r="IL2231" s="103"/>
      <c r="IM2231" s="103"/>
      <c r="IN2231" s="103"/>
      <c r="IO2231" s="103"/>
      <c r="IP2231" s="103"/>
      <c r="IQ2231" s="103"/>
      <c r="IR2231" s="103"/>
      <c r="IS2231" s="103"/>
      <c r="IT2231" s="103"/>
      <c r="IU2231" s="103"/>
      <c r="IV2231" s="103"/>
      <c r="IW2231" s="103"/>
    </row>
    <row r="2232" customFormat="false" ht="17.6" hidden="false" customHeight="false" outlineLevel="0" collapsed="false">
      <c r="A2232" s="91" t="s">
        <v>2456</v>
      </c>
      <c r="B2232" s="90" t="s">
        <v>40</v>
      </c>
      <c r="C2232" s="90" t="n">
        <f aca="false">1504*0.56</f>
        <v>842.24</v>
      </c>
      <c r="D2232" s="103" t="s">
        <v>2455</v>
      </c>
      <c r="E2232" s="103"/>
      <c r="F2232" s="103"/>
      <c r="G2232" s="103"/>
      <c r="H2232" s="103"/>
      <c r="I2232" s="103"/>
      <c r="J2232" s="103"/>
      <c r="K2232" s="103"/>
      <c r="L2232" s="103"/>
      <c r="M2232" s="103"/>
      <c r="N2232" s="103"/>
      <c r="O2232" s="104"/>
      <c r="P2232" s="103"/>
      <c r="Q2232" s="103"/>
      <c r="R2232" s="103"/>
      <c r="S2232" s="103"/>
      <c r="T2232" s="103"/>
      <c r="U2232" s="103"/>
      <c r="V2232" s="103"/>
      <c r="W2232" s="103"/>
      <c r="X2232" s="103"/>
      <c r="Y2232" s="103"/>
      <c r="Z2232" s="103"/>
      <c r="AA2232" s="103"/>
      <c r="AB2232" s="103"/>
      <c r="AC2232" s="103"/>
      <c r="AD2232" s="103"/>
      <c r="AE2232" s="103"/>
      <c r="AF2232" s="103"/>
      <c r="AG2232" s="103"/>
      <c r="AH2232" s="103"/>
      <c r="AI2232" s="103"/>
      <c r="AJ2232" s="103"/>
      <c r="AK2232" s="103"/>
      <c r="AL2232" s="103"/>
      <c r="AM2232" s="103"/>
      <c r="AN2232" s="103"/>
      <c r="AO2232" s="103"/>
      <c r="AP2232" s="103"/>
      <c r="AQ2232" s="103"/>
      <c r="AR2232" s="103"/>
      <c r="AS2232" s="103"/>
      <c r="AT2232" s="103"/>
      <c r="AU2232" s="103"/>
      <c r="AV2232" s="103"/>
      <c r="AW2232" s="103"/>
      <c r="AX2232" s="103"/>
      <c r="AY2232" s="103"/>
      <c r="AZ2232" s="103"/>
      <c r="BA2232" s="103"/>
      <c r="BB2232" s="103"/>
      <c r="BC2232" s="103"/>
      <c r="BD2232" s="103"/>
      <c r="BE2232" s="103"/>
      <c r="BF2232" s="103"/>
      <c r="BG2232" s="103"/>
      <c r="BH2232" s="103"/>
      <c r="BI2232" s="103"/>
      <c r="BJ2232" s="103"/>
      <c r="BK2232" s="103"/>
      <c r="BL2232" s="103"/>
      <c r="BM2232" s="103"/>
      <c r="BN2232" s="103"/>
      <c r="BO2232" s="103"/>
      <c r="BP2232" s="103"/>
      <c r="BQ2232" s="103"/>
      <c r="BR2232" s="103"/>
      <c r="BS2232" s="103"/>
      <c r="BT2232" s="103"/>
      <c r="BU2232" s="103"/>
      <c r="BV2232" s="103"/>
      <c r="BW2232" s="103"/>
      <c r="BX2232" s="103"/>
      <c r="BY2232" s="103"/>
      <c r="BZ2232" s="103"/>
      <c r="CA2232" s="103"/>
      <c r="CB2232" s="103"/>
      <c r="CC2232" s="103"/>
      <c r="CD2232" s="103"/>
      <c r="CE2232" s="103"/>
      <c r="CF2232" s="103"/>
      <c r="CG2232" s="103"/>
      <c r="CH2232" s="103"/>
      <c r="CI2232" s="103"/>
      <c r="CJ2232" s="103"/>
      <c r="CK2232" s="103"/>
      <c r="CL2232" s="103"/>
      <c r="CM2232" s="103"/>
      <c r="CN2232" s="103"/>
      <c r="CO2232" s="103"/>
      <c r="CP2232" s="103"/>
      <c r="CQ2232" s="103"/>
      <c r="CR2232" s="103"/>
      <c r="CS2232" s="103"/>
      <c r="CT2232" s="103"/>
      <c r="CU2232" s="103"/>
      <c r="CV2232" s="103"/>
      <c r="CW2232" s="103"/>
      <c r="CX2232" s="103"/>
      <c r="CY2232" s="103"/>
      <c r="CZ2232" s="103"/>
      <c r="DA2232" s="103"/>
      <c r="DB2232" s="103"/>
      <c r="DC2232" s="103"/>
      <c r="DD2232" s="103"/>
      <c r="DE2232" s="103"/>
      <c r="DF2232" s="103"/>
      <c r="DG2232" s="103"/>
      <c r="DH2232" s="103"/>
      <c r="DI2232" s="103"/>
      <c r="DJ2232" s="103"/>
      <c r="DK2232" s="103"/>
      <c r="DL2232" s="103"/>
      <c r="DM2232" s="103"/>
      <c r="DN2232" s="103"/>
      <c r="DO2232" s="103"/>
      <c r="DP2232" s="103"/>
      <c r="DQ2232" s="103"/>
      <c r="DR2232" s="103"/>
      <c r="DS2232" s="103"/>
      <c r="DT2232" s="103"/>
      <c r="DU2232" s="103"/>
      <c r="DV2232" s="103"/>
      <c r="DW2232" s="103"/>
      <c r="DX2232" s="103"/>
      <c r="DY2232" s="103"/>
      <c r="DZ2232" s="103"/>
      <c r="EA2232" s="103"/>
      <c r="EB2232" s="103"/>
      <c r="EC2232" s="103"/>
      <c r="ED2232" s="103"/>
      <c r="EE2232" s="103"/>
      <c r="EF2232" s="103"/>
      <c r="EG2232" s="103"/>
      <c r="EH2232" s="103"/>
      <c r="EI2232" s="103"/>
      <c r="EJ2232" s="103"/>
      <c r="EK2232" s="103"/>
      <c r="EL2232" s="103"/>
      <c r="EM2232" s="103"/>
      <c r="EN2232" s="103"/>
      <c r="EO2232" s="103"/>
      <c r="EP2232" s="103"/>
      <c r="EQ2232" s="103"/>
      <c r="ER2232" s="103"/>
      <c r="ES2232" s="103"/>
      <c r="ET2232" s="103"/>
      <c r="EU2232" s="103"/>
      <c r="EV2232" s="103"/>
      <c r="EW2232" s="103"/>
      <c r="EX2232" s="103"/>
      <c r="EY2232" s="103"/>
      <c r="EZ2232" s="103"/>
      <c r="FA2232" s="103"/>
      <c r="FB2232" s="103"/>
      <c r="FC2232" s="103"/>
      <c r="FD2232" s="103"/>
      <c r="FE2232" s="103"/>
      <c r="FF2232" s="103"/>
      <c r="FG2232" s="103"/>
      <c r="FH2232" s="103"/>
      <c r="FI2232" s="103"/>
      <c r="FJ2232" s="103"/>
      <c r="FK2232" s="103"/>
      <c r="FL2232" s="103"/>
      <c r="FM2232" s="103"/>
      <c r="FN2232" s="103"/>
      <c r="FO2232" s="103"/>
      <c r="FP2232" s="103"/>
      <c r="FQ2232" s="103"/>
      <c r="FR2232" s="103"/>
      <c r="FS2232" s="103"/>
      <c r="FT2232" s="103"/>
      <c r="FU2232" s="103"/>
      <c r="FV2232" s="103"/>
      <c r="FW2232" s="103"/>
      <c r="FX2232" s="103"/>
      <c r="FY2232" s="103"/>
      <c r="FZ2232" s="103"/>
      <c r="GA2232" s="103"/>
      <c r="GB2232" s="103"/>
      <c r="GC2232" s="103"/>
      <c r="GD2232" s="103"/>
      <c r="GE2232" s="103"/>
      <c r="GF2232" s="103"/>
      <c r="GG2232" s="103"/>
      <c r="GH2232" s="103"/>
      <c r="GI2232" s="103"/>
      <c r="GJ2232" s="103"/>
      <c r="GK2232" s="103"/>
      <c r="GL2232" s="103"/>
      <c r="GM2232" s="103"/>
      <c r="GN2232" s="103"/>
      <c r="GO2232" s="103"/>
      <c r="GP2232" s="103"/>
      <c r="GQ2232" s="103"/>
      <c r="GR2232" s="103"/>
      <c r="GS2232" s="103"/>
      <c r="GT2232" s="103"/>
      <c r="GU2232" s="103"/>
      <c r="GV2232" s="103"/>
      <c r="GW2232" s="103"/>
      <c r="GX2232" s="103"/>
      <c r="GY2232" s="103"/>
      <c r="GZ2232" s="103"/>
      <c r="HA2232" s="103"/>
      <c r="HB2232" s="103"/>
      <c r="HC2232" s="103"/>
      <c r="HD2232" s="103"/>
      <c r="HE2232" s="103"/>
      <c r="HF2232" s="103"/>
      <c r="HG2232" s="103"/>
      <c r="HH2232" s="103"/>
      <c r="HI2232" s="103"/>
      <c r="HJ2232" s="103"/>
      <c r="HK2232" s="103"/>
      <c r="HL2232" s="103"/>
      <c r="HM2232" s="103"/>
      <c r="HN2232" s="103"/>
      <c r="HO2232" s="103"/>
      <c r="HP2232" s="103"/>
      <c r="HQ2232" s="103"/>
      <c r="HR2232" s="103"/>
      <c r="HS2232" s="103"/>
      <c r="HT2232" s="103"/>
      <c r="HU2232" s="103"/>
      <c r="HV2232" s="103"/>
      <c r="HW2232" s="103"/>
      <c r="HX2232" s="103"/>
      <c r="HY2232" s="103"/>
      <c r="HZ2232" s="103"/>
      <c r="IA2232" s="103"/>
      <c r="IB2232" s="103"/>
      <c r="IC2232" s="103"/>
      <c r="ID2232" s="103"/>
      <c r="IE2232" s="103"/>
      <c r="IF2232" s="103"/>
      <c r="IG2232" s="103"/>
      <c r="IH2232" s="103"/>
      <c r="II2232" s="103"/>
      <c r="IJ2232" s="103"/>
      <c r="IK2232" s="103"/>
      <c r="IL2232" s="103"/>
      <c r="IM2232" s="103"/>
      <c r="IN2232" s="103"/>
      <c r="IO2232" s="103"/>
      <c r="IP2232" s="103"/>
      <c r="IQ2232" s="103"/>
      <c r="IR2232" s="103"/>
      <c r="IS2232" s="103"/>
      <c r="IT2232" s="103"/>
      <c r="IU2232" s="103"/>
      <c r="IV2232" s="103"/>
      <c r="IW2232" s="103"/>
    </row>
    <row r="2233" customFormat="false" ht="17.6" hidden="false" customHeight="false" outlineLevel="0" collapsed="false">
      <c r="A2233" s="91" t="s">
        <v>2457</v>
      </c>
      <c r="B2233" s="90" t="s">
        <v>40</v>
      </c>
      <c r="C2233" s="90" t="n">
        <f aca="false">2202*0.56</f>
        <v>1233.12</v>
      </c>
      <c r="D2233" s="103" t="s">
        <v>2455</v>
      </c>
      <c r="E2233" s="103"/>
      <c r="F2233" s="103"/>
      <c r="G2233" s="103"/>
      <c r="H2233" s="103"/>
      <c r="I2233" s="103"/>
      <c r="J2233" s="103"/>
      <c r="K2233" s="103"/>
      <c r="L2233" s="103"/>
      <c r="M2233" s="103"/>
      <c r="N2233" s="103"/>
      <c r="O2233" s="104"/>
      <c r="P2233" s="103"/>
      <c r="Q2233" s="103"/>
      <c r="R2233" s="103"/>
      <c r="S2233" s="103"/>
      <c r="T2233" s="103"/>
      <c r="U2233" s="103"/>
      <c r="V2233" s="103"/>
      <c r="W2233" s="103"/>
      <c r="X2233" s="103"/>
      <c r="Y2233" s="103"/>
      <c r="Z2233" s="103"/>
      <c r="AA2233" s="103"/>
      <c r="AB2233" s="103"/>
      <c r="AC2233" s="103"/>
      <c r="AD2233" s="103"/>
      <c r="AE2233" s="103"/>
      <c r="AF2233" s="103"/>
      <c r="AG2233" s="103"/>
      <c r="AH2233" s="103"/>
      <c r="AI2233" s="103"/>
      <c r="AJ2233" s="103"/>
      <c r="AK2233" s="103"/>
      <c r="AL2233" s="103"/>
      <c r="AM2233" s="103"/>
      <c r="AN2233" s="103"/>
      <c r="AO2233" s="103"/>
      <c r="AP2233" s="103"/>
      <c r="AQ2233" s="103"/>
      <c r="AR2233" s="103"/>
      <c r="AS2233" s="103"/>
      <c r="AT2233" s="103"/>
      <c r="AU2233" s="103"/>
      <c r="AV2233" s="103"/>
      <c r="AW2233" s="103"/>
      <c r="AX2233" s="103"/>
      <c r="AY2233" s="103"/>
      <c r="AZ2233" s="103"/>
      <c r="BA2233" s="103"/>
      <c r="BB2233" s="103"/>
      <c r="BC2233" s="103"/>
      <c r="BD2233" s="103"/>
      <c r="BE2233" s="103"/>
      <c r="BF2233" s="103"/>
      <c r="BG2233" s="103"/>
      <c r="BH2233" s="103"/>
      <c r="BI2233" s="103"/>
      <c r="BJ2233" s="103"/>
      <c r="BK2233" s="103"/>
      <c r="BL2233" s="103"/>
      <c r="BM2233" s="103"/>
      <c r="BN2233" s="103"/>
      <c r="BO2233" s="103"/>
      <c r="BP2233" s="103"/>
      <c r="BQ2233" s="103"/>
      <c r="BR2233" s="103"/>
      <c r="BS2233" s="103"/>
      <c r="BT2233" s="103"/>
      <c r="BU2233" s="103"/>
      <c r="BV2233" s="103"/>
      <c r="BW2233" s="103"/>
      <c r="BX2233" s="103"/>
      <c r="BY2233" s="103"/>
      <c r="BZ2233" s="103"/>
      <c r="CA2233" s="103"/>
      <c r="CB2233" s="103"/>
      <c r="CC2233" s="103"/>
      <c r="CD2233" s="103"/>
      <c r="CE2233" s="103"/>
      <c r="CF2233" s="103"/>
      <c r="CG2233" s="103"/>
      <c r="CH2233" s="103"/>
      <c r="CI2233" s="103"/>
      <c r="CJ2233" s="103"/>
      <c r="CK2233" s="103"/>
      <c r="CL2233" s="103"/>
      <c r="CM2233" s="103"/>
      <c r="CN2233" s="103"/>
      <c r="CO2233" s="103"/>
      <c r="CP2233" s="103"/>
      <c r="CQ2233" s="103"/>
      <c r="CR2233" s="103"/>
      <c r="CS2233" s="103"/>
      <c r="CT2233" s="103"/>
      <c r="CU2233" s="103"/>
      <c r="CV2233" s="103"/>
      <c r="CW2233" s="103"/>
      <c r="CX2233" s="103"/>
      <c r="CY2233" s="103"/>
      <c r="CZ2233" s="103"/>
      <c r="DA2233" s="103"/>
      <c r="DB2233" s="103"/>
      <c r="DC2233" s="103"/>
      <c r="DD2233" s="103"/>
      <c r="DE2233" s="103"/>
      <c r="DF2233" s="103"/>
      <c r="DG2233" s="103"/>
      <c r="DH2233" s="103"/>
      <c r="DI2233" s="103"/>
      <c r="DJ2233" s="103"/>
      <c r="DK2233" s="103"/>
      <c r="DL2233" s="103"/>
      <c r="DM2233" s="103"/>
      <c r="DN2233" s="103"/>
      <c r="DO2233" s="103"/>
      <c r="DP2233" s="103"/>
      <c r="DQ2233" s="103"/>
      <c r="DR2233" s="103"/>
      <c r="DS2233" s="103"/>
      <c r="DT2233" s="103"/>
      <c r="DU2233" s="103"/>
      <c r="DV2233" s="103"/>
      <c r="DW2233" s="103"/>
      <c r="DX2233" s="103"/>
      <c r="DY2233" s="103"/>
      <c r="DZ2233" s="103"/>
      <c r="EA2233" s="103"/>
      <c r="EB2233" s="103"/>
      <c r="EC2233" s="103"/>
      <c r="ED2233" s="103"/>
      <c r="EE2233" s="103"/>
      <c r="EF2233" s="103"/>
      <c r="EG2233" s="103"/>
      <c r="EH2233" s="103"/>
      <c r="EI2233" s="103"/>
      <c r="EJ2233" s="103"/>
      <c r="EK2233" s="103"/>
      <c r="EL2233" s="103"/>
      <c r="EM2233" s="103"/>
      <c r="EN2233" s="103"/>
      <c r="EO2233" s="103"/>
      <c r="EP2233" s="103"/>
      <c r="EQ2233" s="103"/>
      <c r="ER2233" s="103"/>
      <c r="ES2233" s="103"/>
      <c r="ET2233" s="103"/>
      <c r="EU2233" s="103"/>
      <c r="EV2233" s="103"/>
      <c r="EW2233" s="103"/>
      <c r="EX2233" s="103"/>
      <c r="EY2233" s="103"/>
      <c r="EZ2233" s="103"/>
      <c r="FA2233" s="103"/>
      <c r="FB2233" s="103"/>
      <c r="FC2233" s="103"/>
      <c r="FD2233" s="103"/>
      <c r="FE2233" s="103"/>
      <c r="FF2233" s="103"/>
      <c r="FG2233" s="103"/>
      <c r="FH2233" s="103"/>
      <c r="FI2233" s="103"/>
      <c r="FJ2233" s="103"/>
      <c r="FK2233" s="103"/>
      <c r="FL2233" s="103"/>
      <c r="FM2233" s="103"/>
      <c r="FN2233" s="103"/>
      <c r="FO2233" s="103"/>
      <c r="FP2233" s="103"/>
      <c r="FQ2233" s="103"/>
      <c r="FR2233" s="103"/>
      <c r="FS2233" s="103"/>
      <c r="FT2233" s="103"/>
      <c r="FU2233" s="103"/>
      <c r="FV2233" s="103"/>
      <c r="FW2233" s="103"/>
      <c r="FX2233" s="103"/>
      <c r="FY2233" s="103"/>
      <c r="FZ2233" s="103"/>
      <c r="GA2233" s="103"/>
      <c r="GB2233" s="103"/>
      <c r="GC2233" s="103"/>
      <c r="GD2233" s="103"/>
      <c r="GE2233" s="103"/>
      <c r="GF2233" s="103"/>
      <c r="GG2233" s="103"/>
      <c r="GH2233" s="103"/>
      <c r="GI2233" s="103"/>
      <c r="GJ2233" s="103"/>
      <c r="GK2233" s="103"/>
      <c r="GL2233" s="103"/>
      <c r="GM2233" s="103"/>
      <c r="GN2233" s="103"/>
      <c r="GO2233" s="103"/>
      <c r="GP2233" s="103"/>
      <c r="GQ2233" s="103"/>
      <c r="GR2233" s="103"/>
      <c r="GS2233" s="103"/>
      <c r="GT2233" s="103"/>
      <c r="GU2233" s="103"/>
      <c r="GV2233" s="103"/>
      <c r="GW2233" s="103"/>
      <c r="GX2233" s="103"/>
      <c r="GY2233" s="103"/>
      <c r="GZ2233" s="103"/>
      <c r="HA2233" s="103"/>
      <c r="HB2233" s="103"/>
      <c r="HC2233" s="103"/>
      <c r="HD2233" s="103"/>
      <c r="HE2233" s="103"/>
      <c r="HF2233" s="103"/>
      <c r="HG2233" s="103"/>
      <c r="HH2233" s="103"/>
      <c r="HI2233" s="103"/>
      <c r="HJ2233" s="103"/>
      <c r="HK2233" s="103"/>
      <c r="HL2233" s="103"/>
      <c r="HM2233" s="103"/>
      <c r="HN2233" s="103"/>
      <c r="HO2233" s="103"/>
      <c r="HP2233" s="103"/>
      <c r="HQ2233" s="103"/>
      <c r="HR2233" s="103"/>
      <c r="HS2233" s="103"/>
      <c r="HT2233" s="103"/>
      <c r="HU2233" s="103"/>
      <c r="HV2233" s="103"/>
      <c r="HW2233" s="103"/>
      <c r="HX2233" s="103"/>
      <c r="HY2233" s="103"/>
      <c r="HZ2233" s="103"/>
      <c r="IA2233" s="103"/>
      <c r="IB2233" s="103"/>
      <c r="IC2233" s="103"/>
      <c r="ID2233" s="103"/>
      <c r="IE2233" s="103"/>
      <c r="IF2233" s="103"/>
      <c r="IG2233" s="103"/>
      <c r="IH2233" s="103"/>
      <c r="II2233" s="103"/>
      <c r="IJ2233" s="103"/>
      <c r="IK2233" s="103"/>
      <c r="IL2233" s="103"/>
      <c r="IM2233" s="103"/>
      <c r="IN2233" s="103"/>
      <c r="IO2233" s="103"/>
      <c r="IP2233" s="103"/>
      <c r="IQ2233" s="103"/>
      <c r="IR2233" s="103"/>
      <c r="IS2233" s="103"/>
      <c r="IT2233" s="103"/>
      <c r="IU2233" s="103"/>
      <c r="IV2233" s="103"/>
      <c r="IW2233" s="103"/>
    </row>
    <row r="2234" customFormat="false" ht="17.6" hidden="false" customHeight="false" outlineLevel="0" collapsed="false">
      <c r="A2234" s="91" t="s">
        <v>2458</v>
      </c>
      <c r="B2234" s="90" t="s">
        <v>40</v>
      </c>
      <c r="C2234" s="90" t="n">
        <f aca="false">2212*0.56</f>
        <v>1238.72</v>
      </c>
      <c r="D2234" s="103" t="s">
        <v>2455</v>
      </c>
      <c r="E2234" s="103"/>
      <c r="F2234" s="103"/>
      <c r="G2234" s="103"/>
      <c r="H2234" s="103"/>
      <c r="I2234" s="103"/>
      <c r="J2234" s="103"/>
      <c r="K2234" s="103"/>
      <c r="L2234" s="103"/>
      <c r="M2234" s="103"/>
      <c r="N2234" s="103"/>
      <c r="O2234" s="104"/>
      <c r="P2234" s="103"/>
      <c r="Q2234" s="103"/>
      <c r="R2234" s="103"/>
      <c r="S2234" s="103"/>
      <c r="T2234" s="103"/>
      <c r="U2234" s="103"/>
      <c r="V2234" s="103"/>
      <c r="W2234" s="103"/>
      <c r="X2234" s="103"/>
      <c r="Y2234" s="103"/>
      <c r="Z2234" s="103"/>
      <c r="AA2234" s="103"/>
      <c r="AB2234" s="103"/>
      <c r="AC2234" s="103"/>
      <c r="AD2234" s="103"/>
      <c r="AE2234" s="103"/>
      <c r="AF2234" s="103"/>
      <c r="AG2234" s="103"/>
      <c r="AH2234" s="103"/>
      <c r="AI2234" s="103"/>
      <c r="AJ2234" s="103"/>
      <c r="AK2234" s="103"/>
      <c r="AL2234" s="103"/>
      <c r="AM2234" s="103"/>
      <c r="AN2234" s="103"/>
      <c r="AO2234" s="103"/>
      <c r="AP2234" s="103"/>
      <c r="AQ2234" s="103"/>
      <c r="AR2234" s="103"/>
      <c r="AS2234" s="103"/>
      <c r="AT2234" s="103"/>
      <c r="AU2234" s="103"/>
      <c r="AV2234" s="103"/>
      <c r="AW2234" s="103"/>
      <c r="AX2234" s="103"/>
      <c r="AY2234" s="103"/>
      <c r="AZ2234" s="103"/>
      <c r="BA2234" s="103"/>
      <c r="BB2234" s="103"/>
      <c r="BC2234" s="103"/>
      <c r="BD2234" s="103"/>
      <c r="BE2234" s="103"/>
      <c r="BF2234" s="103"/>
      <c r="BG2234" s="103"/>
      <c r="BH2234" s="103"/>
      <c r="BI2234" s="103"/>
      <c r="BJ2234" s="103"/>
      <c r="BK2234" s="103"/>
      <c r="BL2234" s="103"/>
      <c r="BM2234" s="103"/>
      <c r="BN2234" s="103"/>
      <c r="BO2234" s="103"/>
      <c r="BP2234" s="103"/>
      <c r="BQ2234" s="103"/>
      <c r="BR2234" s="103"/>
      <c r="BS2234" s="103"/>
      <c r="BT2234" s="103"/>
      <c r="BU2234" s="103"/>
      <c r="BV2234" s="103"/>
      <c r="BW2234" s="103"/>
      <c r="BX2234" s="103"/>
      <c r="BY2234" s="103"/>
      <c r="BZ2234" s="103"/>
      <c r="CA2234" s="103"/>
      <c r="CB2234" s="103"/>
      <c r="CC2234" s="103"/>
      <c r="CD2234" s="103"/>
      <c r="CE2234" s="103"/>
      <c r="CF2234" s="103"/>
      <c r="CG2234" s="103"/>
      <c r="CH2234" s="103"/>
      <c r="CI2234" s="103"/>
      <c r="CJ2234" s="103"/>
      <c r="CK2234" s="103"/>
      <c r="CL2234" s="103"/>
      <c r="CM2234" s="103"/>
      <c r="CN2234" s="103"/>
      <c r="CO2234" s="103"/>
      <c r="CP2234" s="103"/>
      <c r="CQ2234" s="103"/>
      <c r="CR2234" s="103"/>
      <c r="CS2234" s="103"/>
      <c r="CT2234" s="103"/>
      <c r="CU2234" s="103"/>
      <c r="CV2234" s="103"/>
      <c r="CW2234" s="103"/>
      <c r="CX2234" s="103"/>
      <c r="CY2234" s="103"/>
      <c r="CZ2234" s="103"/>
      <c r="DA2234" s="103"/>
      <c r="DB2234" s="103"/>
      <c r="DC2234" s="103"/>
      <c r="DD2234" s="103"/>
      <c r="DE2234" s="103"/>
      <c r="DF2234" s="103"/>
      <c r="DG2234" s="103"/>
      <c r="DH2234" s="103"/>
      <c r="DI2234" s="103"/>
      <c r="DJ2234" s="103"/>
      <c r="DK2234" s="103"/>
      <c r="DL2234" s="103"/>
      <c r="DM2234" s="103"/>
      <c r="DN2234" s="103"/>
      <c r="DO2234" s="103"/>
      <c r="DP2234" s="103"/>
      <c r="DQ2234" s="103"/>
      <c r="DR2234" s="103"/>
      <c r="DS2234" s="103"/>
      <c r="DT2234" s="103"/>
      <c r="DU2234" s="103"/>
      <c r="DV2234" s="103"/>
      <c r="DW2234" s="103"/>
      <c r="DX2234" s="103"/>
      <c r="DY2234" s="103"/>
      <c r="DZ2234" s="103"/>
      <c r="EA2234" s="103"/>
      <c r="EB2234" s="103"/>
      <c r="EC2234" s="103"/>
      <c r="ED2234" s="103"/>
      <c r="EE2234" s="103"/>
      <c r="EF2234" s="103"/>
      <c r="EG2234" s="103"/>
      <c r="EH2234" s="103"/>
      <c r="EI2234" s="103"/>
      <c r="EJ2234" s="103"/>
      <c r="EK2234" s="103"/>
      <c r="EL2234" s="103"/>
      <c r="EM2234" s="103"/>
      <c r="EN2234" s="103"/>
      <c r="EO2234" s="103"/>
      <c r="EP2234" s="103"/>
      <c r="EQ2234" s="103"/>
      <c r="ER2234" s="103"/>
      <c r="ES2234" s="103"/>
      <c r="ET2234" s="103"/>
      <c r="EU2234" s="103"/>
      <c r="EV2234" s="103"/>
      <c r="EW2234" s="103"/>
      <c r="EX2234" s="103"/>
      <c r="EY2234" s="103"/>
      <c r="EZ2234" s="103"/>
      <c r="FA2234" s="103"/>
      <c r="FB2234" s="103"/>
      <c r="FC2234" s="103"/>
      <c r="FD2234" s="103"/>
      <c r="FE2234" s="103"/>
      <c r="FF2234" s="103"/>
      <c r="FG2234" s="103"/>
      <c r="FH2234" s="103"/>
      <c r="FI2234" s="103"/>
      <c r="FJ2234" s="103"/>
      <c r="FK2234" s="103"/>
      <c r="FL2234" s="103"/>
      <c r="FM2234" s="103"/>
      <c r="FN2234" s="103"/>
      <c r="FO2234" s="103"/>
      <c r="FP2234" s="103"/>
      <c r="FQ2234" s="103"/>
      <c r="FR2234" s="103"/>
      <c r="FS2234" s="103"/>
      <c r="FT2234" s="103"/>
      <c r="FU2234" s="103"/>
      <c r="FV2234" s="103"/>
      <c r="FW2234" s="103"/>
      <c r="FX2234" s="103"/>
      <c r="FY2234" s="103"/>
      <c r="FZ2234" s="103"/>
      <c r="GA2234" s="103"/>
      <c r="GB2234" s="103"/>
      <c r="GC2234" s="103"/>
      <c r="GD2234" s="103"/>
      <c r="GE2234" s="103"/>
      <c r="GF2234" s="103"/>
      <c r="GG2234" s="103"/>
      <c r="GH2234" s="103"/>
      <c r="GI2234" s="103"/>
      <c r="GJ2234" s="103"/>
      <c r="GK2234" s="103"/>
      <c r="GL2234" s="103"/>
      <c r="GM2234" s="103"/>
      <c r="GN2234" s="103"/>
      <c r="GO2234" s="103"/>
      <c r="GP2234" s="103"/>
      <c r="GQ2234" s="103"/>
      <c r="GR2234" s="103"/>
      <c r="GS2234" s="103"/>
      <c r="GT2234" s="103"/>
      <c r="GU2234" s="103"/>
      <c r="GV2234" s="103"/>
      <c r="GW2234" s="103"/>
      <c r="GX2234" s="103"/>
      <c r="GY2234" s="103"/>
      <c r="GZ2234" s="103"/>
      <c r="HA2234" s="103"/>
      <c r="HB2234" s="103"/>
      <c r="HC2234" s="103"/>
      <c r="HD2234" s="103"/>
      <c r="HE2234" s="103"/>
      <c r="HF2234" s="103"/>
      <c r="HG2234" s="103"/>
      <c r="HH2234" s="103"/>
      <c r="HI2234" s="103"/>
      <c r="HJ2234" s="103"/>
      <c r="HK2234" s="103"/>
      <c r="HL2234" s="103"/>
      <c r="HM2234" s="103"/>
      <c r="HN2234" s="103"/>
      <c r="HO2234" s="103"/>
      <c r="HP2234" s="103"/>
      <c r="HQ2234" s="103"/>
      <c r="HR2234" s="103"/>
      <c r="HS2234" s="103"/>
      <c r="HT2234" s="103"/>
      <c r="HU2234" s="103"/>
      <c r="HV2234" s="103"/>
      <c r="HW2234" s="103"/>
      <c r="HX2234" s="103"/>
      <c r="HY2234" s="103"/>
      <c r="HZ2234" s="103"/>
      <c r="IA2234" s="103"/>
      <c r="IB2234" s="103"/>
      <c r="IC2234" s="103"/>
      <c r="ID2234" s="103"/>
      <c r="IE2234" s="103"/>
      <c r="IF2234" s="103"/>
      <c r="IG2234" s="103"/>
      <c r="IH2234" s="103"/>
      <c r="II2234" s="103"/>
      <c r="IJ2234" s="103"/>
      <c r="IK2234" s="103"/>
      <c r="IL2234" s="103"/>
      <c r="IM2234" s="103"/>
      <c r="IN2234" s="103"/>
      <c r="IO2234" s="103"/>
      <c r="IP2234" s="103"/>
      <c r="IQ2234" s="103"/>
      <c r="IR2234" s="103"/>
      <c r="IS2234" s="103"/>
      <c r="IT2234" s="103"/>
      <c r="IU2234" s="103"/>
      <c r="IV2234" s="103"/>
      <c r="IW2234" s="103"/>
    </row>
    <row r="2235" customFormat="false" ht="17.6" hidden="false" customHeight="false" outlineLevel="0" collapsed="false">
      <c r="A2235" s="91" t="s">
        <v>2459</v>
      </c>
      <c r="B2235" s="90" t="s">
        <v>40</v>
      </c>
      <c r="C2235" s="90" t="n">
        <f aca="false">3329*0.56</f>
        <v>1864.24</v>
      </c>
      <c r="D2235" s="103" t="s">
        <v>2455</v>
      </c>
      <c r="E2235" s="103"/>
      <c r="F2235" s="103"/>
      <c r="G2235" s="103"/>
      <c r="H2235" s="103"/>
      <c r="I2235" s="103"/>
      <c r="J2235" s="103"/>
      <c r="K2235" s="103"/>
      <c r="L2235" s="103"/>
      <c r="M2235" s="103"/>
      <c r="N2235" s="103"/>
      <c r="O2235" s="104"/>
      <c r="P2235" s="103"/>
      <c r="Q2235" s="103"/>
      <c r="R2235" s="103"/>
      <c r="S2235" s="103"/>
      <c r="T2235" s="103"/>
      <c r="U2235" s="103"/>
      <c r="V2235" s="103"/>
      <c r="W2235" s="103"/>
      <c r="X2235" s="103"/>
      <c r="Y2235" s="103"/>
      <c r="Z2235" s="103"/>
      <c r="AA2235" s="103"/>
      <c r="AB2235" s="103"/>
      <c r="AC2235" s="103"/>
      <c r="AD2235" s="103"/>
      <c r="AE2235" s="103"/>
      <c r="AF2235" s="103"/>
      <c r="AG2235" s="103"/>
      <c r="AH2235" s="103"/>
      <c r="AI2235" s="103"/>
      <c r="AJ2235" s="103"/>
      <c r="AK2235" s="103"/>
      <c r="AL2235" s="103"/>
      <c r="AM2235" s="103"/>
      <c r="AN2235" s="103"/>
      <c r="AO2235" s="103"/>
      <c r="AP2235" s="103"/>
      <c r="AQ2235" s="103"/>
      <c r="AR2235" s="103"/>
      <c r="AS2235" s="103"/>
      <c r="AT2235" s="103"/>
      <c r="AU2235" s="103"/>
      <c r="AV2235" s="103"/>
      <c r="AW2235" s="103"/>
      <c r="AX2235" s="103"/>
      <c r="AY2235" s="103"/>
      <c r="AZ2235" s="103"/>
      <c r="BA2235" s="103"/>
      <c r="BB2235" s="103"/>
      <c r="BC2235" s="103"/>
      <c r="BD2235" s="103"/>
      <c r="BE2235" s="103"/>
      <c r="BF2235" s="103"/>
      <c r="BG2235" s="103"/>
      <c r="BH2235" s="103"/>
      <c r="BI2235" s="103"/>
      <c r="BJ2235" s="103"/>
      <c r="BK2235" s="103"/>
      <c r="BL2235" s="103"/>
      <c r="BM2235" s="103"/>
      <c r="BN2235" s="103"/>
      <c r="BO2235" s="103"/>
      <c r="BP2235" s="103"/>
      <c r="BQ2235" s="103"/>
      <c r="BR2235" s="103"/>
      <c r="BS2235" s="103"/>
      <c r="BT2235" s="103"/>
      <c r="BU2235" s="103"/>
      <c r="BV2235" s="103"/>
      <c r="BW2235" s="103"/>
      <c r="BX2235" s="103"/>
      <c r="BY2235" s="103"/>
      <c r="BZ2235" s="103"/>
      <c r="CA2235" s="103"/>
      <c r="CB2235" s="103"/>
      <c r="CC2235" s="103"/>
      <c r="CD2235" s="103"/>
      <c r="CE2235" s="103"/>
      <c r="CF2235" s="103"/>
      <c r="CG2235" s="103"/>
      <c r="CH2235" s="103"/>
      <c r="CI2235" s="103"/>
      <c r="CJ2235" s="103"/>
      <c r="CK2235" s="103"/>
      <c r="CL2235" s="103"/>
      <c r="CM2235" s="103"/>
      <c r="CN2235" s="103"/>
      <c r="CO2235" s="103"/>
      <c r="CP2235" s="103"/>
      <c r="CQ2235" s="103"/>
      <c r="CR2235" s="103"/>
      <c r="CS2235" s="103"/>
      <c r="CT2235" s="103"/>
      <c r="CU2235" s="103"/>
      <c r="CV2235" s="103"/>
      <c r="CW2235" s="103"/>
      <c r="CX2235" s="103"/>
      <c r="CY2235" s="103"/>
      <c r="CZ2235" s="103"/>
      <c r="DA2235" s="103"/>
      <c r="DB2235" s="103"/>
      <c r="DC2235" s="103"/>
      <c r="DD2235" s="103"/>
      <c r="DE2235" s="103"/>
      <c r="DF2235" s="103"/>
      <c r="DG2235" s="103"/>
      <c r="DH2235" s="103"/>
      <c r="DI2235" s="103"/>
      <c r="DJ2235" s="103"/>
      <c r="DK2235" s="103"/>
      <c r="DL2235" s="103"/>
      <c r="DM2235" s="103"/>
      <c r="DN2235" s="103"/>
      <c r="DO2235" s="103"/>
      <c r="DP2235" s="103"/>
      <c r="DQ2235" s="103"/>
      <c r="DR2235" s="103"/>
      <c r="DS2235" s="103"/>
      <c r="DT2235" s="103"/>
      <c r="DU2235" s="103"/>
      <c r="DV2235" s="103"/>
      <c r="DW2235" s="103"/>
      <c r="DX2235" s="103"/>
      <c r="DY2235" s="103"/>
      <c r="DZ2235" s="103"/>
      <c r="EA2235" s="103"/>
      <c r="EB2235" s="103"/>
      <c r="EC2235" s="103"/>
      <c r="ED2235" s="103"/>
      <c r="EE2235" s="103"/>
      <c r="EF2235" s="103"/>
      <c r="EG2235" s="103"/>
      <c r="EH2235" s="103"/>
      <c r="EI2235" s="103"/>
      <c r="EJ2235" s="103"/>
      <c r="EK2235" s="103"/>
      <c r="EL2235" s="103"/>
      <c r="EM2235" s="103"/>
      <c r="EN2235" s="103"/>
      <c r="EO2235" s="103"/>
      <c r="EP2235" s="103"/>
      <c r="EQ2235" s="103"/>
      <c r="ER2235" s="103"/>
      <c r="ES2235" s="103"/>
      <c r="ET2235" s="103"/>
      <c r="EU2235" s="103"/>
      <c r="EV2235" s="103"/>
      <c r="EW2235" s="103"/>
      <c r="EX2235" s="103"/>
      <c r="EY2235" s="103"/>
      <c r="EZ2235" s="103"/>
      <c r="FA2235" s="103"/>
      <c r="FB2235" s="103"/>
      <c r="FC2235" s="103"/>
      <c r="FD2235" s="103"/>
      <c r="FE2235" s="103"/>
      <c r="FF2235" s="103"/>
      <c r="FG2235" s="103"/>
      <c r="FH2235" s="103"/>
      <c r="FI2235" s="103"/>
      <c r="FJ2235" s="103"/>
      <c r="FK2235" s="103"/>
      <c r="FL2235" s="103"/>
      <c r="FM2235" s="103"/>
      <c r="FN2235" s="103"/>
      <c r="FO2235" s="103"/>
      <c r="FP2235" s="103"/>
      <c r="FQ2235" s="103"/>
      <c r="FR2235" s="103"/>
      <c r="FS2235" s="103"/>
      <c r="FT2235" s="103"/>
      <c r="FU2235" s="103"/>
      <c r="FV2235" s="103"/>
      <c r="FW2235" s="103"/>
      <c r="FX2235" s="103"/>
      <c r="FY2235" s="103"/>
      <c r="FZ2235" s="103"/>
      <c r="GA2235" s="103"/>
      <c r="GB2235" s="103"/>
      <c r="GC2235" s="103"/>
      <c r="GD2235" s="103"/>
      <c r="GE2235" s="103"/>
      <c r="GF2235" s="103"/>
      <c r="GG2235" s="103"/>
      <c r="GH2235" s="103"/>
      <c r="GI2235" s="103"/>
      <c r="GJ2235" s="103"/>
      <c r="GK2235" s="103"/>
      <c r="GL2235" s="103"/>
      <c r="GM2235" s="103"/>
      <c r="GN2235" s="103"/>
      <c r="GO2235" s="103"/>
      <c r="GP2235" s="103"/>
      <c r="GQ2235" s="103"/>
      <c r="GR2235" s="103"/>
      <c r="GS2235" s="103"/>
      <c r="GT2235" s="103"/>
      <c r="GU2235" s="103"/>
      <c r="GV2235" s="103"/>
      <c r="GW2235" s="103"/>
      <c r="GX2235" s="103"/>
      <c r="GY2235" s="103"/>
      <c r="GZ2235" s="103"/>
      <c r="HA2235" s="103"/>
      <c r="HB2235" s="103"/>
      <c r="HC2235" s="103"/>
      <c r="HD2235" s="103"/>
      <c r="HE2235" s="103"/>
      <c r="HF2235" s="103"/>
      <c r="HG2235" s="103"/>
      <c r="HH2235" s="103"/>
      <c r="HI2235" s="103"/>
      <c r="HJ2235" s="103"/>
      <c r="HK2235" s="103"/>
      <c r="HL2235" s="103"/>
      <c r="HM2235" s="103"/>
      <c r="HN2235" s="103"/>
      <c r="HO2235" s="103"/>
      <c r="HP2235" s="103"/>
      <c r="HQ2235" s="103"/>
      <c r="HR2235" s="103"/>
      <c r="HS2235" s="103"/>
      <c r="HT2235" s="103"/>
      <c r="HU2235" s="103"/>
      <c r="HV2235" s="103"/>
      <c r="HW2235" s="103"/>
      <c r="HX2235" s="103"/>
      <c r="HY2235" s="103"/>
      <c r="HZ2235" s="103"/>
      <c r="IA2235" s="103"/>
      <c r="IB2235" s="103"/>
      <c r="IC2235" s="103"/>
      <c r="ID2235" s="103"/>
      <c r="IE2235" s="103"/>
      <c r="IF2235" s="103"/>
      <c r="IG2235" s="103"/>
      <c r="IH2235" s="103"/>
      <c r="II2235" s="103"/>
      <c r="IJ2235" s="103"/>
      <c r="IK2235" s="103"/>
      <c r="IL2235" s="103"/>
      <c r="IM2235" s="103"/>
      <c r="IN2235" s="103"/>
      <c r="IO2235" s="103"/>
      <c r="IP2235" s="103"/>
      <c r="IQ2235" s="103"/>
      <c r="IR2235" s="103"/>
      <c r="IS2235" s="103"/>
      <c r="IT2235" s="103"/>
      <c r="IU2235" s="103"/>
      <c r="IV2235" s="103"/>
      <c r="IW2235" s="103"/>
    </row>
    <row r="2236" customFormat="false" ht="17.6" hidden="false" customHeight="false" outlineLevel="0" collapsed="false">
      <c r="A2236" s="91" t="s">
        <v>2460</v>
      </c>
      <c r="B2236" s="90" t="s">
        <v>40</v>
      </c>
      <c r="C2236" s="90" t="n">
        <f aca="false">886*0.56</f>
        <v>496.16</v>
      </c>
      <c r="D2236" s="103" t="s">
        <v>2455</v>
      </c>
      <c r="E2236" s="103"/>
      <c r="F2236" s="103"/>
      <c r="G2236" s="103"/>
      <c r="H2236" s="103"/>
      <c r="I2236" s="103"/>
      <c r="J2236" s="103"/>
      <c r="K2236" s="103"/>
      <c r="L2236" s="103"/>
      <c r="M2236" s="103"/>
      <c r="N2236" s="103"/>
      <c r="O2236" s="104"/>
      <c r="P2236" s="103"/>
      <c r="Q2236" s="103"/>
      <c r="R2236" s="103"/>
      <c r="S2236" s="103"/>
      <c r="T2236" s="103"/>
      <c r="U2236" s="103"/>
      <c r="V2236" s="103"/>
      <c r="W2236" s="103"/>
      <c r="X2236" s="103"/>
      <c r="Y2236" s="103"/>
      <c r="Z2236" s="103"/>
      <c r="AA2236" s="103"/>
      <c r="AB2236" s="103"/>
      <c r="AC2236" s="103"/>
      <c r="AD2236" s="103"/>
      <c r="AE2236" s="103"/>
      <c r="AF2236" s="103"/>
      <c r="AG2236" s="103"/>
      <c r="AH2236" s="103"/>
      <c r="AI2236" s="103"/>
      <c r="AJ2236" s="103"/>
      <c r="AK2236" s="103"/>
      <c r="AL2236" s="103"/>
      <c r="AM2236" s="103"/>
      <c r="AN2236" s="103"/>
      <c r="AO2236" s="103"/>
      <c r="AP2236" s="103"/>
      <c r="AQ2236" s="103"/>
      <c r="AR2236" s="103"/>
      <c r="AS2236" s="103"/>
      <c r="AT2236" s="103"/>
      <c r="AU2236" s="103"/>
      <c r="AV2236" s="103"/>
      <c r="AW2236" s="103"/>
      <c r="AX2236" s="103"/>
      <c r="AY2236" s="103"/>
      <c r="AZ2236" s="103"/>
      <c r="BA2236" s="103"/>
      <c r="BB2236" s="103"/>
      <c r="BC2236" s="103"/>
      <c r="BD2236" s="103"/>
      <c r="BE2236" s="103"/>
      <c r="BF2236" s="103"/>
      <c r="BG2236" s="103"/>
      <c r="BH2236" s="103"/>
      <c r="BI2236" s="103"/>
      <c r="BJ2236" s="103"/>
      <c r="BK2236" s="103"/>
      <c r="BL2236" s="103"/>
      <c r="BM2236" s="103"/>
      <c r="BN2236" s="103"/>
      <c r="BO2236" s="103"/>
      <c r="BP2236" s="103"/>
      <c r="BQ2236" s="103"/>
      <c r="BR2236" s="103"/>
      <c r="BS2236" s="103"/>
      <c r="BT2236" s="103"/>
      <c r="BU2236" s="103"/>
      <c r="BV2236" s="103"/>
      <c r="BW2236" s="103"/>
      <c r="BX2236" s="103"/>
      <c r="BY2236" s="103"/>
      <c r="BZ2236" s="103"/>
      <c r="CA2236" s="103"/>
      <c r="CB2236" s="103"/>
      <c r="CC2236" s="103"/>
      <c r="CD2236" s="103"/>
      <c r="CE2236" s="103"/>
      <c r="CF2236" s="103"/>
      <c r="CG2236" s="103"/>
      <c r="CH2236" s="103"/>
      <c r="CI2236" s="103"/>
      <c r="CJ2236" s="103"/>
      <c r="CK2236" s="103"/>
      <c r="CL2236" s="103"/>
      <c r="CM2236" s="103"/>
      <c r="CN2236" s="103"/>
      <c r="CO2236" s="103"/>
      <c r="CP2236" s="103"/>
      <c r="CQ2236" s="103"/>
      <c r="CR2236" s="103"/>
      <c r="CS2236" s="103"/>
      <c r="CT2236" s="103"/>
      <c r="CU2236" s="103"/>
      <c r="CV2236" s="103"/>
      <c r="CW2236" s="103"/>
      <c r="CX2236" s="103"/>
      <c r="CY2236" s="103"/>
      <c r="CZ2236" s="103"/>
      <c r="DA2236" s="103"/>
      <c r="DB2236" s="103"/>
      <c r="DC2236" s="103"/>
      <c r="DD2236" s="103"/>
      <c r="DE2236" s="103"/>
      <c r="DF2236" s="103"/>
      <c r="DG2236" s="103"/>
      <c r="DH2236" s="103"/>
      <c r="DI2236" s="103"/>
      <c r="DJ2236" s="103"/>
      <c r="DK2236" s="103"/>
      <c r="DL2236" s="103"/>
      <c r="DM2236" s="103"/>
      <c r="DN2236" s="103"/>
      <c r="DO2236" s="103"/>
      <c r="DP2236" s="103"/>
      <c r="DQ2236" s="103"/>
      <c r="DR2236" s="103"/>
      <c r="DS2236" s="103"/>
      <c r="DT2236" s="103"/>
      <c r="DU2236" s="103"/>
      <c r="DV2236" s="103"/>
      <c r="DW2236" s="103"/>
      <c r="DX2236" s="103"/>
      <c r="DY2236" s="103"/>
      <c r="DZ2236" s="103"/>
      <c r="EA2236" s="103"/>
      <c r="EB2236" s="103"/>
      <c r="EC2236" s="103"/>
      <c r="ED2236" s="103"/>
      <c r="EE2236" s="103"/>
      <c r="EF2236" s="103"/>
      <c r="EG2236" s="103"/>
      <c r="EH2236" s="103"/>
      <c r="EI2236" s="103"/>
      <c r="EJ2236" s="103"/>
      <c r="EK2236" s="103"/>
      <c r="EL2236" s="103"/>
      <c r="EM2236" s="103"/>
      <c r="EN2236" s="103"/>
      <c r="EO2236" s="103"/>
      <c r="EP2236" s="103"/>
      <c r="EQ2236" s="103"/>
      <c r="ER2236" s="103"/>
      <c r="ES2236" s="103"/>
      <c r="ET2236" s="103"/>
      <c r="EU2236" s="103"/>
      <c r="EV2236" s="103"/>
      <c r="EW2236" s="103"/>
      <c r="EX2236" s="103"/>
      <c r="EY2236" s="103"/>
      <c r="EZ2236" s="103"/>
      <c r="FA2236" s="103"/>
      <c r="FB2236" s="103"/>
      <c r="FC2236" s="103"/>
      <c r="FD2236" s="103"/>
      <c r="FE2236" s="103"/>
      <c r="FF2236" s="103"/>
      <c r="FG2236" s="103"/>
      <c r="FH2236" s="103"/>
      <c r="FI2236" s="103"/>
      <c r="FJ2236" s="103"/>
      <c r="FK2236" s="103"/>
      <c r="FL2236" s="103"/>
      <c r="FM2236" s="103"/>
      <c r="FN2236" s="103"/>
      <c r="FO2236" s="103"/>
      <c r="FP2236" s="103"/>
      <c r="FQ2236" s="103"/>
      <c r="FR2236" s="103"/>
      <c r="FS2236" s="103"/>
      <c r="FT2236" s="103"/>
      <c r="FU2236" s="103"/>
      <c r="FV2236" s="103"/>
      <c r="FW2236" s="103"/>
      <c r="FX2236" s="103"/>
      <c r="FY2236" s="103"/>
      <c r="FZ2236" s="103"/>
      <c r="GA2236" s="103"/>
      <c r="GB2236" s="103"/>
      <c r="GC2236" s="103"/>
      <c r="GD2236" s="103"/>
      <c r="GE2236" s="103"/>
      <c r="GF2236" s="103"/>
      <c r="GG2236" s="103"/>
      <c r="GH2236" s="103"/>
      <c r="GI2236" s="103"/>
      <c r="GJ2236" s="103"/>
      <c r="GK2236" s="103"/>
      <c r="GL2236" s="103"/>
      <c r="GM2236" s="103"/>
      <c r="GN2236" s="103"/>
      <c r="GO2236" s="103"/>
      <c r="GP2236" s="103"/>
      <c r="GQ2236" s="103"/>
      <c r="GR2236" s="103"/>
      <c r="GS2236" s="103"/>
      <c r="GT2236" s="103"/>
      <c r="GU2236" s="103"/>
      <c r="GV2236" s="103"/>
      <c r="GW2236" s="103"/>
      <c r="GX2236" s="103"/>
      <c r="GY2236" s="103"/>
      <c r="GZ2236" s="103"/>
      <c r="HA2236" s="103"/>
      <c r="HB2236" s="103"/>
      <c r="HC2236" s="103"/>
      <c r="HD2236" s="103"/>
      <c r="HE2236" s="103"/>
      <c r="HF2236" s="103"/>
      <c r="HG2236" s="103"/>
      <c r="HH2236" s="103"/>
      <c r="HI2236" s="103"/>
      <c r="HJ2236" s="103"/>
      <c r="HK2236" s="103"/>
      <c r="HL2236" s="103"/>
      <c r="HM2236" s="103"/>
      <c r="HN2236" s="103"/>
      <c r="HO2236" s="103"/>
      <c r="HP2236" s="103"/>
      <c r="HQ2236" s="103"/>
      <c r="HR2236" s="103"/>
      <c r="HS2236" s="103"/>
      <c r="HT2236" s="103"/>
      <c r="HU2236" s="103"/>
      <c r="HV2236" s="103"/>
      <c r="HW2236" s="103"/>
      <c r="HX2236" s="103"/>
      <c r="HY2236" s="103"/>
      <c r="HZ2236" s="103"/>
      <c r="IA2236" s="103"/>
      <c r="IB2236" s="103"/>
      <c r="IC2236" s="103"/>
      <c r="ID2236" s="103"/>
      <c r="IE2236" s="103"/>
      <c r="IF2236" s="103"/>
      <c r="IG2236" s="103"/>
      <c r="IH2236" s="103"/>
      <c r="II2236" s="103"/>
      <c r="IJ2236" s="103"/>
      <c r="IK2236" s="103"/>
      <c r="IL2236" s="103"/>
      <c r="IM2236" s="103"/>
      <c r="IN2236" s="103"/>
      <c r="IO2236" s="103"/>
      <c r="IP2236" s="103"/>
      <c r="IQ2236" s="103"/>
      <c r="IR2236" s="103"/>
      <c r="IS2236" s="103"/>
      <c r="IT2236" s="103"/>
      <c r="IU2236" s="103"/>
      <c r="IV2236" s="103"/>
      <c r="IW2236" s="103"/>
    </row>
    <row r="2237" customFormat="false" ht="17.6" hidden="false" customHeight="false" outlineLevel="0" collapsed="false">
      <c r="A2237" s="91" t="s">
        <v>2461</v>
      </c>
      <c r="B2237" s="90" t="s">
        <v>40</v>
      </c>
      <c r="C2237" s="90" t="n">
        <f aca="false">1744*0.56</f>
        <v>976.64</v>
      </c>
      <c r="D2237" s="103" t="s">
        <v>2455</v>
      </c>
      <c r="E2237" s="103"/>
      <c r="F2237" s="103"/>
      <c r="G2237" s="103"/>
      <c r="H2237" s="103"/>
      <c r="I2237" s="103"/>
      <c r="J2237" s="103"/>
      <c r="K2237" s="103"/>
      <c r="L2237" s="103"/>
      <c r="M2237" s="103"/>
      <c r="N2237" s="103"/>
      <c r="O2237" s="104"/>
      <c r="P2237" s="103"/>
      <c r="Q2237" s="103"/>
      <c r="R2237" s="103"/>
      <c r="S2237" s="103"/>
      <c r="T2237" s="103"/>
      <c r="U2237" s="103"/>
      <c r="V2237" s="103"/>
      <c r="W2237" s="103"/>
      <c r="X2237" s="103"/>
      <c r="Y2237" s="103"/>
      <c r="Z2237" s="103"/>
      <c r="AA2237" s="103"/>
      <c r="AB2237" s="103"/>
      <c r="AC2237" s="103"/>
      <c r="AD2237" s="103"/>
      <c r="AE2237" s="103"/>
      <c r="AF2237" s="103"/>
      <c r="AG2237" s="103"/>
      <c r="AH2237" s="103"/>
      <c r="AI2237" s="103"/>
      <c r="AJ2237" s="103"/>
      <c r="AK2237" s="103"/>
      <c r="AL2237" s="103"/>
      <c r="AM2237" s="103"/>
      <c r="AN2237" s="103"/>
      <c r="AO2237" s="103"/>
      <c r="AP2237" s="103"/>
      <c r="AQ2237" s="103"/>
      <c r="AR2237" s="103"/>
      <c r="AS2237" s="103"/>
      <c r="AT2237" s="103"/>
      <c r="AU2237" s="103"/>
      <c r="AV2237" s="103"/>
      <c r="AW2237" s="103"/>
      <c r="AX2237" s="103"/>
      <c r="AY2237" s="103"/>
      <c r="AZ2237" s="103"/>
      <c r="BA2237" s="103"/>
      <c r="BB2237" s="103"/>
      <c r="BC2237" s="103"/>
      <c r="BD2237" s="103"/>
      <c r="BE2237" s="103"/>
      <c r="BF2237" s="103"/>
      <c r="BG2237" s="103"/>
      <c r="BH2237" s="103"/>
      <c r="BI2237" s="103"/>
      <c r="BJ2237" s="103"/>
      <c r="BK2237" s="103"/>
      <c r="BL2237" s="103"/>
      <c r="BM2237" s="103"/>
      <c r="BN2237" s="103"/>
      <c r="BO2237" s="103"/>
      <c r="BP2237" s="103"/>
      <c r="BQ2237" s="103"/>
      <c r="BR2237" s="103"/>
      <c r="BS2237" s="103"/>
      <c r="BT2237" s="103"/>
      <c r="BU2237" s="103"/>
      <c r="BV2237" s="103"/>
      <c r="BW2237" s="103"/>
      <c r="BX2237" s="103"/>
      <c r="BY2237" s="103"/>
      <c r="BZ2237" s="103"/>
      <c r="CA2237" s="103"/>
      <c r="CB2237" s="103"/>
      <c r="CC2237" s="103"/>
      <c r="CD2237" s="103"/>
      <c r="CE2237" s="103"/>
      <c r="CF2237" s="103"/>
      <c r="CG2237" s="103"/>
      <c r="CH2237" s="103"/>
      <c r="CI2237" s="103"/>
      <c r="CJ2237" s="103"/>
      <c r="CK2237" s="103"/>
      <c r="CL2237" s="103"/>
      <c r="CM2237" s="103"/>
      <c r="CN2237" s="103"/>
      <c r="CO2237" s="103"/>
      <c r="CP2237" s="103"/>
      <c r="CQ2237" s="103"/>
      <c r="CR2237" s="103"/>
      <c r="CS2237" s="103"/>
      <c r="CT2237" s="103"/>
      <c r="CU2237" s="103"/>
      <c r="CV2237" s="103"/>
      <c r="CW2237" s="103"/>
      <c r="CX2237" s="103"/>
      <c r="CY2237" s="103"/>
      <c r="CZ2237" s="103"/>
      <c r="DA2237" s="103"/>
      <c r="DB2237" s="103"/>
      <c r="DC2237" s="103"/>
      <c r="DD2237" s="103"/>
      <c r="DE2237" s="103"/>
      <c r="DF2237" s="103"/>
      <c r="DG2237" s="103"/>
      <c r="DH2237" s="103"/>
      <c r="DI2237" s="103"/>
      <c r="DJ2237" s="103"/>
      <c r="DK2237" s="103"/>
      <c r="DL2237" s="103"/>
      <c r="DM2237" s="103"/>
      <c r="DN2237" s="103"/>
      <c r="DO2237" s="103"/>
      <c r="DP2237" s="103"/>
      <c r="DQ2237" s="103"/>
      <c r="DR2237" s="103"/>
      <c r="DS2237" s="103"/>
      <c r="DT2237" s="103"/>
      <c r="DU2237" s="103"/>
      <c r="DV2237" s="103"/>
      <c r="DW2237" s="103"/>
      <c r="DX2237" s="103"/>
      <c r="DY2237" s="103"/>
      <c r="DZ2237" s="103"/>
      <c r="EA2237" s="103"/>
      <c r="EB2237" s="103"/>
      <c r="EC2237" s="103"/>
      <c r="ED2237" s="103"/>
      <c r="EE2237" s="103"/>
      <c r="EF2237" s="103"/>
      <c r="EG2237" s="103"/>
      <c r="EH2237" s="103"/>
      <c r="EI2237" s="103"/>
      <c r="EJ2237" s="103"/>
      <c r="EK2237" s="103"/>
      <c r="EL2237" s="103"/>
      <c r="EM2237" s="103"/>
      <c r="EN2237" s="103"/>
      <c r="EO2237" s="103"/>
      <c r="EP2237" s="103"/>
      <c r="EQ2237" s="103"/>
      <c r="ER2237" s="103"/>
      <c r="ES2237" s="103"/>
      <c r="ET2237" s="103"/>
      <c r="EU2237" s="103"/>
      <c r="EV2237" s="103"/>
      <c r="EW2237" s="103"/>
      <c r="EX2237" s="103"/>
      <c r="EY2237" s="103"/>
      <c r="EZ2237" s="103"/>
      <c r="FA2237" s="103"/>
      <c r="FB2237" s="103"/>
      <c r="FC2237" s="103"/>
      <c r="FD2237" s="103"/>
      <c r="FE2237" s="103"/>
      <c r="FF2237" s="103"/>
      <c r="FG2237" s="103"/>
      <c r="FH2237" s="103"/>
      <c r="FI2237" s="103"/>
      <c r="FJ2237" s="103"/>
      <c r="FK2237" s="103"/>
      <c r="FL2237" s="103"/>
      <c r="FM2237" s="103"/>
      <c r="FN2237" s="103"/>
      <c r="FO2237" s="103"/>
      <c r="FP2237" s="103"/>
      <c r="FQ2237" s="103"/>
      <c r="FR2237" s="103"/>
      <c r="FS2237" s="103"/>
      <c r="FT2237" s="103"/>
      <c r="FU2237" s="103"/>
      <c r="FV2237" s="103"/>
      <c r="FW2237" s="103"/>
      <c r="FX2237" s="103"/>
      <c r="FY2237" s="103"/>
      <c r="FZ2237" s="103"/>
      <c r="GA2237" s="103"/>
      <c r="GB2237" s="103"/>
      <c r="GC2237" s="103"/>
      <c r="GD2237" s="103"/>
      <c r="GE2237" s="103"/>
      <c r="GF2237" s="103"/>
      <c r="GG2237" s="103"/>
      <c r="GH2237" s="103"/>
      <c r="GI2237" s="103"/>
      <c r="GJ2237" s="103"/>
      <c r="GK2237" s="103"/>
      <c r="GL2237" s="103"/>
      <c r="GM2237" s="103"/>
      <c r="GN2237" s="103"/>
      <c r="GO2237" s="103"/>
      <c r="GP2237" s="103"/>
      <c r="GQ2237" s="103"/>
      <c r="GR2237" s="103"/>
      <c r="GS2237" s="103"/>
      <c r="GT2237" s="103"/>
      <c r="GU2237" s="103"/>
      <c r="GV2237" s="103"/>
      <c r="GW2237" s="103"/>
      <c r="GX2237" s="103"/>
      <c r="GY2237" s="103"/>
      <c r="GZ2237" s="103"/>
      <c r="HA2237" s="103"/>
      <c r="HB2237" s="103"/>
      <c r="HC2237" s="103"/>
      <c r="HD2237" s="103"/>
      <c r="HE2237" s="103"/>
      <c r="HF2237" s="103"/>
      <c r="HG2237" s="103"/>
      <c r="HH2237" s="103"/>
      <c r="HI2237" s="103"/>
      <c r="HJ2237" s="103"/>
      <c r="HK2237" s="103"/>
      <c r="HL2237" s="103"/>
      <c r="HM2237" s="103"/>
      <c r="HN2237" s="103"/>
      <c r="HO2237" s="103"/>
      <c r="HP2237" s="103"/>
      <c r="HQ2237" s="103"/>
      <c r="HR2237" s="103"/>
      <c r="HS2237" s="103"/>
      <c r="HT2237" s="103"/>
      <c r="HU2237" s="103"/>
      <c r="HV2237" s="103"/>
      <c r="HW2237" s="103"/>
      <c r="HX2237" s="103"/>
      <c r="HY2237" s="103"/>
      <c r="HZ2237" s="103"/>
      <c r="IA2237" s="103"/>
      <c r="IB2237" s="103"/>
      <c r="IC2237" s="103"/>
      <c r="ID2237" s="103"/>
      <c r="IE2237" s="103"/>
      <c r="IF2237" s="103"/>
      <c r="IG2237" s="103"/>
      <c r="IH2237" s="103"/>
      <c r="II2237" s="103"/>
      <c r="IJ2237" s="103"/>
      <c r="IK2237" s="103"/>
      <c r="IL2237" s="103"/>
      <c r="IM2237" s="103"/>
      <c r="IN2237" s="103"/>
      <c r="IO2237" s="103"/>
      <c r="IP2237" s="103"/>
      <c r="IQ2237" s="103"/>
      <c r="IR2237" s="103"/>
      <c r="IS2237" s="103"/>
      <c r="IT2237" s="103"/>
      <c r="IU2237" s="103"/>
      <c r="IV2237" s="103"/>
      <c r="IW2237" s="103"/>
    </row>
    <row r="2238" customFormat="false" ht="17.6" hidden="false" customHeight="false" outlineLevel="0" collapsed="false">
      <c r="A2238" s="91" t="s">
        <v>2462</v>
      </c>
      <c r="B2238" s="90" t="s">
        <v>40</v>
      </c>
      <c r="C2238" s="90" t="n">
        <f aca="false">1738*0.56</f>
        <v>973.28</v>
      </c>
      <c r="D2238" s="103" t="s">
        <v>2455</v>
      </c>
      <c r="E2238" s="103"/>
      <c r="F2238" s="103"/>
      <c r="G2238" s="103"/>
      <c r="H2238" s="103"/>
      <c r="I2238" s="103"/>
      <c r="J2238" s="103"/>
      <c r="K2238" s="103"/>
      <c r="L2238" s="103"/>
      <c r="M2238" s="103"/>
      <c r="N2238" s="103"/>
      <c r="O2238" s="104"/>
      <c r="P2238" s="103"/>
      <c r="Q2238" s="103"/>
      <c r="R2238" s="103"/>
      <c r="S2238" s="103"/>
      <c r="T2238" s="103"/>
      <c r="U2238" s="103"/>
      <c r="V2238" s="103"/>
      <c r="W2238" s="103"/>
      <c r="X2238" s="103"/>
      <c r="Y2238" s="103"/>
      <c r="Z2238" s="103"/>
      <c r="AA2238" s="103"/>
      <c r="AB2238" s="103"/>
      <c r="AC2238" s="103"/>
      <c r="AD2238" s="103"/>
      <c r="AE2238" s="103"/>
      <c r="AF2238" s="103"/>
      <c r="AG2238" s="103"/>
      <c r="AH2238" s="103"/>
      <c r="AI2238" s="103"/>
      <c r="AJ2238" s="103"/>
      <c r="AK2238" s="103"/>
      <c r="AL2238" s="103"/>
      <c r="AM2238" s="103"/>
      <c r="AN2238" s="103"/>
      <c r="AO2238" s="103"/>
      <c r="AP2238" s="103"/>
      <c r="AQ2238" s="103"/>
      <c r="AR2238" s="103"/>
      <c r="AS2238" s="103"/>
      <c r="AT2238" s="103"/>
      <c r="AU2238" s="103"/>
      <c r="AV2238" s="103"/>
      <c r="AW2238" s="103"/>
      <c r="AX2238" s="103"/>
      <c r="AY2238" s="103"/>
      <c r="AZ2238" s="103"/>
      <c r="BA2238" s="103"/>
      <c r="BB2238" s="103"/>
      <c r="BC2238" s="103"/>
      <c r="BD2238" s="103"/>
      <c r="BE2238" s="103"/>
      <c r="BF2238" s="103"/>
      <c r="BG2238" s="103"/>
      <c r="BH2238" s="103"/>
      <c r="BI2238" s="103"/>
      <c r="BJ2238" s="103"/>
      <c r="BK2238" s="103"/>
      <c r="BL2238" s="103"/>
      <c r="BM2238" s="103"/>
      <c r="BN2238" s="103"/>
      <c r="BO2238" s="103"/>
      <c r="BP2238" s="103"/>
      <c r="BQ2238" s="103"/>
      <c r="BR2238" s="103"/>
      <c r="BS2238" s="103"/>
      <c r="BT2238" s="103"/>
      <c r="BU2238" s="103"/>
      <c r="BV2238" s="103"/>
      <c r="BW2238" s="103"/>
      <c r="BX2238" s="103"/>
      <c r="BY2238" s="103"/>
      <c r="BZ2238" s="103"/>
      <c r="CA2238" s="103"/>
      <c r="CB2238" s="103"/>
      <c r="CC2238" s="103"/>
      <c r="CD2238" s="103"/>
      <c r="CE2238" s="103"/>
      <c r="CF2238" s="103"/>
      <c r="CG2238" s="103"/>
      <c r="CH2238" s="103"/>
      <c r="CI2238" s="103"/>
      <c r="CJ2238" s="103"/>
      <c r="CK2238" s="103"/>
      <c r="CL2238" s="103"/>
      <c r="CM2238" s="103"/>
      <c r="CN2238" s="103"/>
      <c r="CO2238" s="103"/>
      <c r="CP2238" s="103"/>
      <c r="CQ2238" s="103"/>
      <c r="CR2238" s="103"/>
      <c r="CS2238" s="103"/>
      <c r="CT2238" s="103"/>
      <c r="CU2238" s="103"/>
      <c r="CV2238" s="103"/>
      <c r="CW2238" s="103"/>
      <c r="CX2238" s="103"/>
      <c r="CY2238" s="103"/>
      <c r="CZ2238" s="103"/>
      <c r="DA2238" s="103"/>
      <c r="DB2238" s="103"/>
      <c r="DC2238" s="103"/>
      <c r="DD2238" s="103"/>
      <c r="DE2238" s="103"/>
      <c r="DF2238" s="103"/>
      <c r="DG2238" s="103"/>
      <c r="DH2238" s="103"/>
      <c r="DI2238" s="103"/>
      <c r="DJ2238" s="103"/>
      <c r="DK2238" s="103"/>
      <c r="DL2238" s="103"/>
      <c r="DM2238" s="103"/>
      <c r="DN2238" s="103"/>
      <c r="DO2238" s="103"/>
      <c r="DP2238" s="103"/>
      <c r="DQ2238" s="103"/>
      <c r="DR2238" s="103"/>
      <c r="DS2238" s="103"/>
      <c r="DT2238" s="103"/>
      <c r="DU2238" s="103"/>
      <c r="DV2238" s="103"/>
      <c r="DW2238" s="103"/>
      <c r="DX2238" s="103"/>
      <c r="DY2238" s="103"/>
      <c r="DZ2238" s="103"/>
      <c r="EA2238" s="103"/>
      <c r="EB2238" s="103"/>
      <c r="EC2238" s="103"/>
      <c r="ED2238" s="103"/>
      <c r="EE2238" s="103"/>
      <c r="EF2238" s="103"/>
      <c r="EG2238" s="103"/>
      <c r="EH2238" s="103"/>
      <c r="EI2238" s="103"/>
      <c r="EJ2238" s="103"/>
      <c r="EK2238" s="103"/>
      <c r="EL2238" s="103"/>
      <c r="EM2238" s="103"/>
      <c r="EN2238" s="103"/>
      <c r="EO2238" s="103"/>
      <c r="EP2238" s="103"/>
      <c r="EQ2238" s="103"/>
      <c r="ER2238" s="103"/>
      <c r="ES2238" s="103"/>
      <c r="ET2238" s="103"/>
      <c r="EU2238" s="103"/>
      <c r="EV2238" s="103"/>
      <c r="EW2238" s="103"/>
      <c r="EX2238" s="103"/>
      <c r="EY2238" s="103"/>
      <c r="EZ2238" s="103"/>
      <c r="FA2238" s="103"/>
      <c r="FB2238" s="103"/>
      <c r="FC2238" s="103"/>
      <c r="FD2238" s="103"/>
      <c r="FE2238" s="103"/>
      <c r="FF2238" s="103"/>
      <c r="FG2238" s="103"/>
      <c r="FH2238" s="103"/>
      <c r="FI2238" s="103"/>
      <c r="FJ2238" s="103"/>
      <c r="FK2238" s="103"/>
      <c r="FL2238" s="103"/>
      <c r="FM2238" s="103"/>
      <c r="FN2238" s="103"/>
      <c r="FO2238" s="103"/>
      <c r="FP2238" s="103"/>
      <c r="FQ2238" s="103"/>
      <c r="FR2238" s="103"/>
      <c r="FS2238" s="103"/>
      <c r="FT2238" s="103"/>
      <c r="FU2238" s="103"/>
      <c r="FV2238" s="103"/>
      <c r="FW2238" s="103"/>
      <c r="FX2238" s="103"/>
      <c r="FY2238" s="103"/>
      <c r="FZ2238" s="103"/>
      <c r="GA2238" s="103"/>
      <c r="GB2238" s="103"/>
      <c r="GC2238" s="103"/>
      <c r="GD2238" s="103"/>
      <c r="GE2238" s="103"/>
      <c r="GF2238" s="103"/>
      <c r="GG2238" s="103"/>
      <c r="GH2238" s="103"/>
      <c r="GI2238" s="103"/>
      <c r="GJ2238" s="103"/>
      <c r="GK2238" s="103"/>
      <c r="GL2238" s="103"/>
      <c r="GM2238" s="103"/>
      <c r="GN2238" s="103"/>
      <c r="GO2238" s="103"/>
      <c r="GP2238" s="103"/>
      <c r="GQ2238" s="103"/>
      <c r="GR2238" s="103"/>
      <c r="GS2238" s="103"/>
      <c r="GT2238" s="103"/>
      <c r="GU2238" s="103"/>
      <c r="GV2238" s="103"/>
      <c r="GW2238" s="103"/>
      <c r="GX2238" s="103"/>
      <c r="GY2238" s="103"/>
      <c r="GZ2238" s="103"/>
      <c r="HA2238" s="103"/>
      <c r="HB2238" s="103"/>
      <c r="HC2238" s="103"/>
      <c r="HD2238" s="103"/>
      <c r="HE2238" s="103"/>
      <c r="HF2238" s="103"/>
      <c r="HG2238" s="103"/>
      <c r="HH2238" s="103"/>
      <c r="HI2238" s="103"/>
      <c r="HJ2238" s="103"/>
      <c r="HK2238" s="103"/>
      <c r="HL2238" s="103"/>
      <c r="HM2238" s="103"/>
      <c r="HN2238" s="103"/>
      <c r="HO2238" s="103"/>
      <c r="HP2238" s="103"/>
      <c r="HQ2238" s="103"/>
      <c r="HR2238" s="103"/>
      <c r="HS2238" s="103"/>
      <c r="HT2238" s="103"/>
      <c r="HU2238" s="103"/>
      <c r="HV2238" s="103"/>
      <c r="HW2238" s="103"/>
      <c r="HX2238" s="103"/>
      <c r="HY2238" s="103"/>
      <c r="HZ2238" s="103"/>
      <c r="IA2238" s="103"/>
      <c r="IB2238" s="103"/>
      <c r="IC2238" s="103"/>
      <c r="ID2238" s="103"/>
      <c r="IE2238" s="103"/>
      <c r="IF2238" s="103"/>
      <c r="IG2238" s="103"/>
      <c r="IH2238" s="103"/>
      <c r="II2238" s="103"/>
      <c r="IJ2238" s="103"/>
      <c r="IK2238" s="103"/>
      <c r="IL2238" s="103"/>
      <c r="IM2238" s="103"/>
      <c r="IN2238" s="103"/>
      <c r="IO2238" s="103"/>
      <c r="IP2238" s="103"/>
      <c r="IQ2238" s="103"/>
      <c r="IR2238" s="103"/>
      <c r="IS2238" s="103"/>
      <c r="IT2238" s="103"/>
      <c r="IU2238" s="103"/>
      <c r="IV2238" s="103"/>
      <c r="IW2238" s="103"/>
    </row>
    <row r="2239" customFormat="false" ht="17.6" hidden="false" customHeight="false" outlineLevel="0" collapsed="false">
      <c r="A2239" s="91" t="s">
        <v>2463</v>
      </c>
      <c r="B2239" s="90" t="s">
        <v>40</v>
      </c>
      <c r="C2239" s="90" t="n">
        <f aca="false">2180*0.56</f>
        <v>1220.8</v>
      </c>
      <c r="D2239" s="103" t="s">
        <v>2455</v>
      </c>
      <c r="E2239" s="103"/>
      <c r="F2239" s="103"/>
      <c r="G2239" s="103"/>
      <c r="H2239" s="103"/>
      <c r="I2239" s="103"/>
      <c r="J2239" s="103"/>
      <c r="K2239" s="103"/>
      <c r="L2239" s="103"/>
      <c r="M2239" s="103"/>
      <c r="N2239" s="103"/>
      <c r="O2239" s="104"/>
      <c r="P2239" s="103"/>
      <c r="Q2239" s="103"/>
      <c r="R2239" s="103"/>
      <c r="S2239" s="103"/>
      <c r="T2239" s="103"/>
      <c r="U2239" s="103"/>
      <c r="V2239" s="103"/>
      <c r="W2239" s="103"/>
      <c r="X2239" s="103"/>
      <c r="Y2239" s="103"/>
      <c r="Z2239" s="103"/>
      <c r="AA2239" s="103"/>
      <c r="AB2239" s="103"/>
      <c r="AC2239" s="103"/>
      <c r="AD2239" s="103"/>
      <c r="AE2239" s="103"/>
      <c r="AF2239" s="103"/>
      <c r="AG2239" s="103"/>
      <c r="AH2239" s="103"/>
      <c r="AI2239" s="103"/>
      <c r="AJ2239" s="103"/>
      <c r="AK2239" s="103"/>
      <c r="AL2239" s="103"/>
      <c r="AM2239" s="103"/>
      <c r="AN2239" s="103"/>
      <c r="AO2239" s="103"/>
      <c r="AP2239" s="103"/>
      <c r="AQ2239" s="103"/>
      <c r="AR2239" s="103"/>
      <c r="AS2239" s="103"/>
      <c r="AT2239" s="103"/>
      <c r="AU2239" s="103"/>
      <c r="AV2239" s="103"/>
      <c r="AW2239" s="103"/>
      <c r="AX2239" s="103"/>
      <c r="AY2239" s="103"/>
      <c r="AZ2239" s="103"/>
      <c r="BA2239" s="103"/>
      <c r="BB2239" s="103"/>
      <c r="BC2239" s="103"/>
      <c r="BD2239" s="103"/>
      <c r="BE2239" s="103"/>
      <c r="BF2239" s="103"/>
      <c r="BG2239" s="103"/>
      <c r="BH2239" s="103"/>
      <c r="BI2239" s="103"/>
      <c r="BJ2239" s="103"/>
      <c r="BK2239" s="103"/>
      <c r="BL2239" s="103"/>
      <c r="BM2239" s="103"/>
      <c r="BN2239" s="103"/>
      <c r="BO2239" s="103"/>
      <c r="BP2239" s="103"/>
      <c r="BQ2239" s="103"/>
      <c r="BR2239" s="103"/>
      <c r="BS2239" s="103"/>
      <c r="BT2239" s="103"/>
      <c r="BU2239" s="103"/>
      <c r="BV2239" s="103"/>
      <c r="BW2239" s="103"/>
      <c r="BX2239" s="103"/>
      <c r="BY2239" s="103"/>
      <c r="BZ2239" s="103"/>
      <c r="CA2239" s="103"/>
      <c r="CB2239" s="103"/>
      <c r="CC2239" s="103"/>
      <c r="CD2239" s="103"/>
      <c r="CE2239" s="103"/>
      <c r="CF2239" s="103"/>
      <c r="CG2239" s="103"/>
      <c r="CH2239" s="103"/>
      <c r="CI2239" s="103"/>
      <c r="CJ2239" s="103"/>
      <c r="CK2239" s="103"/>
      <c r="CL2239" s="103"/>
      <c r="CM2239" s="103"/>
      <c r="CN2239" s="103"/>
      <c r="CO2239" s="103"/>
      <c r="CP2239" s="103"/>
      <c r="CQ2239" s="103"/>
      <c r="CR2239" s="103"/>
      <c r="CS2239" s="103"/>
      <c r="CT2239" s="103"/>
      <c r="CU2239" s="103"/>
      <c r="CV2239" s="103"/>
      <c r="CW2239" s="103"/>
      <c r="CX2239" s="103"/>
      <c r="CY2239" s="103"/>
      <c r="CZ2239" s="103"/>
      <c r="DA2239" s="103"/>
      <c r="DB2239" s="103"/>
      <c r="DC2239" s="103"/>
      <c r="DD2239" s="103"/>
      <c r="DE2239" s="103"/>
      <c r="DF2239" s="103"/>
      <c r="DG2239" s="103"/>
      <c r="DH2239" s="103"/>
      <c r="DI2239" s="103"/>
      <c r="DJ2239" s="103"/>
      <c r="DK2239" s="103"/>
      <c r="DL2239" s="103"/>
      <c r="DM2239" s="103"/>
      <c r="DN2239" s="103"/>
      <c r="DO2239" s="103"/>
      <c r="DP2239" s="103"/>
      <c r="DQ2239" s="103"/>
      <c r="DR2239" s="103"/>
      <c r="DS2239" s="103"/>
      <c r="DT2239" s="103"/>
      <c r="DU2239" s="103"/>
      <c r="DV2239" s="103"/>
      <c r="DW2239" s="103"/>
      <c r="DX2239" s="103"/>
      <c r="DY2239" s="103"/>
      <c r="DZ2239" s="103"/>
      <c r="EA2239" s="103"/>
      <c r="EB2239" s="103"/>
      <c r="EC2239" s="103"/>
      <c r="ED2239" s="103"/>
      <c r="EE2239" s="103"/>
      <c r="EF2239" s="103"/>
      <c r="EG2239" s="103"/>
      <c r="EH2239" s="103"/>
      <c r="EI2239" s="103"/>
      <c r="EJ2239" s="103"/>
      <c r="EK2239" s="103"/>
      <c r="EL2239" s="103"/>
      <c r="EM2239" s="103"/>
      <c r="EN2239" s="103"/>
      <c r="EO2239" s="103"/>
      <c r="EP2239" s="103"/>
      <c r="EQ2239" s="103"/>
      <c r="ER2239" s="103"/>
      <c r="ES2239" s="103"/>
      <c r="ET2239" s="103"/>
      <c r="EU2239" s="103"/>
      <c r="EV2239" s="103"/>
      <c r="EW2239" s="103"/>
      <c r="EX2239" s="103"/>
      <c r="EY2239" s="103"/>
      <c r="EZ2239" s="103"/>
      <c r="FA2239" s="103"/>
      <c r="FB2239" s="103"/>
      <c r="FC2239" s="103"/>
      <c r="FD2239" s="103"/>
      <c r="FE2239" s="103"/>
      <c r="FF2239" s="103"/>
      <c r="FG2239" s="103"/>
      <c r="FH2239" s="103"/>
      <c r="FI2239" s="103"/>
      <c r="FJ2239" s="103"/>
      <c r="FK2239" s="103"/>
      <c r="FL2239" s="103"/>
      <c r="FM2239" s="103"/>
      <c r="FN2239" s="103"/>
      <c r="FO2239" s="103"/>
      <c r="FP2239" s="103"/>
      <c r="FQ2239" s="103"/>
      <c r="FR2239" s="103"/>
      <c r="FS2239" s="103"/>
      <c r="FT2239" s="103"/>
      <c r="FU2239" s="103"/>
      <c r="FV2239" s="103"/>
      <c r="FW2239" s="103"/>
      <c r="FX2239" s="103"/>
      <c r="FY2239" s="103"/>
      <c r="FZ2239" s="103"/>
      <c r="GA2239" s="103"/>
      <c r="GB2239" s="103"/>
      <c r="GC2239" s="103"/>
      <c r="GD2239" s="103"/>
      <c r="GE2239" s="103"/>
      <c r="GF2239" s="103"/>
      <c r="GG2239" s="103"/>
      <c r="GH2239" s="103"/>
      <c r="GI2239" s="103"/>
      <c r="GJ2239" s="103"/>
      <c r="GK2239" s="103"/>
      <c r="GL2239" s="103"/>
      <c r="GM2239" s="103"/>
      <c r="GN2239" s="103"/>
      <c r="GO2239" s="103"/>
      <c r="GP2239" s="103"/>
      <c r="GQ2239" s="103"/>
      <c r="GR2239" s="103"/>
      <c r="GS2239" s="103"/>
      <c r="GT2239" s="103"/>
      <c r="GU2239" s="103"/>
      <c r="GV2239" s="103"/>
      <c r="GW2239" s="103"/>
      <c r="GX2239" s="103"/>
      <c r="GY2239" s="103"/>
      <c r="GZ2239" s="103"/>
      <c r="HA2239" s="103"/>
      <c r="HB2239" s="103"/>
      <c r="HC2239" s="103"/>
      <c r="HD2239" s="103"/>
      <c r="HE2239" s="103"/>
      <c r="HF2239" s="103"/>
      <c r="HG2239" s="103"/>
      <c r="HH2239" s="103"/>
      <c r="HI2239" s="103"/>
      <c r="HJ2239" s="103"/>
      <c r="HK2239" s="103"/>
      <c r="HL2239" s="103"/>
      <c r="HM2239" s="103"/>
      <c r="HN2239" s="103"/>
      <c r="HO2239" s="103"/>
      <c r="HP2239" s="103"/>
      <c r="HQ2239" s="103"/>
      <c r="HR2239" s="103"/>
      <c r="HS2239" s="103"/>
      <c r="HT2239" s="103"/>
      <c r="HU2239" s="103"/>
      <c r="HV2239" s="103"/>
      <c r="HW2239" s="103"/>
      <c r="HX2239" s="103"/>
      <c r="HY2239" s="103"/>
      <c r="HZ2239" s="103"/>
      <c r="IA2239" s="103"/>
      <c r="IB2239" s="103"/>
      <c r="IC2239" s="103"/>
      <c r="ID2239" s="103"/>
      <c r="IE2239" s="103"/>
      <c r="IF2239" s="103"/>
      <c r="IG2239" s="103"/>
      <c r="IH2239" s="103"/>
      <c r="II2239" s="103"/>
      <c r="IJ2239" s="103"/>
      <c r="IK2239" s="103"/>
      <c r="IL2239" s="103"/>
      <c r="IM2239" s="103"/>
      <c r="IN2239" s="103"/>
      <c r="IO2239" s="103"/>
      <c r="IP2239" s="103"/>
      <c r="IQ2239" s="103"/>
      <c r="IR2239" s="103"/>
      <c r="IS2239" s="103"/>
      <c r="IT2239" s="103"/>
      <c r="IU2239" s="103"/>
      <c r="IV2239" s="103"/>
      <c r="IW2239" s="103"/>
    </row>
    <row r="2240" customFormat="false" ht="17.6" hidden="false" customHeight="false" outlineLevel="0" collapsed="false">
      <c r="A2240" s="91" t="s">
        <v>2464</v>
      </c>
      <c r="B2240" s="90" t="s">
        <v>40</v>
      </c>
      <c r="C2240" s="90" t="n">
        <f aca="false">3329*0.56</f>
        <v>1864.24</v>
      </c>
      <c r="D2240" s="103" t="s">
        <v>2455</v>
      </c>
      <c r="E2240" s="103"/>
      <c r="F2240" s="103"/>
      <c r="G2240" s="103"/>
      <c r="H2240" s="103"/>
      <c r="I2240" s="103"/>
      <c r="J2240" s="103"/>
      <c r="K2240" s="103"/>
      <c r="L2240" s="103"/>
      <c r="M2240" s="103"/>
      <c r="N2240" s="103"/>
      <c r="O2240" s="104"/>
      <c r="P2240" s="103"/>
      <c r="Q2240" s="103"/>
      <c r="R2240" s="103"/>
      <c r="S2240" s="103"/>
      <c r="T2240" s="103"/>
      <c r="U2240" s="103"/>
      <c r="V2240" s="103"/>
      <c r="W2240" s="103"/>
      <c r="X2240" s="103"/>
      <c r="Y2240" s="103"/>
      <c r="Z2240" s="103"/>
      <c r="AA2240" s="103"/>
      <c r="AB2240" s="103"/>
      <c r="AC2240" s="103"/>
      <c r="AD2240" s="103"/>
      <c r="AE2240" s="103"/>
      <c r="AF2240" s="103"/>
      <c r="AG2240" s="103"/>
      <c r="AH2240" s="103"/>
      <c r="AI2240" s="103"/>
      <c r="AJ2240" s="103"/>
      <c r="AK2240" s="103"/>
      <c r="AL2240" s="103"/>
      <c r="AM2240" s="103"/>
      <c r="AN2240" s="103"/>
      <c r="AO2240" s="103"/>
      <c r="AP2240" s="103"/>
      <c r="AQ2240" s="103"/>
      <c r="AR2240" s="103"/>
      <c r="AS2240" s="103"/>
      <c r="AT2240" s="103"/>
      <c r="AU2240" s="103"/>
      <c r="AV2240" s="103"/>
      <c r="AW2240" s="103"/>
      <c r="AX2240" s="103"/>
      <c r="AY2240" s="103"/>
      <c r="AZ2240" s="103"/>
      <c r="BA2240" s="103"/>
      <c r="BB2240" s="103"/>
      <c r="BC2240" s="103"/>
      <c r="BD2240" s="103"/>
      <c r="BE2240" s="103"/>
      <c r="BF2240" s="103"/>
      <c r="BG2240" s="103"/>
      <c r="BH2240" s="103"/>
      <c r="BI2240" s="103"/>
      <c r="BJ2240" s="103"/>
      <c r="BK2240" s="103"/>
      <c r="BL2240" s="103"/>
      <c r="BM2240" s="103"/>
      <c r="BN2240" s="103"/>
      <c r="BO2240" s="103"/>
      <c r="BP2240" s="103"/>
      <c r="BQ2240" s="103"/>
      <c r="BR2240" s="103"/>
      <c r="BS2240" s="103"/>
      <c r="BT2240" s="103"/>
      <c r="BU2240" s="103"/>
      <c r="BV2240" s="103"/>
      <c r="BW2240" s="103"/>
      <c r="BX2240" s="103"/>
      <c r="BY2240" s="103"/>
      <c r="BZ2240" s="103"/>
      <c r="CA2240" s="103"/>
      <c r="CB2240" s="103"/>
      <c r="CC2240" s="103"/>
      <c r="CD2240" s="103"/>
      <c r="CE2240" s="103"/>
      <c r="CF2240" s="103"/>
      <c r="CG2240" s="103"/>
      <c r="CH2240" s="103"/>
      <c r="CI2240" s="103"/>
      <c r="CJ2240" s="103"/>
      <c r="CK2240" s="103"/>
      <c r="CL2240" s="103"/>
      <c r="CM2240" s="103"/>
      <c r="CN2240" s="103"/>
      <c r="CO2240" s="103"/>
      <c r="CP2240" s="103"/>
      <c r="CQ2240" s="103"/>
      <c r="CR2240" s="103"/>
      <c r="CS2240" s="103"/>
      <c r="CT2240" s="103"/>
      <c r="CU2240" s="103"/>
      <c r="CV2240" s="103"/>
      <c r="CW2240" s="103"/>
      <c r="CX2240" s="103"/>
      <c r="CY2240" s="103"/>
      <c r="CZ2240" s="103"/>
      <c r="DA2240" s="103"/>
      <c r="DB2240" s="103"/>
      <c r="DC2240" s="103"/>
      <c r="DD2240" s="103"/>
      <c r="DE2240" s="103"/>
      <c r="DF2240" s="103"/>
      <c r="DG2240" s="103"/>
      <c r="DH2240" s="103"/>
      <c r="DI2240" s="103"/>
      <c r="DJ2240" s="103"/>
      <c r="DK2240" s="103"/>
      <c r="DL2240" s="103"/>
      <c r="DM2240" s="103"/>
      <c r="DN2240" s="103"/>
      <c r="DO2240" s="103"/>
      <c r="DP2240" s="103"/>
      <c r="DQ2240" s="103"/>
      <c r="DR2240" s="103"/>
      <c r="DS2240" s="103"/>
      <c r="DT2240" s="103"/>
      <c r="DU2240" s="103"/>
      <c r="DV2240" s="103"/>
      <c r="DW2240" s="103"/>
      <c r="DX2240" s="103"/>
      <c r="DY2240" s="103"/>
      <c r="DZ2240" s="103"/>
      <c r="EA2240" s="103"/>
      <c r="EB2240" s="103"/>
      <c r="EC2240" s="103"/>
      <c r="ED2240" s="103"/>
      <c r="EE2240" s="103"/>
      <c r="EF2240" s="103"/>
      <c r="EG2240" s="103"/>
      <c r="EH2240" s="103"/>
      <c r="EI2240" s="103"/>
      <c r="EJ2240" s="103"/>
      <c r="EK2240" s="103"/>
      <c r="EL2240" s="103"/>
      <c r="EM2240" s="103"/>
      <c r="EN2240" s="103"/>
      <c r="EO2240" s="103"/>
      <c r="EP2240" s="103"/>
      <c r="EQ2240" s="103"/>
      <c r="ER2240" s="103"/>
      <c r="ES2240" s="103"/>
      <c r="ET2240" s="103"/>
      <c r="EU2240" s="103"/>
      <c r="EV2240" s="103"/>
      <c r="EW2240" s="103"/>
      <c r="EX2240" s="103"/>
      <c r="EY2240" s="103"/>
      <c r="EZ2240" s="103"/>
      <c r="FA2240" s="103"/>
      <c r="FB2240" s="103"/>
      <c r="FC2240" s="103"/>
      <c r="FD2240" s="103"/>
      <c r="FE2240" s="103"/>
      <c r="FF2240" s="103"/>
      <c r="FG2240" s="103"/>
      <c r="FH2240" s="103"/>
      <c r="FI2240" s="103"/>
      <c r="FJ2240" s="103"/>
      <c r="FK2240" s="103"/>
      <c r="FL2240" s="103"/>
      <c r="FM2240" s="103"/>
      <c r="FN2240" s="103"/>
      <c r="FO2240" s="103"/>
      <c r="FP2240" s="103"/>
      <c r="FQ2240" s="103"/>
      <c r="FR2240" s="103"/>
      <c r="FS2240" s="103"/>
      <c r="FT2240" s="103"/>
      <c r="FU2240" s="103"/>
      <c r="FV2240" s="103"/>
      <c r="FW2240" s="103"/>
      <c r="FX2240" s="103"/>
      <c r="FY2240" s="103"/>
      <c r="FZ2240" s="103"/>
      <c r="GA2240" s="103"/>
      <c r="GB2240" s="103"/>
      <c r="GC2240" s="103"/>
      <c r="GD2240" s="103"/>
      <c r="GE2240" s="103"/>
      <c r="GF2240" s="103"/>
      <c r="GG2240" s="103"/>
      <c r="GH2240" s="103"/>
      <c r="GI2240" s="103"/>
      <c r="GJ2240" s="103"/>
      <c r="GK2240" s="103"/>
      <c r="GL2240" s="103"/>
      <c r="GM2240" s="103"/>
      <c r="GN2240" s="103"/>
      <c r="GO2240" s="103"/>
      <c r="GP2240" s="103"/>
      <c r="GQ2240" s="103"/>
      <c r="GR2240" s="103"/>
      <c r="GS2240" s="103"/>
      <c r="GT2240" s="103"/>
      <c r="GU2240" s="103"/>
      <c r="GV2240" s="103"/>
      <c r="GW2240" s="103"/>
      <c r="GX2240" s="103"/>
      <c r="GY2240" s="103"/>
      <c r="GZ2240" s="103"/>
      <c r="HA2240" s="103"/>
      <c r="HB2240" s="103"/>
      <c r="HC2240" s="103"/>
      <c r="HD2240" s="103"/>
      <c r="HE2240" s="103"/>
      <c r="HF2240" s="103"/>
      <c r="HG2240" s="103"/>
      <c r="HH2240" s="103"/>
      <c r="HI2240" s="103"/>
      <c r="HJ2240" s="103"/>
      <c r="HK2240" s="103"/>
      <c r="HL2240" s="103"/>
      <c r="HM2240" s="103"/>
      <c r="HN2240" s="103"/>
      <c r="HO2240" s="103"/>
      <c r="HP2240" s="103"/>
      <c r="HQ2240" s="103"/>
      <c r="HR2240" s="103"/>
      <c r="HS2240" s="103"/>
      <c r="HT2240" s="103"/>
      <c r="HU2240" s="103"/>
      <c r="HV2240" s="103"/>
      <c r="HW2240" s="103"/>
      <c r="HX2240" s="103"/>
      <c r="HY2240" s="103"/>
      <c r="HZ2240" s="103"/>
      <c r="IA2240" s="103"/>
      <c r="IB2240" s="103"/>
      <c r="IC2240" s="103"/>
      <c r="ID2240" s="103"/>
      <c r="IE2240" s="103"/>
      <c r="IF2240" s="103"/>
      <c r="IG2240" s="103"/>
      <c r="IH2240" s="103"/>
      <c r="II2240" s="103"/>
      <c r="IJ2240" s="103"/>
      <c r="IK2240" s="103"/>
      <c r="IL2240" s="103"/>
      <c r="IM2240" s="103"/>
      <c r="IN2240" s="103"/>
      <c r="IO2240" s="103"/>
      <c r="IP2240" s="103"/>
      <c r="IQ2240" s="103"/>
      <c r="IR2240" s="103"/>
      <c r="IS2240" s="103"/>
      <c r="IT2240" s="103"/>
      <c r="IU2240" s="103"/>
      <c r="IV2240" s="103"/>
      <c r="IW2240" s="103"/>
    </row>
    <row r="2241" customFormat="false" ht="17.6" hidden="false" customHeight="false" outlineLevel="0" collapsed="false">
      <c r="A2241" s="91" t="s">
        <v>2465</v>
      </c>
      <c r="B2241" s="90" t="s">
        <v>40</v>
      </c>
      <c r="C2241" s="90" t="n">
        <f aca="false">886*0.56</f>
        <v>496.16</v>
      </c>
      <c r="D2241" s="103" t="s">
        <v>2455</v>
      </c>
      <c r="E2241" s="103"/>
      <c r="F2241" s="103"/>
      <c r="G2241" s="103"/>
      <c r="H2241" s="103"/>
      <c r="I2241" s="103"/>
      <c r="J2241" s="103"/>
      <c r="K2241" s="103"/>
      <c r="L2241" s="103"/>
      <c r="M2241" s="103"/>
      <c r="N2241" s="103"/>
      <c r="O2241" s="104"/>
      <c r="P2241" s="103"/>
      <c r="Q2241" s="103"/>
      <c r="R2241" s="103"/>
      <c r="S2241" s="103"/>
      <c r="T2241" s="103"/>
      <c r="U2241" s="103"/>
      <c r="V2241" s="103"/>
      <c r="W2241" s="103"/>
      <c r="X2241" s="103"/>
      <c r="Y2241" s="103"/>
      <c r="Z2241" s="103"/>
      <c r="AA2241" s="103"/>
      <c r="AB2241" s="103"/>
      <c r="AC2241" s="103"/>
      <c r="AD2241" s="103"/>
      <c r="AE2241" s="103"/>
      <c r="AF2241" s="103"/>
      <c r="AG2241" s="103"/>
      <c r="AH2241" s="103"/>
      <c r="AI2241" s="103"/>
      <c r="AJ2241" s="103"/>
      <c r="AK2241" s="103"/>
      <c r="AL2241" s="103"/>
      <c r="AM2241" s="103"/>
      <c r="AN2241" s="103"/>
      <c r="AO2241" s="103"/>
      <c r="AP2241" s="103"/>
      <c r="AQ2241" s="103"/>
      <c r="AR2241" s="103"/>
      <c r="AS2241" s="103"/>
      <c r="AT2241" s="103"/>
      <c r="AU2241" s="103"/>
      <c r="AV2241" s="103"/>
      <c r="AW2241" s="103"/>
      <c r="AX2241" s="103"/>
      <c r="AY2241" s="103"/>
      <c r="AZ2241" s="103"/>
      <c r="BA2241" s="103"/>
      <c r="BB2241" s="103"/>
      <c r="BC2241" s="103"/>
      <c r="BD2241" s="103"/>
      <c r="BE2241" s="103"/>
      <c r="BF2241" s="103"/>
      <c r="BG2241" s="103"/>
      <c r="BH2241" s="103"/>
      <c r="BI2241" s="103"/>
      <c r="BJ2241" s="103"/>
      <c r="BK2241" s="103"/>
      <c r="BL2241" s="103"/>
      <c r="BM2241" s="103"/>
      <c r="BN2241" s="103"/>
      <c r="BO2241" s="103"/>
      <c r="BP2241" s="103"/>
      <c r="BQ2241" s="103"/>
      <c r="BR2241" s="103"/>
      <c r="BS2241" s="103"/>
      <c r="BT2241" s="103"/>
      <c r="BU2241" s="103"/>
      <c r="BV2241" s="103"/>
      <c r="BW2241" s="103"/>
      <c r="BX2241" s="103"/>
      <c r="BY2241" s="103"/>
      <c r="BZ2241" s="103"/>
      <c r="CA2241" s="103"/>
      <c r="CB2241" s="103"/>
      <c r="CC2241" s="103"/>
      <c r="CD2241" s="103"/>
      <c r="CE2241" s="103"/>
      <c r="CF2241" s="103"/>
      <c r="CG2241" s="103"/>
      <c r="CH2241" s="103"/>
      <c r="CI2241" s="103"/>
      <c r="CJ2241" s="103"/>
      <c r="CK2241" s="103"/>
      <c r="CL2241" s="103"/>
      <c r="CM2241" s="103"/>
      <c r="CN2241" s="103"/>
      <c r="CO2241" s="103"/>
      <c r="CP2241" s="103"/>
      <c r="CQ2241" s="103"/>
      <c r="CR2241" s="103"/>
      <c r="CS2241" s="103"/>
      <c r="CT2241" s="103"/>
      <c r="CU2241" s="103"/>
      <c r="CV2241" s="103"/>
      <c r="CW2241" s="103"/>
      <c r="CX2241" s="103"/>
      <c r="CY2241" s="103"/>
      <c r="CZ2241" s="103"/>
      <c r="DA2241" s="103"/>
      <c r="DB2241" s="103"/>
      <c r="DC2241" s="103"/>
      <c r="DD2241" s="103"/>
      <c r="DE2241" s="103"/>
      <c r="DF2241" s="103"/>
      <c r="DG2241" s="103"/>
      <c r="DH2241" s="103"/>
      <c r="DI2241" s="103"/>
      <c r="DJ2241" s="103"/>
      <c r="DK2241" s="103"/>
      <c r="DL2241" s="103"/>
      <c r="DM2241" s="103"/>
      <c r="DN2241" s="103"/>
      <c r="DO2241" s="103"/>
      <c r="DP2241" s="103"/>
      <c r="DQ2241" s="103"/>
      <c r="DR2241" s="103"/>
      <c r="DS2241" s="103"/>
      <c r="DT2241" s="103"/>
      <c r="DU2241" s="103"/>
      <c r="DV2241" s="103"/>
      <c r="DW2241" s="103"/>
      <c r="DX2241" s="103"/>
      <c r="DY2241" s="103"/>
      <c r="DZ2241" s="103"/>
      <c r="EA2241" s="103"/>
      <c r="EB2241" s="103"/>
      <c r="EC2241" s="103"/>
      <c r="ED2241" s="103"/>
      <c r="EE2241" s="103"/>
      <c r="EF2241" s="103"/>
      <c r="EG2241" s="103"/>
      <c r="EH2241" s="103"/>
      <c r="EI2241" s="103"/>
      <c r="EJ2241" s="103"/>
      <c r="EK2241" s="103"/>
      <c r="EL2241" s="103"/>
      <c r="EM2241" s="103"/>
      <c r="EN2241" s="103"/>
      <c r="EO2241" s="103"/>
      <c r="EP2241" s="103"/>
      <c r="EQ2241" s="103"/>
      <c r="ER2241" s="103"/>
      <c r="ES2241" s="103"/>
      <c r="ET2241" s="103"/>
      <c r="EU2241" s="103"/>
      <c r="EV2241" s="103"/>
      <c r="EW2241" s="103"/>
      <c r="EX2241" s="103"/>
      <c r="EY2241" s="103"/>
      <c r="EZ2241" s="103"/>
      <c r="FA2241" s="103"/>
      <c r="FB2241" s="103"/>
      <c r="FC2241" s="103"/>
      <c r="FD2241" s="103"/>
      <c r="FE2241" s="103"/>
      <c r="FF2241" s="103"/>
      <c r="FG2241" s="103"/>
      <c r="FH2241" s="103"/>
      <c r="FI2241" s="103"/>
      <c r="FJ2241" s="103"/>
      <c r="FK2241" s="103"/>
      <c r="FL2241" s="103"/>
      <c r="FM2241" s="103"/>
      <c r="FN2241" s="103"/>
      <c r="FO2241" s="103"/>
      <c r="FP2241" s="103"/>
      <c r="FQ2241" s="103"/>
      <c r="FR2241" s="103"/>
      <c r="FS2241" s="103"/>
      <c r="FT2241" s="103"/>
      <c r="FU2241" s="103"/>
      <c r="FV2241" s="103"/>
      <c r="FW2241" s="103"/>
      <c r="FX2241" s="103"/>
      <c r="FY2241" s="103"/>
      <c r="FZ2241" s="103"/>
      <c r="GA2241" s="103"/>
      <c r="GB2241" s="103"/>
      <c r="GC2241" s="103"/>
      <c r="GD2241" s="103"/>
      <c r="GE2241" s="103"/>
      <c r="GF2241" s="103"/>
      <c r="GG2241" s="103"/>
      <c r="GH2241" s="103"/>
      <c r="GI2241" s="103"/>
      <c r="GJ2241" s="103"/>
      <c r="GK2241" s="103"/>
      <c r="GL2241" s="103"/>
      <c r="GM2241" s="103"/>
      <c r="GN2241" s="103"/>
      <c r="GO2241" s="103"/>
      <c r="GP2241" s="103"/>
      <c r="GQ2241" s="103"/>
      <c r="GR2241" s="103"/>
      <c r="GS2241" s="103"/>
      <c r="GT2241" s="103"/>
      <c r="GU2241" s="103"/>
      <c r="GV2241" s="103"/>
      <c r="GW2241" s="103"/>
      <c r="GX2241" s="103"/>
      <c r="GY2241" s="103"/>
      <c r="GZ2241" s="103"/>
      <c r="HA2241" s="103"/>
      <c r="HB2241" s="103"/>
      <c r="HC2241" s="103"/>
      <c r="HD2241" s="103"/>
      <c r="HE2241" s="103"/>
      <c r="HF2241" s="103"/>
      <c r="HG2241" s="103"/>
      <c r="HH2241" s="103"/>
      <c r="HI2241" s="103"/>
      <c r="HJ2241" s="103"/>
      <c r="HK2241" s="103"/>
      <c r="HL2241" s="103"/>
      <c r="HM2241" s="103"/>
      <c r="HN2241" s="103"/>
      <c r="HO2241" s="103"/>
      <c r="HP2241" s="103"/>
      <c r="HQ2241" s="103"/>
      <c r="HR2241" s="103"/>
      <c r="HS2241" s="103"/>
      <c r="HT2241" s="103"/>
      <c r="HU2241" s="103"/>
      <c r="HV2241" s="103"/>
      <c r="HW2241" s="103"/>
      <c r="HX2241" s="103"/>
      <c r="HY2241" s="103"/>
      <c r="HZ2241" s="103"/>
      <c r="IA2241" s="103"/>
      <c r="IB2241" s="103"/>
      <c r="IC2241" s="103"/>
      <c r="ID2241" s="103"/>
      <c r="IE2241" s="103"/>
      <c r="IF2241" s="103"/>
      <c r="IG2241" s="103"/>
      <c r="IH2241" s="103"/>
      <c r="II2241" s="103"/>
      <c r="IJ2241" s="103"/>
      <c r="IK2241" s="103"/>
      <c r="IL2241" s="103"/>
      <c r="IM2241" s="103"/>
      <c r="IN2241" s="103"/>
      <c r="IO2241" s="103"/>
      <c r="IP2241" s="103"/>
      <c r="IQ2241" s="103"/>
      <c r="IR2241" s="103"/>
      <c r="IS2241" s="103"/>
      <c r="IT2241" s="103"/>
      <c r="IU2241" s="103"/>
      <c r="IV2241" s="103"/>
      <c r="IW2241" s="103"/>
    </row>
    <row r="2242" customFormat="false" ht="17.6" hidden="false" customHeight="false" outlineLevel="0" collapsed="false">
      <c r="A2242" s="91" t="s">
        <v>2466</v>
      </c>
      <c r="B2242" s="90" t="s">
        <v>40</v>
      </c>
      <c r="C2242" s="90" t="n">
        <f aca="false">1120*0.56</f>
        <v>627.2</v>
      </c>
      <c r="D2242" s="103" t="s">
        <v>2455</v>
      </c>
      <c r="E2242" s="103"/>
      <c r="F2242" s="103"/>
      <c r="G2242" s="103"/>
      <c r="H2242" s="103"/>
      <c r="I2242" s="103"/>
      <c r="J2242" s="103"/>
      <c r="K2242" s="103"/>
      <c r="L2242" s="103"/>
      <c r="M2242" s="103"/>
      <c r="N2242" s="103"/>
      <c r="O2242" s="104"/>
      <c r="P2242" s="103"/>
      <c r="Q2242" s="103"/>
      <c r="R2242" s="103"/>
      <c r="S2242" s="103"/>
      <c r="T2242" s="103"/>
      <c r="U2242" s="103"/>
      <c r="V2242" s="103"/>
      <c r="W2242" s="103"/>
      <c r="X2242" s="103"/>
      <c r="Y2242" s="103"/>
      <c r="Z2242" s="103"/>
      <c r="AA2242" s="103"/>
      <c r="AB2242" s="103"/>
      <c r="AC2242" s="103"/>
      <c r="AD2242" s="103"/>
      <c r="AE2242" s="103"/>
      <c r="AF2242" s="103"/>
      <c r="AG2242" s="103"/>
      <c r="AH2242" s="103"/>
      <c r="AI2242" s="103"/>
      <c r="AJ2242" s="103"/>
      <c r="AK2242" s="103"/>
      <c r="AL2242" s="103"/>
      <c r="AM2242" s="103"/>
      <c r="AN2242" s="103"/>
      <c r="AO2242" s="103"/>
      <c r="AP2242" s="103"/>
      <c r="AQ2242" s="103"/>
      <c r="AR2242" s="103"/>
      <c r="AS2242" s="103"/>
      <c r="AT2242" s="103"/>
      <c r="AU2242" s="103"/>
      <c r="AV2242" s="103"/>
      <c r="AW2242" s="103"/>
      <c r="AX2242" s="103"/>
      <c r="AY2242" s="103"/>
      <c r="AZ2242" s="103"/>
      <c r="BA2242" s="103"/>
      <c r="BB2242" s="103"/>
      <c r="BC2242" s="103"/>
      <c r="BD2242" s="103"/>
      <c r="BE2242" s="103"/>
      <c r="BF2242" s="103"/>
      <c r="BG2242" s="103"/>
      <c r="BH2242" s="103"/>
      <c r="BI2242" s="103"/>
      <c r="BJ2242" s="103"/>
      <c r="BK2242" s="103"/>
      <c r="BL2242" s="103"/>
      <c r="BM2242" s="103"/>
      <c r="BN2242" s="103"/>
      <c r="BO2242" s="103"/>
      <c r="BP2242" s="103"/>
      <c r="BQ2242" s="103"/>
      <c r="BR2242" s="103"/>
      <c r="BS2242" s="103"/>
      <c r="BT2242" s="103"/>
      <c r="BU2242" s="103"/>
      <c r="BV2242" s="103"/>
      <c r="BW2242" s="103"/>
      <c r="BX2242" s="103"/>
      <c r="BY2242" s="103"/>
      <c r="BZ2242" s="103"/>
      <c r="CA2242" s="103"/>
      <c r="CB2242" s="103"/>
      <c r="CC2242" s="103"/>
      <c r="CD2242" s="103"/>
      <c r="CE2242" s="103"/>
      <c r="CF2242" s="103"/>
      <c r="CG2242" s="103"/>
      <c r="CH2242" s="103"/>
      <c r="CI2242" s="103"/>
      <c r="CJ2242" s="103"/>
      <c r="CK2242" s="103"/>
      <c r="CL2242" s="103"/>
      <c r="CM2242" s="103"/>
      <c r="CN2242" s="103"/>
      <c r="CO2242" s="103"/>
      <c r="CP2242" s="103"/>
      <c r="CQ2242" s="103"/>
      <c r="CR2242" s="103"/>
      <c r="CS2242" s="103"/>
      <c r="CT2242" s="103"/>
      <c r="CU2242" s="103"/>
      <c r="CV2242" s="103"/>
      <c r="CW2242" s="103"/>
      <c r="CX2242" s="103"/>
      <c r="CY2242" s="103"/>
      <c r="CZ2242" s="103"/>
      <c r="DA2242" s="103"/>
      <c r="DB2242" s="103"/>
      <c r="DC2242" s="103"/>
      <c r="DD2242" s="103"/>
      <c r="DE2242" s="103"/>
      <c r="DF2242" s="103"/>
      <c r="DG2242" s="103"/>
      <c r="DH2242" s="103"/>
      <c r="DI2242" s="103"/>
      <c r="DJ2242" s="103"/>
      <c r="DK2242" s="103"/>
      <c r="DL2242" s="103"/>
      <c r="DM2242" s="103"/>
      <c r="DN2242" s="103"/>
      <c r="DO2242" s="103"/>
      <c r="DP2242" s="103"/>
      <c r="DQ2242" s="103"/>
      <c r="DR2242" s="103"/>
      <c r="DS2242" s="103"/>
      <c r="DT2242" s="103"/>
      <c r="DU2242" s="103"/>
      <c r="DV2242" s="103"/>
      <c r="DW2242" s="103"/>
      <c r="DX2242" s="103"/>
      <c r="DY2242" s="103"/>
      <c r="DZ2242" s="103"/>
      <c r="EA2242" s="103"/>
      <c r="EB2242" s="103"/>
      <c r="EC2242" s="103"/>
      <c r="ED2242" s="103"/>
      <c r="EE2242" s="103"/>
      <c r="EF2242" s="103"/>
      <c r="EG2242" s="103"/>
      <c r="EH2242" s="103"/>
      <c r="EI2242" s="103"/>
      <c r="EJ2242" s="103"/>
      <c r="EK2242" s="103"/>
      <c r="EL2242" s="103"/>
      <c r="EM2242" s="103"/>
      <c r="EN2242" s="103"/>
      <c r="EO2242" s="103"/>
      <c r="EP2242" s="103"/>
      <c r="EQ2242" s="103"/>
      <c r="ER2242" s="103"/>
      <c r="ES2242" s="103"/>
      <c r="ET2242" s="103"/>
      <c r="EU2242" s="103"/>
      <c r="EV2242" s="103"/>
      <c r="EW2242" s="103"/>
      <c r="EX2242" s="103"/>
      <c r="EY2242" s="103"/>
      <c r="EZ2242" s="103"/>
      <c r="FA2242" s="103"/>
      <c r="FB2242" s="103"/>
      <c r="FC2242" s="103"/>
      <c r="FD2242" s="103"/>
      <c r="FE2242" s="103"/>
      <c r="FF2242" s="103"/>
      <c r="FG2242" s="103"/>
      <c r="FH2242" s="103"/>
      <c r="FI2242" s="103"/>
      <c r="FJ2242" s="103"/>
      <c r="FK2242" s="103"/>
      <c r="FL2242" s="103"/>
      <c r="FM2242" s="103"/>
      <c r="FN2242" s="103"/>
      <c r="FO2242" s="103"/>
      <c r="FP2242" s="103"/>
      <c r="FQ2242" s="103"/>
      <c r="FR2242" s="103"/>
      <c r="FS2242" s="103"/>
      <c r="FT2242" s="103"/>
      <c r="FU2242" s="103"/>
      <c r="FV2242" s="103"/>
      <c r="FW2242" s="103"/>
      <c r="FX2242" s="103"/>
      <c r="FY2242" s="103"/>
      <c r="FZ2242" s="103"/>
      <c r="GA2242" s="103"/>
      <c r="GB2242" s="103"/>
      <c r="GC2242" s="103"/>
      <c r="GD2242" s="103"/>
      <c r="GE2242" s="103"/>
      <c r="GF2242" s="103"/>
      <c r="GG2242" s="103"/>
      <c r="GH2242" s="103"/>
      <c r="GI2242" s="103"/>
      <c r="GJ2242" s="103"/>
      <c r="GK2242" s="103"/>
      <c r="GL2242" s="103"/>
      <c r="GM2242" s="103"/>
      <c r="GN2242" s="103"/>
      <c r="GO2242" s="103"/>
      <c r="GP2242" s="103"/>
      <c r="GQ2242" s="103"/>
      <c r="GR2242" s="103"/>
      <c r="GS2242" s="103"/>
      <c r="GT2242" s="103"/>
      <c r="GU2242" s="103"/>
      <c r="GV2242" s="103"/>
      <c r="GW2242" s="103"/>
      <c r="GX2242" s="103"/>
      <c r="GY2242" s="103"/>
      <c r="GZ2242" s="103"/>
      <c r="HA2242" s="103"/>
      <c r="HB2242" s="103"/>
      <c r="HC2242" s="103"/>
      <c r="HD2242" s="103"/>
      <c r="HE2242" s="103"/>
      <c r="HF2242" s="103"/>
      <c r="HG2242" s="103"/>
      <c r="HH2242" s="103"/>
      <c r="HI2242" s="103"/>
      <c r="HJ2242" s="103"/>
      <c r="HK2242" s="103"/>
      <c r="HL2242" s="103"/>
      <c r="HM2242" s="103"/>
      <c r="HN2242" s="103"/>
      <c r="HO2242" s="103"/>
      <c r="HP2242" s="103"/>
      <c r="HQ2242" s="103"/>
      <c r="HR2242" s="103"/>
      <c r="HS2242" s="103"/>
      <c r="HT2242" s="103"/>
      <c r="HU2242" s="103"/>
      <c r="HV2242" s="103"/>
      <c r="HW2242" s="103"/>
      <c r="HX2242" s="103"/>
      <c r="HY2242" s="103"/>
      <c r="HZ2242" s="103"/>
      <c r="IA2242" s="103"/>
      <c r="IB2242" s="103"/>
      <c r="IC2242" s="103"/>
      <c r="ID2242" s="103"/>
      <c r="IE2242" s="103"/>
      <c r="IF2242" s="103"/>
      <c r="IG2242" s="103"/>
      <c r="IH2242" s="103"/>
      <c r="II2242" s="103"/>
      <c r="IJ2242" s="103"/>
      <c r="IK2242" s="103"/>
      <c r="IL2242" s="103"/>
      <c r="IM2242" s="103"/>
      <c r="IN2242" s="103"/>
      <c r="IO2242" s="103"/>
      <c r="IP2242" s="103"/>
      <c r="IQ2242" s="103"/>
      <c r="IR2242" s="103"/>
      <c r="IS2242" s="103"/>
      <c r="IT2242" s="103"/>
      <c r="IU2242" s="103"/>
      <c r="IV2242" s="103"/>
      <c r="IW2242" s="103"/>
    </row>
    <row r="2243" customFormat="false" ht="17.6" hidden="false" customHeight="false" outlineLevel="0" collapsed="false">
      <c r="A2243" s="91" t="s">
        <v>2467</v>
      </c>
      <c r="B2243" s="90" t="s">
        <v>40</v>
      </c>
      <c r="C2243" s="90" t="n">
        <f aca="false">1754*0.56</f>
        <v>982.24</v>
      </c>
      <c r="D2243" s="103" t="s">
        <v>2455</v>
      </c>
      <c r="E2243" s="103"/>
      <c r="F2243" s="103"/>
      <c r="G2243" s="103"/>
      <c r="H2243" s="103"/>
      <c r="I2243" s="103"/>
      <c r="J2243" s="103"/>
      <c r="K2243" s="103"/>
      <c r="L2243" s="103"/>
      <c r="M2243" s="103"/>
      <c r="N2243" s="103"/>
      <c r="O2243" s="104"/>
      <c r="P2243" s="103"/>
      <c r="Q2243" s="103"/>
      <c r="R2243" s="103"/>
      <c r="S2243" s="103"/>
      <c r="T2243" s="103"/>
      <c r="U2243" s="103"/>
      <c r="V2243" s="103"/>
      <c r="W2243" s="103"/>
      <c r="X2243" s="103"/>
      <c r="Y2243" s="103"/>
      <c r="Z2243" s="103"/>
      <c r="AA2243" s="103"/>
      <c r="AB2243" s="103"/>
      <c r="AC2243" s="103"/>
      <c r="AD2243" s="103"/>
      <c r="AE2243" s="103"/>
      <c r="AF2243" s="103"/>
      <c r="AG2243" s="103"/>
      <c r="AH2243" s="103"/>
      <c r="AI2243" s="103"/>
      <c r="AJ2243" s="103"/>
      <c r="AK2243" s="103"/>
      <c r="AL2243" s="103"/>
      <c r="AM2243" s="103"/>
      <c r="AN2243" s="103"/>
      <c r="AO2243" s="103"/>
      <c r="AP2243" s="103"/>
      <c r="AQ2243" s="103"/>
      <c r="AR2243" s="103"/>
      <c r="AS2243" s="103"/>
      <c r="AT2243" s="103"/>
      <c r="AU2243" s="103"/>
      <c r="AV2243" s="103"/>
      <c r="AW2243" s="103"/>
      <c r="AX2243" s="103"/>
      <c r="AY2243" s="103"/>
      <c r="AZ2243" s="103"/>
      <c r="BA2243" s="103"/>
      <c r="BB2243" s="103"/>
      <c r="BC2243" s="103"/>
      <c r="BD2243" s="103"/>
      <c r="BE2243" s="103"/>
      <c r="BF2243" s="103"/>
      <c r="BG2243" s="103"/>
      <c r="BH2243" s="103"/>
      <c r="BI2243" s="103"/>
      <c r="BJ2243" s="103"/>
      <c r="BK2243" s="103"/>
      <c r="BL2243" s="103"/>
      <c r="BM2243" s="103"/>
      <c r="BN2243" s="103"/>
      <c r="BO2243" s="103"/>
      <c r="BP2243" s="103"/>
      <c r="BQ2243" s="103"/>
      <c r="BR2243" s="103"/>
      <c r="BS2243" s="103"/>
      <c r="BT2243" s="103"/>
      <c r="BU2243" s="103"/>
      <c r="BV2243" s="103"/>
      <c r="BW2243" s="103"/>
      <c r="BX2243" s="103"/>
      <c r="BY2243" s="103"/>
      <c r="BZ2243" s="103"/>
      <c r="CA2243" s="103"/>
      <c r="CB2243" s="103"/>
      <c r="CC2243" s="103"/>
      <c r="CD2243" s="103"/>
      <c r="CE2243" s="103"/>
      <c r="CF2243" s="103"/>
      <c r="CG2243" s="103"/>
      <c r="CH2243" s="103"/>
      <c r="CI2243" s="103"/>
      <c r="CJ2243" s="103"/>
      <c r="CK2243" s="103"/>
      <c r="CL2243" s="103"/>
      <c r="CM2243" s="103"/>
      <c r="CN2243" s="103"/>
      <c r="CO2243" s="103"/>
      <c r="CP2243" s="103"/>
      <c r="CQ2243" s="103"/>
      <c r="CR2243" s="103"/>
      <c r="CS2243" s="103"/>
      <c r="CT2243" s="103"/>
      <c r="CU2243" s="103"/>
      <c r="CV2243" s="103"/>
      <c r="CW2243" s="103"/>
      <c r="CX2243" s="103"/>
      <c r="CY2243" s="103"/>
      <c r="CZ2243" s="103"/>
      <c r="DA2243" s="103"/>
      <c r="DB2243" s="103"/>
      <c r="DC2243" s="103"/>
      <c r="DD2243" s="103"/>
      <c r="DE2243" s="103"/>
      <c r="DF2243" s="103"/>
      <c r="DG2243" s="103"/>
      <c r="DH2243" s="103"/>
      <c r="DI2243" s="103"/>
      <c r="DJ2243" s="103"/>
      <c r="DK2243" s="103"/>
      <c r="DL2243" s="103"/>
      <c r="DM2243" s="103"/>
      <c r="DN2243" s="103"/>
      <c r="DO2243" s="103"/>
      <c r="DP2243" s="103"/>
      <c r="DQ2243" s="103"/>
      <c r="DR2243" s="103"/>
      <c r="DS2243" s="103"/>
      <c r="DT2243" s="103"/>
      <c r="DU2243" s="103"/>
      <c r="DV2243" s="103"/>
      <c r="DW2243" s="103"/>
      <c r="DX2243" s="103"/>
      <c r="DY2243" s="103"/>
      <c r="DZ2243" s="103"/>
      <c r="EA2243" s="103"/>
      <c r="EB2243" s="103"/>
      <c r="EC2243" s="103"/>
      <c r="ED2243" s="103"/>
      <c r="EE2243" s="103"/>
      <c r="EF2243" s="103"/>
      <c r="EG2243" s="103"/>
      <c r="EH2243" s="103"/>
      <c r="EI2243" s="103"/>
      <c r="EJ2243" s="103"/>
      <c r="EK2243" s="103"/>
      <c r="EL2243" s="103"/>
      <c r="EM2243" s="103"/>
      <c r="EN2243" s="103"/>
      <c r="EO2243" s="103"/>
      <c r="EP2243" s="103"/>
      <c r="EQ2243" s="103"/>
      <c r="ER2243" s="103"/>
      <c r="ES2243" s="103"/>
      <c r="ET2243" s="103"/>
      <c r="EU2243" s="103"/>
      <c r="EV2243" s="103"/>
      <c r="EW2243" s="103"/>
      <c r="EX2243" s="103"/>
      <c r="EY2243" s="103"/>
      <c r="EZ2243" s="103"/>
      <c r="FA2243" s="103"/>
      <c r="FB2243" s="103"/>
      <c r="FC2243" s="103"/>
      <c r="FD2243" s="103"/>
      <c r="FE2243" s="103"/>
      <c r="FF2243" s="103"/>
      <c r="FG2243" s="103"/>
      <c r="FH2243" s="103"/>
      <c r="FI2243" s="103"/>
      <c r="FJ2243" s="103"/>
      <c r="FK2243" s="103"/>
      <c r="FL2243" s="103"/>
      <c r="FM2243" s="103"/>
      <c r="FN2243" s="103"/>
      <c r="FO2243" s="103"/>
      <c r="FP2243" s="103"/>
      <c r="FQ2243" s="103"/>
      <c r="FR2243" s="103"/>
      <c r="FS2243" s="103"/>
      <c r="FT2243" s="103"/>
      <c r="FU2243" s="103"/>
      <c r="FV2243" s="103"/>
      <c r="FW2243" s="103"/>
      <c r="FX2243" s="103"/>
      <c r="FY2243" s="103"/>
      <c r="FZ2243" s="103"/>
      <c r="GA2243" s="103"/>
      <c r="GB2243" s="103"/>
      <c r="GC2243" s="103"/>
      <c r="GD2243" s="103"/>
      <c r="GE2243" s="103"/>
      <c r="GF2243" s="103"/>
      <c r="GG2243" s="103"/>
      <c r="GH2243" s="103"/>
      <c r="GI2243" s="103"/>
      <c r="GJ2243" s="103"/>
      <c r="GK2243" s="103"/>
      <c r="GL2243" s="103"/>
      <c r="GM2243" s="103"/>
      <c r="GN2243" s="103"/>
      <c r="GO2243" s="103"/>
      <c r="GP2243" s="103"/>
      <c r="GQ2243" s="103"/>
      <c r="GR2243" s="103"/>
      <c r="GS2243" s="103"/>
      <c r="GT2243" s="103"/>
      <c r="GU2243" s="103"/>
      <c r="GV2243" s="103"/>
      <c r="GW2243" s="103"/>
      <c r="GX2243" s="103"/>
      <c r="GY2243" s="103"/>
      <c r="GZ2243" s="103"/>
      <c r="HA2243" s="103"/>
      <c r="HB2243" s="103"/>
      <c r="HC2243" s="103"/>
      <c r="HD2243" s="103"/>
      <c r="HE2243" s="103"/>
      <c r="HF2243" s="103"/>
      <c r="HG2243" s="103"/>
      <c r="HH2243" s="103"/>
      <c r="HI2243" s="103"/>
      <c r="HJ2243" s="103"/>
      <c r="HK2243" s="103"/>
      <c r="HL2243" s="103"/>
      <c r="HM2243" s="103"/>
      <c r="HN2243" s="103"/>
      <c r="HO2243" s="103"/>
      <c r="HP2243" s="103"/>
      <c r="HQ2243" s="103"/>
      <c r="HR2243" s="103"/>
      <c r="HS2243" s="103"/>
      <c r="HT2243" s="103"/>
      <c r="HU2243" s="103"/>
      <c r="HV2243" s="103"/>
      <c r="HW2243" s="103"/>
      <c r="HX2243" s="103"/>
      <c r="HY2243" s="103"/>
      <c r="HZ2243" s="103"/>
      <c r="IA2243" s="103"/>
      <c r="IB2243" s="103"/>
      <c r="IC2243" s="103"/>
      <c r="ID2243" s="103"/>
      <c r="IE2243" s="103"/>
      <c r="IF2243" s="103"/>
      <c r="IG2243" s="103"/>
      <c r="IH2243" s="103"/>
      <c r="II2243" s="103"/>
      <c r="IJ2243" s="103"/>
      <c r="IK2243" s="103"/>
      <c r="IL2243" s="103"/>
      <c r="IM2243" s="103"/>
      <c r="IN2243" s="103"/>
      <c r="IO2243" s="103"/>
      <c r="IP2243" s="103"/>
      <c r="IQ2243" s="103"/>
      <c r="IR2243" s="103"/>
      <c r="IS2243" s="103"/>
      <c r="IT2243" s="103"/>
      <c r="IU2243" s="103"/>
      <c r="IV2243" s="103"/>
      <c r="IW2243" s="103"/>
    </row>
    <row r="2244" customFormat="false" ht="17.6" hidden="false" customHeight="false" outlineLevel="0" collapsed="false">
      <c r="A2244" s="91" t="s">
        <v>2468</v>
      </c>
      <c r="B2244" s="90" t="s">
        <v>40</v>
      </c>
      <c r="C2244" s="90" t="n">
        <f aca="false">886*0.56</f>
        <v>496.16</v>
      </c>
      <c r="D2244" s="103" t="s">
        <v>2455</v>
      </c>
      <c r="E2244" s="103"/>
      <c r="F2244" s="103"/>
      <c r="G2244" s="103"/>
      <c r="H2244" s="103"/>
      <c r="I2244" s="103"/>
      <c r="J2244" s="103"/>
      <c r="K2244" s="103"/>
      <c r="L2244" s="103"/>
      <c r="M2244" s="103"/>
      <c r="N2244" s="103"/>
      <c r="O2244" s="104"/>
      <c r="P2244" s="103"/>
      <c r="Q2244" s="103"/>
      <c r="R2244" s="103"/>
      <c r="S2244" s="103"/>
      <c r="T2244" s="103"/>
      <c r="U2244" s="103"/>
      <c r="V2244" s="103"/>
      <c r="W2244" s="103"/>
      <c r="X2244" s="103"/>
      <c r="Y2244" s="103"/>
      <c r="Z2244" s="103"/>
      <c r="AA2244" s="103"/>
      <c r="AB2244" s="103"/>
      <c r="AC2244" s="103"/>
      <c r="AD2244" s="103"/>
      <c r="AE2244" s="103"/>
      <c r="AF2244" s="103"/>
      <c r="AG2244" s="103"/>
      <c r="AH2244" s="103"/>
      <c r="AI2244" s="103"/>
      <c r="AJ2244" s="103"/>
      <c r="AK2244" s="103"/>
      <c r="AL2244" s="103"/>
      <c r="AM2244" s="103"/>
      <c r="AN2244" s="103"/>
      <c r="AO2244" s="103"/>
      <c r="AP2244" s="103"/>
      <c r="AQ2244" s="103"/>
      <c r="AR2244" s="103"/>
      <c r="AS2244" s="103"/>
      <c r="AT2244" s="103"/>
      <c r="AU2244" s="103"/>
      <c r="AV2244" s="103"/>
      <c r="AW2244" s="103"/>
      <c r="AX2244" s="103"/>
      <c r="AY2244" s="103"/>
      <c r="AZ2244" s="103"/>
      <c r="BA2244" s="103"/>
      <c r="BB2244" s="103"/>
      <c r="BC2244" s="103"/>
      <c r="BD2244" s="103"/>
      <c r="BE2244" s="103"/>
      <c r="BF2244" s="103"/>
      <c r="BG2244" s="103"/>
      <c r="BH2244" s="103"/>
      <c r="BI2244" s="103"/>
      <c r="BJ2244" s="103"/>
      <c r="BK2244" s="103"/>
      <c r="BL2244" s="103"/>
      <c r="BM2244" s="103"/>
      <c r="BN2244" s="103"/>
      <c r="BO2244" s="103"/>
      <c r="BP2244" s="103"/>
      <c r="BQ2244" s="103"/>
      <c r="BR2244" s="103"/>
      <c r="BS2244" s="103"/>
      <c r="BT2244" s="103"/>
      <c r="BU2244" s="103"/>
      <c r="BV2244" s="103"/>
      <c r="BW2244" s="103"/>
      <c r="BX2244" s="103"/>
      <c r="BY2244" s="103"/>
      <c r="BZ2244" s="103"/>
      <c r="CA2244" s="103"/>
      <c r="CB2244" s="103"/>
      <c r="CC2244" s="103"/>
      <c r="CD2244" s="103"/>
      <c r="CE2244" s="103"/>
      <c r="CF2244" s="103"/>
      <c r="CG2244" s="103"/>
      <c r="CH2244" s="103"/>
      <c r="CI2244" s="103"/>
      <c r="CJ2244" s="103"/>
      <c r="CK2244" s="103"/>
      <c r="CL2244" s="103"/>
      <c r="CM2244" s="103"/>
      <c r="CN2244" s="103"/>
      <c r="CO2244" s="103"/>
      <c r="CP2244" s="103"/>
      <c r="CQ2244" s="103"/>
      <c r="CR2244" s="103"/>
      <c r="CS2244" s="103"/>
      <c r="CT2244" s="103"/>
      <c r="CU2244" s="103"/>
      <c r="CV2244" s="103"/>
      <c r="CW2244" s="103"/>
      <c r="CX2244" s="103"/>
      <c r="CY2244" s="103"/>
      <c r="CZ2244" s="103"/>
      <c r="DA2244" s="103"/>
      <c r="DB2244" s="103"/>
      <c r="DC2244" s="103"/>
      <c r="DD2244" s="103"/>
      <c r="DE2244" s="103"/>
      <c r="DF2244" s="103"/>
      <c r="DG2244" s="103"/>
      <c r="DH2244" s="103"/>
      <c r="DI2244" s="103"/>
      <c r="DJ2244" s="103"/>
      <c r="DK2244" s="103"/>
      <c r="DL2244" s="103"/>
      <c r="DM2244" s="103"/>
      <c r="DN2244" s="103"/>
      <c r="DO2244" s="103"/>
      <c r="DP2244" s="103"/>
      <c r="DQ2244" s="103"/>
      <c r="DR2244" s="103"/>
      <c r="DS2244" s="103"/>
      <c r="DT2244" s="103"/>
      <c r="DU2244" s="103"/>
      <c r="DV2244" s="103"/>
      <c r="DW2244" s="103"/>
      <c r="DX2244" s="103"/>
      <c r="DY2244" s="103"/>
      <c r="DZ2244" s="103"/>
      <c r="EA2244" s="103"/>
      <c r="EB2244" s="103"/>
      <c r="EC2244" s="103"/>
      <c r="ED2244" s="103"/>
      <c r="EE2244" s="103"/>
      <c r="EF2244" s="103"/>
      <c r="EG2244" s="103"/>
      <c r="EH2244" s="103"/>
      <c r="EI2244" s="103"/>
      <c r="EJ2244" s="103"/>
      <c r="EK2244" s="103"/>
      <c r="EL2244" s="103"/>
      <c r="EM2244" s="103"/>
      <c r="EN2244" s="103"/>
      <c r="EO2244" s="103"/>
      <c r="EP2244" s="103"/>
      <c r="EQ2244" s="103"/>
      <c r="ER2244" s="103"/>
      <c r="ES2244" s="103"/>
      <c r="ET2244" s="103"/>
      <c r="EU2244" s="103"/>
      <c r="EV2244" s="103"/>
      <c r="EW2244" s="103"/>
      <c r="EX2244" s="103"/>
      <c r="EY2244" s="103"/>
      <c r="EZ2244" s="103"/>
      <c r="FA2244" s="103"/>
      <c r="FB2244" s="103"/>
      <c r="FC2244" s="103"/>
      <c r="FD2244" s="103"/>
      <c r="FE2244" s="103"/>
      <c r="FF2244" s="103"/>
      <c r="FG2244" s="103"/>
      <c r="FH2244" s="103"/>
      <c r="FI2244" s="103"/>
      <c r="FJ2244" s="103"/>
      <c r="FK2244" s="103"/>
      <c r="FL2244" s="103"/>
      <c r="FM2244" s="103"/>
      <c r="FN2244" s="103"/>
      <c r="FO2244" s="103"/>
      <c r="FP2244" s="103"/>
      <c r="FQ2244" s="103"/>
      <c r="FR2244" s="103"/>
      <c r="FS2244" s="103"/>
      <c r="FT2244" s="103"/>
      <c r="FU2244" s="103"/>
      <c r="FV2244" s="103"/>
      <c r="FW2244" s="103"/>
      <c r="FX2244" s="103"/>
      <c r="FY2244" s="103"/>
      <c r="FZ2244" s="103"/>
      <c r="GA2244" s="103"/>
      <c r="GB2244" s="103"/>
      <c r="GC2244" s="103"/>
      <c r="GD2244" s="103"/>
      <c r="GE2244" s="103"/>
      <c r="GF2244" s="103"/>
      <c r="GG2244" s="103"/>
      <c r="GH2244" s="103"/>
      <c r="GI2244" s="103"/>
      <c r="GJ2244" s="103"/>
      <c r="GK2244" s="103"/>
      <c r="GL2244" s="103"/>
      <c r="GM2244" s="103"/>
      <c r="GN2244" s="103"/>
      <c r="GO2244" s="103"/>
      <c r="GP2244" s="103"/>
      <c r="GQ2244" s="103"/>
      <c r="GR2244" s="103"/>
      <c r="GS2244" s="103"/>
      <c r="GT2244" s="103"/>
      <c r="GU2244" s="103"/>
      <c r="GV2244" s="103"/>
      <c r="GW2244" s="103"/>
      <c r="GX2244" s="103"/>
      <c r="GY2244" s="103"/>
      <c r="GZ2244" s="103"/>
      <c r="HA2244" s="103"/>
      <c r="HB2244" s="103"/>
      <c r="HC2244" s="103"/>
      <c r="HD2244" s="103"/>
      <c r="HE2244" s="103"/>
      <c r="HF2244" s="103"/>
      <c r="HG2244" s="103"/>
      <c r="HH2244" s="103"/>
      <c r="HI2244" s="103"/>
      <c r="HJ2244" s="103"/>
      <c r="HK2244" s="103"/>
      <c r="HL2244" s="103"/>
      <c r="HM2244" s="103"/>
      <c r="HN2244" s="103"/>
      <c r="HO2244" s="103"/>
      <c r="HP2244" s="103"/>
      <c r="HQ2244" s="103"/>
      <c r="HR2244" s="103"/>
      <c r="HS2244" s="103"/>
      <c r="HT2244" s="103"/>
      <c r="HU2244" s="103"/>
      <c r="HV2244" s="103"/>
      <c r="HW2244" s="103"/>
      <c r="HX2244" s="103"/>
      <c r="HY2244" s="103"/>
      <c r="HZ2244" s="103"/>
      <c r="IA2244" s="103"/>
      <c r="IB2244" s="103"/>
      <c r="IC2244" s="103"/>
      <c r="ID2244" s="103"/>
      <c r="IE2244" s="103"/>
      <c r="IF2244" s="103"/>
      <c r="IG2244" s="103"/>
      <c r="IH2244" s="103"/>
      <c r="II2244" s="103"/>
      <c r="IJ2244" s="103"/>
      <c r="IK2244" s="103"/>
      <c r="IL2244" s="103"/>
      <c r="IM2244" s="103"/>
      <c r="IN2244" s="103"/>
      <c r="IO2244" s="103"/>
      <c r="IP2244" s="103"/>
      <c r="IQ2244" s="103"/>
      <c r="IR2244" s="103"/>
      <c r="IS2244" s="103"/>
      <c r="IT2244" s="103"/>
      <c r="IU2244" s="103"/>
      <c r="IV2244" s="103"/>
      <c r="IW2244" s="103"/>
    </row>
    <row r="2245" customFormat="false" ht="17.6" hidden="false" customHeight="false" outlineLevel="0" collapsed="false">
      <c r="A2245" s="91" t="s">
        <v>2469</v>
      </c>
      <c r="B2245" s="90" t="s">
        <v>40</v>
      </c>
      <c r="C2245" s="90" t="n">
        <f aca="false">896*0.56</f>
        <v>501.76</v>
      </c>
      <c r="D2245" s="103" t="s">
        <v>2455</v>
      </c>
      <c r="E2245" s="103"/>
      <c r="F2245" s="103"/>
      <c r="G2245" s="103"/>
      <c r="H2245" s="103"/>
      <c r="I2245" s="103"/>
      <c r="J2245" s="103"/>
      <c r="K2245" s="103"/>
      <c r="L2245" s="103"/>
      <c r="M2245" s="103"/>
      <c r="N2245" s="103"/>
      <c r="O2245" s="104"/>
      <c r="P2245" s="103"/>
      <c r="Q2245" s="103"/>
      <c r="R2245" s="103"/>
      <c r="S2245" s="103"/>
      <c r="T2245" s="103"/>
      <c r="U2245" s="103"/>
      <c r="V2245" s="103"/>
      <c r="W2245" s="103"/>
      <c r="X2245" s="103"/>
      <c r="Y2245" s="103"/>
      <c r="Z2245" s="103"/>
      <c r="AA2245" s="103"/>
      <c r="AB2245" s="103"/>
      <c r="AC2245" s="103"/>
      <c r="AD2245" s="103"/>
      <c r="AE2245" s="103"/>
      <c r="AF2245" s="103"/>
      <c r="AG2245" s="103"/>
      <c r="AH2245" s="103"/>
      <c r="AI2245" s="103"/>
      <c r="AJ2245" s="103"/>
      <c r="AK2245" s="103"/>
      <c r="AL2245" s="103"/>
      <c r="AM2245" s="103"/>
      <c r="AN2245" s="103"/>
      <c r="AO2245" s="103"/>
      <c r="AP2245" s="103"/>
      <c r="AQ2245" s="103"/>
      <c r="AR2245" s="103"/>
      <c r="AS2245" s="103"/>
      <c r="AT2245" s="103"/>
      <c r="AU2245" s="103"/>
      <c r="AV2245" s="103"/>
      <c r="AW2245" s="103"/>
      <c r="AX2245" s="103"/>
      <c r="AY2245" s="103"/>
      <c r="AZ2245" s="103"/>
      <c r="BA2245" s="103"/>
      <c r="BB2245" s="103"/>
      <c r="BC2245" s="103"/>
      <c r="BD2245" s="103"/>
      <c r="BE2245" s="103"/>
      <c r="BF2245" s="103"/>
      <c r="BG2245" s="103"/>
      <c r="BH2245" s="103"/>
      <c r="BI2245" s="103"/>
      <c r="BJ2245" s="103"/>
      <c r="BK2245" s="103"/>
      <c r="BL2245" s="103"/>
      <c r="BM2245" s="103"/>
      <c r="BN2245" s="103"/>
      <c r="BO2245" s="103"/>
      <c r="BP2245" s="103"/>
      <c r="BQ2245" s="103"/>
      <c r="BR2245" s="103"/>
      <c r="BS2245" s="103"/>
      <c r="BT2245" s="103"/>
      <c r="BU2245" s="103"/>
      <c r="BV2245" s="103"/>
      <c r="BW2245" s="103"/>
      <c r="BX2245" s="103"/>
      <c r="BY2245" s="103"/>
      <c r="BZ2245" s="103"/>
      <c r="CA2245" s="103"/>
      <c r="CB2245" s="103"/>
      <c r="CC2245" s="103"/>
      <c r="CD2245" s="103"/>
      <c r="CE2245" s="103"/>
      <c r="CF2245" s="103"/>
      <c r="CG2245" s="103"/>
      <c r="CH2245" s="103"/>
      <c r="CI2245" s="103"/>
      <c r="CJ2245" s="103"/>
      <c r="CK2245" s="103"/>
      <c r="CL2245" s="103"/>
      <c r="CM2245" s="103"/>
      <c r="CN2245" s="103"/>
      <c r="CO2245" s="103"/>
      <c r="CP2245" s="103"/>
      <c r="CQ2245" s="103"/>
      <c r="CR2245" s="103"/>
      <c r="CS2245" s="103"/>
      <c r="CT2245" s="103"/>
      <c r="CU2245" s="103"/>
      <c r="CV2245" s="103"/>
      <c r="CW2245" s="103"/>
      <c r="CX2245" s="103"/>
      <c r="CY2245" s="103"/>
      <c r="CZ2245" s="103"/>
      <c r="DA2245" s="103"/>
      <c r="DB2245" s="103"/>
      <c r="DC2245" s="103"/>
      <c r="DD2245" s="103"/>
      <c r="DE2245" s="103"/>
      <c r="DF2245" s="103"/>
      <c r="DG2245" s="103"/>
      <c r="DH2245" s="103"/>
      <c r="DI2245" s="103"/>
      <c r="DJ2245" s="103"/>
      <c r="DK2245" s="103"/>
      <c r="DL2245" s="103"/>
      <c r="DM2245" s="103"/>
      <c r="DN2245" s="103"/>
      <c r="DO2245" s="103"/>
      <c r="DP2245" s="103"/>
      <c r="DQ2245" s="103"/>
      <c r="DR2245" s="103"/>
      <c r="DS2245" s="103"/>
      <c r="DT2245" s="103"/>
      <c r="DU2245" s="103"/>
      <c r="DV2245" s="103"/>
      <c r="DW2245" s="103"/>
      <c r="DX2245" s="103"/>
      <c r="DY2245" s="103"/>
      <c r="DZ2245" s="103"/>
      <c r="EA2245" s="103"/>
      <c r="EB2245" s="103"/>
      <c r="EC2245" s="103"/>
      <c r="ED2245" s="103"/>
      <c r="EE2245" s="103"/>
      <c r="EF2245" s="103"/>
      <c r="EG2245" s="103"/>
      <c r="EH2245" s="103"/>
      <c r="EI2245" s="103"/>
      <c r="EJ2245" s="103"/>
      <c r="EK2245" s="103"/>
      <c r="EL2245" s="103"/>
      <c r="EM2245" s="103"/>
      <c r="EN2245" s="103"/>
      <c r="EO2245" s="103"/>
      <c r="EP2245" s="103"/>
      <c r="EQ2245" s="103"/>
      <c r="ER2245" s="103"/>
      <c r="ES2245" s="103"/>
      <c r="ET2245" s="103"/>
      <c r="EU2245" s="103"/>
      <c r="EV2245" s="103"/>
      <c r="EW2245" s="103"/>
      <c r="EX2245" s="103"/>
      <c r="EY2245" s="103"/>
      <c r="EZ2245" s="103"/>
      <c r="FA2245" s="103"/>
      <c r="FB2245" s="103"/>
      <c r="FC2245" s="103"/>
      <c r="FD2245" s="103"/>
      <c r="FE2245" s="103"/>
      <c r="FF2245" s="103"/>
      <c r="FG2245" s="103"/>
      <c r="FH2245" s="103"/>
      <c r="FI2245" s="103"/>
      <c r="FJ2245" s="103"/>
      <c r="FK2245" s="103"/>
      <c r="FL2245" s="103"/>
      <c r="FM2245" s="103"/>
      <c r="FN2245" s="103"/>
      <c r="FO2245" s="103"/>
      <c r="FP2245" s="103"/>
      <c r="FQ2245" s="103"/>
      <c r="FR2245" s="103"/>
      <c r="FS2245" s="103"/>
      <c r="FT2245" s="103"/>
      <c r="FU2245" s="103"/>
      <c r="FV2245" s="103"/>
      <c r="FW2245" s="103"/>
      <c r="FX2245" s="103"/>
      <c r="FY2245" s="103"/>
      <c r="FZ2245" s="103"/>
      <c r="GA2245" s="103"/>
      <c r="GB2245" s="103"/>
      <c r="GC2245" s="103"/>
      <c r="GD2245" s="103"/>
      <c r="GE2245" s="103"/>
      <c r="GF2245" s="103"/>
      <c r="GG2245" s="103"/>
      <c r="GH2245" s="103"/>
      <c r="GI2245" s="103"/>
      <c r="GJ2245" s="103"/>
      <c r="GK2245" s="103"/>
      <c r="GL2245" s="103"/>
      <c r="GM2245" s="103"/>
      <c r="GN2245" s="103"/>
      <c r="GO2245" s="103"/>
      <c r="GP2245" s="103"/>
      <c r="GQ2245" s="103"/>
      <c r="GR2245" s="103"/>
      <c r="GS2245" s="103"/>
      <c r="GT2245" s="103"/>
      <c r="GU2245" s="103"/>
      <c r="GV2245" s="103"/>
      <c r="GW2245" s="103"/>
      <c r="GX2245" s="103"/>
      <c r="GY2245" s="103"/>
      <c r="GZ2245" s="103"/>
      <c r="HA2245" s="103"/>
      <c r="HB2245" s="103"/>
      <c r="HC2245" s="103"/>
      <c r="HD2245" s="103"/>
      <c r="HE2245" s="103"/>
      <c r="HF2245" s="103"/>
      <c r="HG2245" s="103"/>
      <c r="HH2245" s="103"/>
      <c r="HI2245" s="103"/>
      <c r="HJ2245" s="103"/>
      <c r="HK2245" s="103"/>
      <c r="HL2245" s="103"/>
      <c r="HM2245" s="103"/>
      <c r="HN2245" s="103"/>
      <c r="HO2245" s="103"/>
      <c r="HP2245" s="103"/>
      <c r="HQ2245" s="103"/>
      <c r="HR2245" s="103"/>
      <c r="HS2245" s="103"/>
      <c r="HT2245" s="103"/>
      <c r="HU2245" s="103"/>
      <c r="HV2245" s="103"/>
      <c r="HW2245" s="103"/>
      <c r="HX2245" s="103"/>
      <c r="HY2245" s="103"/>
      <c r="HZ2245" s="103"/>
      <c r="IA2245" s="103"/>
      <c r="IB2245" s="103"/>
      <c r="IC2245" s="103"/>
      <c r="ID2245" s="103"/>
      <c r="IE2245" s="103"/>
      <c r="IF2245" s="103"/>
      <c r="IG2245" s="103"/>
      <c r="IH2245" s="103"/>
      <c r="II2245" s="103"/>
      <c r="IJ2245" s="103"/>
      <c r="IK2245" s="103"/>
      <c r="IL2245" s="103"/>
      <c r="IM2245" s="103"/>
      <c r="IN2245" s="103"/>
      <c r="IO2245" s="103"/>
      <c r="IP2245" s="103"/>
      <c r="IQ2245" s="103"/>
      <c r="IR2245" s="103"/>
      <c r="IS2245" s="103"/>
      <c r="IT2245" s="103"/>
      <c r="IU2245" s="103"/>
      <c r="IV2245" s="103"/>
      <c r="IW2245" s="103"/>
    </row>
    <row r="2246" customFormat="false" ht="17.6" hidden="false" customHeight="false" outlineLevel="0" collapsed="false">
      <c r="A2246" s="91" t="s">
        <v>2470</v>
      </c>
      <c r="B2246" s="90" t="s">
        <v>40</v>
      </c>
      <c r="C2246" s="90" t="n">
        <f aca="false">1366*0.56</f>
        <v>764.96</v>
      </c>
      <c r="D2246" s="103" t="s">
        <v>2455</v>
      </c>
      <c r="E2246" s="103"/>
      <c r="F2246" s="103"/>
      <c r="G2246" s="103"/>
      <c r="H2246" s="103"/>
      <c r="I2246" s="103"/>
      <c r="J2246" s="103"/>
      <c r="K2246" s="103"/>
      <c r="L2246" s="103"/>
      <c r="M2246" s="103"/>
      <c r="N2246" s="103"/>
      <c r="O2246" s="104"/>
      <c r="P2246" s="103"/>
      <c r="Q2246" s="103"/>
      <c r="R2246" s="103"/>
      <c r="S2246" s="103"/>
      <c r="T2246" s="103"/>
      <c r="U2246" s="103"/>
      <c r="V2246" s="103"/>
      <c r="W2246" s="103"/>
      <c r="X2246" s="103"/>
      <c r="Y2246" s="103"/>
      <c r="Z2246" s="103"/>
      <c r="AA2246" s="103"/>
      <c r="AB2246" s="103"/>
      <c r="AC2246" s="103"/>
      <c r="AD2246" s="103"/>
      <c r="AE2246" s="103"/>
      <c r="AF2246" s="103"/>
      <c r="AG2246" s="103"/>
      <c r="AH2246" s="103"/>
      <c r="AI2246" s="103"/>
      <c r="AJ2246" s="103"/>
      <c r="AK2246" s="103"/>
      <c r="AL2246" s="103"/>
      <c r="AM2246" s="103"/>
      <c r="AN2246" s="103"/>
      <c r="AO2246" s="103"/>
      <c r="AP2246" s="103"/>
      <c r="AQ2246" s="103"/>
      <c r="AR2246" s="103"/>
      <c r="AS2246" s="103"/>
      <c r="AT2246" s="103"/>
      <c r="AU2246" s="103"/>
      <c r="AV2246" s="103"/>
      <c r="AW2246" s="103"/>
      <c r="AX2246" s="103"/>
      <c r="AY2246" s="103"/>
      <c r="AZ2246" s="103"/>
      <c r="BA2246" s="103"/>
      <c r="BB2246" s="103"/>
      <c r="BC2246" s="103"/>
      <c r="BD2246" s="103"/>
      <c r="BE2246" s="103"/>
      <c r="BF2246" s="103"/>
      <c r="BG2246" s="103"/>
      <c r="BH2246" s="103"/>
      <c r="BI2246" s="103"/>
      <c r="BJ2246" s="103"/>
      <c r="BK2246" s="103"/>
      <c r="BL2246" s="103"/>
      <c r="BM2246" s="103"/>
      <c r="BN2246" s="103"/>
      <c r="BO2246" s="103"/>
      <c r="BP2246" s="103"/>
      <c r="BQ2246" s="103"/>
      <c r="BR2246" s="103"/>
      <c r="BS2246" s="103"/>
      <c r="BT2246" s="103"/>
      <c r="BU2246" s="103"/>
      <c r="BV2246" s="103"/>
      <c r="BW2246" s="103"/>
      <c r="BX2246" s="103"/>
      <c r="BY2246" s="103"/>
      <c r="BZ2246" s="103"/>
      <c r="CA2246" s="103"/>
      <c r="CB2246" s="103"/>
      <c r="CC2246" s="103"/>
      <c r="CD2246" s="103"/>
      <c r="CE2246" s="103"/>
      <c r="CF2246" s="103"/>
      <c r="CG2246" s="103"/>
      <c r="CH2246" s="103"/>
      <c r="CI2246" s="103"/>
      <c r="CJ2246" s="103"/>
      <c r="CK2246" s="103"/>
      <c r="CL2246" s="103"/>
      <c r="CM2246" s="103"/>
      <c r="CN2246" s="103"/>
      <c r="CO2246" s="103"/>
      <c r="CP2246" s="103"/>
      <c r="CQ2246" s="103"/>
      <c r="CR2246" s="103"/>
      <c r="CS2246" s="103"/>
      <c r="CT2246" s="103"/>
      <c r="CU2246" s="103"/>
      <c r="CV2246" s="103"/>
      <c r="CW2246" s="103"/>
      <c r="CX2246" s="103"/>
      <c r="CY2246" s="103"/>
      <c r="CZ2246" s="103"/>
      <c r="DA2246" s="103"/>
      <c r="DB2246" s="103"/>
      <c r="DC2246" s="103"/>
      <c r="DD2246" s="103"/>
      <c r="DE2246" s="103"/>
      <c r="DF2246" s="103"/>
      <c r="DG2246" s="103"/>
      <c r="DH2246" s="103"/>
      <c r="DI2246" s="103"/>
      <c r="DJ2246" s="103"/>
      <c r="DK2246" s="103"/>
      <c r="DL2246" s="103"/>
      <c r="DM2246" s="103"/>
      <c r="DN2246" s="103"/>
      <c r="DO2246" s="103"/>
      <c r="DP2246" s="103"/>
      <c r="DQ2246" s="103"/>
      <c r="DR2246" s="103"/>
      <c r="DS2246" s="103"/>
      <c r="DT2246" s="103"/>
      <c r="DU2246" s="103"/>
      <c r="DV2246" s="103"/>
      <c r="DW2246" s="103"/>
      <c r="DX2246" s="103"/>
      <c r="DY2246" s="103"/>
      <c r="DZ2246" s="103"/>
      <c r="EA2246" s="103"/>
      <c r="EB2246" s="103"/>
      <c r="EC2246" s="103"/>
      <c r="ED2246" s="103"/>
      <c r="EE2246" s="103"/>
      <c r="EF2246" s="103"/>
      <c r="EG2246" s="103"/>
      <c r="EH2246" s="103"/>
      <c r="EI2246" s="103"/>
      <c r="EJ2246" s="103"/>
      <c r="EK2246" s="103"/>
      <c r="EL2246" s="103"/>
      <c r="EM2246" s="103"/>
      <c r="EN2246" s="103"/>
      <c r="EO2246" s="103"/>
      <c r="EP2246" s="103"/>
      <c r="EQ2246" s="103"/>
      <c r="ER2246" s="103"/>
      <c r="ES2246" s="103"/>
      <c r="ET2246" s="103"/>
      <c r="EU2246" s="103"/>
      <c r="EV2246" s="103"/>
      <c r="EW2246" s="103"/>
      <c r="EX2246" s="103"/>
      <c r="EY2246" s="103"/>
      <c r="EZ2246" s="103"/>
      <c r="FA2246" s="103"/>
      <c r="FB2246" s="103"/>
      <c r="FC2246" s="103"/>
      <c r="FD2246" s="103"/>
      <c r="FE2246" s="103"/>
      <c r="FF2246" s="103"/>
      <c r="FG2246" s="103"/>
      <c r="FH2246" s="103"/>
      <c r="FI2246" s="103"/>
      <c r="FJ2246" s="103"/>
      <c r="FK2246" s="103"/>
      <c r="FL2246" s="103"/>
      <c r="FM2246" s="103"/>
      <c r="FN2246" s="103"/>
      <c r="FO2246" s="103"/>
      <c r="FP2246" s="103"/>
      <c r="FQ2246" s="103"/>
      <c r="FR2246" s="103"/>
      <c r="FS2246" s="103"/>
      <c r="FT2246" s="103"/>
      <c r="FU2246" s="103"/>
      <c r="FV2246" s="103"/>
      <c r="FW2246" s="103"/>
      <c r="FX2246" s="103"/>
      <c r="FY2246" s="103"/>
      <c r="FZ2246" s="103"/>
      <c r="GA2246" s="103"/>
      <c r="GB2246" s="103"/>
      <c r="GC2246" s="103"/>
      <c r="GD2246" s="103"/>
      <c r="GE2246" s="103"/>
      <c r="GF2246" s="103"/>
      <c r="GG2246" s="103"/>
      <c r="GH2246" s="103"/>
      <c r="GI2246" s="103"/>
      <c r="GJ2246" s="103"/>
      <c r="GK2246" s="103"/>
      <c r="GL2246" s="103"/>
      <c r="GM2246" s="103"/>
      <c r="GN2246" s="103"/>
      <c r="GO2246" s="103"/>
      <c r="GP2246" s="103"/>
      <c r="GQ2246" s="103"/>
      <c r="GR2246" s="103"/>
      <c r="GS2246" s="103"/>
      <c r="GT2246" s="103"/>
      <c r="GU2246" s="103"/>
      <c r="GV2246" s="103"/>
      <c r="GW2246" s="103"/>
      <c r="GX2246" s="103"/>
      <c r="GY2246" s="103"/>
      <c r="GZ2246" s="103"/>
      <c r="HA2246" s="103"/>
      <c r="HB2246" s="103"/>
      <c r="HC2246" s="103"/>
      <c r="HD2246" s="103"/>
      <c r="HE2246" s="103"/>
      <c r="HF2246" s="103"/>
      <c r="HG2246" s="103"/>
      <c r="HH2246" s="103"/>
      <c r="HI2246" s="103"/>
      <c r="HJ2246" s="103"/>
      <c r="HK2246" s="103"/>
      <c r="HL2246" s="103"/>
      <c r="HM2246" s="103"/>
      <c r="HN2246" s="103"/>
      <c r="HO2246" s="103"/>
      <c r="HP2246" s="103"/>
      <c r="HQ2246" s="103"/>
      <c r="HR2246" s="103"/>
      <c r="HS2246" s="103"/>
      <c r="HT2246" s="103"/>
      <c r="HU2246" s="103"/>
      <c r="HV2246" s="103"/>
      <c r="HW2246" s="103"/>
      <c r="HX2246" s="103"/>
      <c r="HY2246" s="103"/>
      <c r="HZ2246" s="103"/>
      <c r="IA2246" s="103"/>
      <c r="IB2246" s="103"/>
      <c r="IC2246" s="103"/>
      <c r="ID2246" s="103"/>
      <c r="IE2246" s="103"/>
      <c r="IF2246" s="103"/>
      <c r="IG2246" s="103"/>
      <c r="IH2246" s="103"/>
      <c r="II2246" s="103"/>
      <c r="IJ2246" s="103"/>
      <c r="IK2246" s="103"/>
      <c r="IL2246" s="103"/>
      <c r="IM2246" s="103"/>
      <c r="IN2246" s="103"/>
      <c r="IO2246" s="103"/>
      <c r="IP2246" s="103"/>
      <c r="IQ2246" s="103"/>
      <c r="IR2246" s="103"/>
      <c r="IS2246" s="103"/>
      <c r="IT2246" s="103"/>
      <c r="IU2246" s="103"/>
      <c r="IV2246" s="103"/>
      <c r="IW2246" s="103"/>
    </row>
    <row r="2247" customFormat="false" ht="17.6" hidden="false" customHeight="false" outlineLevel="0" collapsed="false">
      <c r="A2247" s="91" t="s">
        <v>2471</v>
      </c>
      <c r="B2247" s="90" t="s">
        <v>40</v>
      </c>
      <c r="C2247" s="90" t="n">
        <f aca="false">1773*0.56</f>
        <v>992.88</v>
      </c>
      <c r="D2247" s="103" t="s">
        <v>2455</v>
      </c>
      <c r="E2247" s="103"/>
      <c r="F2247" s="103"/>
      <c r="G2247" s="103"/>
      <c r="H2247" s="103"/>
      <c r="I2247" s="103"/>
      <c r="J2247" s="103"/>
      <c r="K2247" s="103"/>
      <c r="L2247" s="103"/>
      <c r="M2247" s="103"/>
      <c r="N2247" s="103"/>
      <c r="O2247" s="104"/>
      <c r="P2247" s="103"/>
      <c r="Q2247" s="103"/>
      <c r="R2247" s="103"/>
      <c r="S2247" s="103"/>
      <c r="T2247" s="103"/>
      <c r="U2247" s="103"/>
      <c r="V2247" s="103"/>
      <c r="W2247" s="103"/>
      <c r="X2247" s="103"/>
      <c r="Y2247" s="103"/>
      <c r="Z2247" s="103"/>
      <c r="AA2247" s="103"/>
      <c r="AB2247" s="103"/>
      <c r="AC2247" s="103"/>
      <c r="AD2247" s="103"/>
      <c r="AE2247" s="103"/>
      <c r="AF2247" s="103"/>
      <c r="AG2247" s="103"/>
      <c r="AH2247" s="103"/>
      <c r="AI2247" s="103"/>
      <c r="AJ2247" s="103"/>
      <c r="AK2247" s="103"/>
      <c r="AL2247" s="103"/>
      <c r="AM2247" s="103"/>
      <c r="AN2247" s="103"/>
      <c r="AO2247" s="103"/>
      <c r="AP2247" s="103"/>
      <c r="AQ2247" s="103"/>
      <c r="AR2247" s="103"/>
      <c r="AS2247" s="103"/>
      <c r="AT2247" s="103"/>
      <c r="AU2247" s="103"/>
      <c r="AV2247" s="103"/>
      <c r="AW2247" s="103"/>
      <c r="AX2247" s="103"/>
      <c r="AY2247" s="103"/>
      <c r="AZ2247" s="103"/>
      <c r="BA2247" s="103"/>
      <c r="BB2247" s="103"/>
      <c r="BC2247" s="103"/>
      <c r="BD2247" s="103"/>
      <c r="BE2247" s="103"/>
      <c r="BF2247" s="103"/>
      <c r="BG2247" s="103"/>
      <c r="BH2247" s="103"/>
      <c r="BI2247" s="103"/>
      <c r="BJ2247" s="103"/>
      <c r="BK2247" s="103"/>
      <c r="BL2247" s="103"/>
      <c r="BM2247" s="103"/>
      <c r="BN2247" s="103"/>
      <c r="BO2247" s="103"/>
      <c r="BP2247" s="103"/>
      <c r="BQ2247" s="103"/>
      <c r="BR2247" s="103"/>
      <c r="BS2247" s="103"/>
      <c r="BT2247" s="103"/>
      <c r="BU2247" s="103"/>
      <c r="BV2247" s="103"/>
      <c r="BW2247" s="103"/>
      <c r="BX2247" s="103"/>
      <c r="BY2247" s="103"/>
      <c r="BZ2247" s="103"/>
      <c r="CA2247" s="103"/>
      <c r="CB2247" s="103"/>
      <c r="CC2247" s="103"/>
      <c r="CD2247" s="103"/>
      <c r="CE2247" s="103"/>
      <c r="CF2247" s="103"/>
      <c r="CG2247" s="103"/>
      <c r="CH2247" s="103"/>
      <c r="CI2247" s="103"/>
      <c r="CJ2247" s="103"/>
      <c r="CK2247" s="103"/>
      <c r="CL2247" s="103"/>
      <c r="CM2247" s="103"/>
      <c r="CN2247" s="103"/>
      <c r="CO2247" s="103"/>
      <c r="CP2247" s="103"/>
      <c r="CQ2247" s="103"/>
      <c r="CR2247" s="103"/>
      <c r="CS2247" s="103"/>
      <c r="CT2247" s="103"/>
      <c r="CU2247" s="103"/>
      <c r="CV2247" s="103"/>
      <c r="CW2247" s="103"/>
      <c r="CX2247" s="103"/>
      <c r="CY2247" s="103"/>
      <c r="CZ2247" s="103"/>
      <c r="DA2247" s="103"/>
      <c r="DB2247" s="103"/>
      <c r="DC2247" s="103"/>
      <c r="DD2247" s="103"/>
      <c r="DE2247" s="103"/>
      <c r="DF2247" s="103"/>
      <c r="DG2247" s="103"/>
      <c r="DH2247" s="103"/>
      <c r="DI2247" s="103"/>
      <c r="DJ2247" s="103"/>
      <c r="DK2247" s="103"/>
      <c r="DL2247" s="103"/>
      <c r="DM2247" s="103"/>
      <c r="DN2247" s="103"/>
      <c r="DO2247" s="103"/>
      <c r="DP2247" s="103"/>
      <c r="DQ2247" s="103"/>
      <c r="DR2247" s="103"/>
      <c r="DS2247" s="103"/>
      <c r="DT2247" s="103"/>
      <c r="DU2247" s="103"/>
      <c r="DV2247" s="103"/>
      <c r="DW2247" s="103"/>
      <c r="DX2247" s="103"/>
      <c r="DY2247" s="103"/>
      <c r="DZ2247" s="103"/>
      <c r="EA2247" s="103"/>
      <c r="EB2247" s="103"/>
      <c r="EC2247" s="103"/>
      <c r="ED2247" s="103"/>
      <c r="EE2247" s="103"/>
      <c r="EF2247" s="103"/>
      <c r="EG2247" s="103"/>
      <c r="EH2247" s="103"/>
      <c r="EI2247" s="103"/>
      <c r="EJ2247" s="103"/>
      <c r="EK2247" s="103"/>
      <c r="EL2247" s="103"/>
      <c r="EM2247" s="103"/>
      <c r="EN2247" s="103"/>
      <c r="EO2247" s="103"/>
      <c r="EP2247" s="103"/>
      <c r="EQ2247" s="103"/>
      <c r="ER2247" s="103"/>
      <c r="ES2247" s="103"/>
      <c r="ET2247" s="103"/>
      <c r="EU2247" s="103"/>
      <c r="EV2247" s="103"/>
      <c r="EW2247" s="103"/>
      <c r="EX2247" s="103"/>
      <c r="EY2247" s="103"/>
      <c r="EZ2247" s="103"/>
      <c r="FA2247" s="103"/>
      <c r="FB2247" s="103"/>
      <c r="FC2247" s="103"/>
      <c r="FD2247" s="103"/>
      <c r="FE2247" s="103"/>
      <c r="FF2247" s="103"/>
      <c r="FG2247" s="103"/>
      <c r="FH2247" s="103"/>
      <c r="FI2247" s="103"/>
      <c r="FJ2247" s="103"/>
      <c r="FK2247" s="103"/>
      <c r="FL2247" s="103"/>
      <c r="FM2247" s="103"/>
      <c r="FN2247" s="103"/>
      <c r="FO2247" s="103"/>
      <c r="FP2247" s="103"/>
      <c r="FQ2247" s="103"/>
      <c r="FR2247" s="103"/>
      <c r="FS2247" s="103"/>
      <c r="FT2247" s="103"/>
      <c r="FU2247" s="103"/>
      <c r="FV2247" s="103"/>
      <c r="FW2247" s="103"/>
      <c r="FX2247" s="103"/>
      <c r="FY2247" s="103"/>
      <c r="FZ2247" s="103"/>
      <c r="GA2247" s="103"/>
      <c r="GB2247" s="103"/>
      <c r="GC2247" s="103"/>
      <c r="GD2247" s="103"/>
      <c r="GE2247" s="103"/>
      <c r="GF2247" s="103"/>
      <c r="GG2247" s="103"/>
      <c r="GH2247" s="103"/>
      <c r="GI2247" s="103"/>
      <c r="GJ2247" s="103"/>
      <c r="GK2247" s="103"/>
      <c r="GL2247" s="103"/>
      <c r="GM2247" s="103"/>
      <c r="GN2247" s="103"/>
      <c r="GO2247" s="103"/>
      <c r="GP2247" s="103"/>
      <c r="GQ2247" s="103"/>
      <c r="GR2247" s="103"/>
      <c r="GS2247" s="103"/>
      <c r="GT2247" s="103"/>
      <c r="GU2247" s="103"/>
      <c r="GV2247" s="103"/>
      <c r="GW2247" s="103"/>
      <c r="GX2247" s="103"/>
      <c r="GY2247" s="103"/>
      <c r="GZ2247" s="103"/>
      <c r="HA2247" s="103"/>
      <c r="HB2247" s="103"/>
      <c r="HC2247" s="103"/>
      <c r="HD2247" s="103"/>
      <c r="HE2247" s="103"/>
      <c r="HF2247" s="103"/>
      <c r="HG2247" s="103"/>
      <c r="HH2247" s="103"/>
      <c r="HI2247" s="103"/>
      <c r="HJ2247" s="103"/>
      <c r="HK2247" s="103"/>
      <c r="HL2247" s="103"/>
      <c r="HM2247" s="103"/>
      <c r="HN2247" s="103"/>
      <c r="HO2247" s="103"/>
      <c r="HP2247" s="103"/>
      <c r="HQ2247" s="103"/>
      <c r="HR2247" s="103"/>
      <c r="HS2247" s="103"/>
      <c r="HT2247" s="103"/>
      <c r="HU2247" s="103"/>
      <c r="HV2247" s="103"/>
      <c r="HW2247" s="103"/>
      <c r="HX2247" s="103"/>
      <c r="HY2247" s="103"/>
      <c r="HZ2247" s="103"/>
      <c r="IA2247" s="103"/>
      <c r="IB2247" s="103"/>
      <c r="IC2247" s="103"/>
      <c r="ID2247" s="103"/>
      <c r="IE2247" s="103"/>
      <c r="IF2247" s="103"/>
      <c r="IG2247" s="103"/>
      <c r="IH2247" s="103"/>
      <c r="II2247" s="103"/>
      <c r="IJ2247" s="103"/>
      <c r="IK2247" s="103"/>
      <c r="IL2247" s="103"/>
      <c r="IM2247" s="103"/>
      <c r="IN2247" s="103"/>
      <c r="IO2247" s="103"/>
      <c r="IP2247" s="103"/>
      <c r="IQ2247" s="103"/>
      <c r="IR2247" s="103"/>
      <c r="IS2247" s="103"/>
      <c r="IT2247" s="103"/>
      <c r="IU2247" s="103"/>
      <c r="IV2247" s="103"/>
      <c r="IW2247" s="103"/>
    </row>
    <row r="2248" customFormat="false" ht="17.6" hidden="false" customHeight="false" outlineLevel="0" collapsed="false">
      <c r="A2248" s="91" t="s">
        <v>2472</v>
      </c>
      <c r="B2248" s="90" t="s">
        <v>40</v>
      </c>
      <c r="C2248" s="90" t="n">
        <f aca="false">6510*0.56</f>
        <v>3645.6</v>
      </c>
      <c r="D2248" s="103" t="s">
        <v>2455</v>
      </c>
      <c r="E2248" s="103"/>
      <c r="F2248" s="103"/>
      <c r="G2248" s="103"/>
      <c r="H2248" s="103"/>
      <c r="I2248" s="103"/>
      <c r="J2248" s="103"/>
      <c r="K2248" s="103"/>
      <c r="L2248" s="103"/>
      <c r="M2248" s="103"/>
      <c r="N2248" s="103"/>
      <c r="O2248" s="104"/>
      <c r="P2248" s="103"/>
      <c r="Q2248" s="103"/>
      <c r="R2248" s="103"/>
      <c r="S2248" s="103"/>
      <c r="T2248" s="103"/>
      <c r="U2248" s="103"/>
      <c r="V2248" s="103"/>
      <c r="W2248" s="103"/>
      <c r="X2248" s="103"/>
      <c r="Y2248" s="103"/>
      <c r="Z2248" s="103"/>
      <c r="AA2248" s="103"/>
      <c r="AB2248" s="103"/>
      <c r="AC2248" s="103"/>
      <c r="AD2248" s="103"/>
      <c r="AE2248" s="103"/>
      <c r="AF2248" s="103"/>
      <c r="AG2248" s="103"/>
      <c r="AH2248" s="103"/>
      <c r="AI2248" s="103"/>
      <c r="AJ2248" s="103"/>
      <c r="AK2248" s="103"/>
      <c r="AL2248" s="103"/>
      <c r="AM2248" s="103"/>
      <c r="AN2248" s="103"/>
      <c r="AO2248" s="103"/>
      <c r="AP2248" s="103"/>
      <c r="AQ2248" s="103"/>
      <c r="AR2248" s="103"/>
      <c r="AS2248" s="103"/>
      <c r="AT2248" s="103"/>
      <c r="AU2248" s="103"/>
      <c r="AV2248" s="103"/>
      <c r="AW2248" s="103"/>
      <c r="AX2248" s="103"/>
      <c r="AY2248" s="103"/>
      <c r="AZ2248" s="103"/>
      <c r="BA2248" s="103"/>
      <c r="BB2248" s="103"/>
      <c r="BC2248" s="103"/>
      <c r="BD2248" s="103"/>
      <c r="BE2248" s="103"/>
      <c r="BF2248" s="103"/>
      <c r="BG2248" s="103"/>
      <c r="BH2248" s="103"/>
      <c r="BI2248" s="103"/>
      <c r="BJ2248" s="103"/>
      <c r="BK2248" s="103"/>
      <c r="BL2248" s="103"/>
      <c r="BM2248" s="103"/>
      <c r="BN2248" s="103"/>
      <c r="BO2248" s="103"/>
      <c r="BP2248" s="103"/>
      <c r="BQ2248" s="103"/>
      <c r="BR2248" s="103"/>
      <c r="BS2248" s="103"/>
      <c r="BT2248" s="103"/>
      <c r="BU2248" s="103"/>
      <c r="BV2248" s="103"/>
      <c r="BW2248" s="103"/>
      <c r="BX2248" s="103"/>
      <c r="BY2248" s="103"/>
      <c r="BZ2248" s="103"/>
      <c r="CA2248" s="103"/>
      <c r="CB2248" s="103"/>
      <c r="CC2248" s="103"/>
      <c r="CD2248" s="103"/>
      <c r="CE2248" s="103"/>
      <c r="CF2248" s="103"/>
      <c r="CG2248" s="103"/>
      <c r="CH2248" s="103"/>
      <c r="CI2248" s="103"/>
      <c r="CJ2248" s="103"/>
      <c r="CK2248" s="103"/>
      <c r="CL2248" s="103"/>
      <c r="CM2248" s="103"/>
      <c r="CN2248" s="103"/>
      <c r="CO2248" s="103"/>
      <c r="CP2248" s="103"/>
      <c r="CQ2248" s="103"/>
      <c r="CR2248" s="103"/>
      <c r="CS2248" s="103"/>
      <c r="CT2248" s="103"/>
      <c r="CU2248" s="103"/>
      <c r="CV2248" s="103"/>
      <c r="CW2248" s="103"/>
      <c r="CX2248" s="103"/>
      <c r="CY2248" s="103"/>
      <c r="CZ2248" s="103"/>
      <c r="DA2248" s="103"/>
      <c r="DB2248" s="103"/>
      <c r="DC2248" s="103"/>
      <c r="DD2248" s="103"/>
      <c r="DE2248" s="103"/>
      <c r="DF2248" s="103"/>
      <c r="DG2248" s="103"/>
      <c r="DH2248" s="103"/>
      <c r="DI2248" s="103"/>
      <c r="DJ2248" s="103"/>
      <c r="DK2248" s="103"/>
      <c r="DL2248" s="103"/>
      <c r="DM2248" s="103"/>
      <c r="DN2248" s="103"/>
      <c r="DO2248" s="103"/>
      <c r="DP2248" s="103"/>
      <c r="DQ2248" s="103"/>
      <c r="DR2248" s="103"/>
      <c r="DS2248" s="103"/>
      <c r="DT2248" s="103"/>
      <c r="DU2248" s="103"/>
      <c r="DV2248" s="103"/>
      <c r="DW2248" s="103"/>
      <c r="DX2248" s="103"/>
      <c r="DY2248" s="103"/>
      <c r="DZ2248" s="103"/>
      <c r="EA2248" s="103"/>
      <c r="EB2248" s="103"/>
      <c r="EC2248" s="103"/>
      <c r="ED2248" s="103"/>
      <c r="EE2248" s="103"/>
      <c r="EF2248" s="103"/>
      <c r="EG2248" s="103"/>
      <c r="EH2248" s="103"/>
      <c r="EI2248" s="103"/>
      <c r="EJ2248" s="103"/>
      <c r="EK2248" s="103"/>
      <c r="EL2248" s="103"/>
      <c r="EM2248" s="103"/>
      <c r="EN2248" s="103"/>
      <c r="EO2248" s="103"/>
      <c r="EP2248" s="103"/>
      <c r="EQ2248" s="103"/>
      <c r="ER2248" s="103"/>
      <c r="ES2248" s="103"/>
      <c r="ET2248" s="103"/>
      <c r="EU2248" s="103"/>
      <c r="EV2248" s="103"/>
      <c r="EW2248" s="103"/>
      <c r="EX2248" s="103"/>
      <c r="EY2248" s="103"/>
      <c r="EZ2248" s="103"/>
      <c r="FA2248" s="103"/>
      <c r="FB2248" s="103"/>
      <c r="FC2248" s="103"/>
      <c r="FD2248" s="103"/>
      <c r="FE2248" s="103"/>
      <c r="FF2248" s="103"/>
      <c r="FG2248" s="103"/>
      <c r="FH2248" s="103"/>
      <c r="FI2248" s="103"/>
      <c r="FJ2248" s="103"/>
      <c r="FK2248" s="103"/>
      <c r="FL2248" s="103"/>
      <c r="FM2248" s="103"/>
      <c r="FN2248" s="103"/>
      <c r="FO2248" s="103"/>
      <c r="FP2248" s="103"/>
      <c r="FQ2248" s="103"/>
      <c r="FR2248" s="103"/>
      <c r="FS2248" s="103"/>
      <c r="FT2248" s="103"/>
      <c r="FU2248" s="103"/>
      <c r="FV2248" s="103"/>
      <c r="FW2248" s="103"/>
      <c r="FX2248" s="103"/>
      <c r="FY2248" s="103"/>
      <c r="FZ2248" s="103"/>
      <c r="GA2248" s="103"/>
      <c r="GB2248" s="103"/>
      <c r="GC2248" s="103"/>
      <c r="GD2248" s="103"/>
      <c r="GE2248" s="103"/>
      <c r="GF2248" s="103"/>
      <c r="GG2248" s="103"/>
      <c r="GH2248" s="103"/>
      <c r="GI2248" s="103"/>
      <c r="GJ2248" s="103"/>
      <c r="GK2248" s="103"/>
      <c r="GL2248" s="103"/>
      <c r="GM2248" s="103"/>
      <c r="GN2248" s="103"/>
      <c r="GO2248" s="103"/>
      <c r="GP2248" s="103"/>
      <c r="GQ2248" s="103"/>
      <c r="GR2248" s="103"/>
      <c r="GS2248" s="103"/>
      <c r="GT2248" s="103"/>
      <c r="GU2248" s="103"/>
      <c r="GV2248" s="103"/>
      <c r="GW2248" s="103"/>
      <c r="GX2248" s="103"/>
      <c r="GY2248" s="103"/>
      <c r="GZ2248" s="103"/>
      <c r="HA2248" s="103"/>
      <c r="HB2248" s="103"/>
      <c r="HC2248" s="103"/>
      <c r="HD2248" s="103"/>
      <c r="HE2248" s="103"/>
      <c r="HF2248" s="103"/>
      <c r="HG2248" s="103"/>
      <c r="HH2248" s="103"/>
      <c r="HI2248" s="103"/>
      <c r="HJ2248" s="103"/>
      <c r="HK2248" s="103"/>
      <c r="HL2248" s="103"/>
      <c r="HM2248" s="103"/>
      <c r="HN2248" s="103"/>
      <c r="HO2248" s="103"/>
      <c r="HP2248" s="103"/>
      <c r="HQ2248" s="103"/>
      <c r="HR2248" s="103"/>
      <c r="HS2248" s="103"/>
      <c r="HT2248" s="103"/>
      <c r="HU2248" s="103"/>
      <c r="HV2248" s="103"/>
      <c r="HW2248" s="103"/>
      <c r="HX2248" s="103"/>
      <c r="HY2248" s="103"/>
      <c r="HZ2248" s="103"/>
      <c r="IA2248" s="103"/>
      <c r="IB2248" s="103"/>
      <c r="IC2248" s="103"/>
      <c r="ID2248" s="103"/>
      <c r="IE2248" s="103"/>
      <c r="IF2248" s="103"/>
      <c r="IG2248" s="103"/>
      <c r="IH2248" s="103"/>
      <c r="II2248" s="103"/>
      <c r="IJ2248" s="103"/>
      <c r="IK2248" s="103"/>
      <c r="IL2248" s="103"/>
      <c r="IM2248" s="103"/>
      <c r="IN2248" s="103"/>
      <c r="IO2248" s="103"/>
      <c r="IP2248" s="103"/>
      <c r="IQ2248" s="103"/>
      <c r="IR2248" s="103"/>
      <c r="IS2248" s="103"/>
      <c r="IT2248" s="103"/>
      <c r="IU2248" s="103"/>
      <c r="IV2248" s="103"/>
      <c r="IW2248" s="103"/>
    </row>
    <row r="2249" customFormat="false" ht="17.6" hidden="false" customHeight="false" outlineLevel="0" collapsed="false">
      <c r="A2249" s="91" t="s">
        <v>2473</v>
      </c>
      <c r="B2249" s="90" t="s">
        <v>40</v>
      </c>
      <c r="C2249" s="90" t="n">
        <f aca="false">896*0.56</f>
        <v>501.76</v>
      </c>
      <c r="D2249" s="103" t="s">
        <v>2455</v>
      </c>
      <c r="E2249" s="103"/>
      <c r="F2249" s="103"/>
      <c r="G2249" s="103"/>
      <c r="H2249" s="103"/>
      <c r="I2249" s="103"/>
      <c r="J2249" s="103"/>
      <c r="K2249" s="103"/>
      <c r="L2249" s="103"/>
      <c r="M2249" s="103"/>
      <c r="N2249" s="10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1"/>
      <c r="BA2249" s="11"/>
      <c r="BB2249" s="11"/>
      <c r="BC2249" s="11"/>
      <c r="BD2249" s="11"/>
      <c r="BE2249" s="11"/>
      <c r="BF2249" s="11"/>
      <c r="BG2249" s="11"/>
      <c r="BH2249" s="11"/>
      <c r="BI2249" s="11"/>
      <c r="BJ2249" s="11"/>
      <c r="BK2249" s="11"/>
      <c r="BL2249" s="11"/>
      <c r="BM2249" s="11"/>
      <c r="BN2249" s="11"/>
      <c r="BO2249" s="11"/>
      <c r="BP2249" s="11"/>
      <c r="BQ2249" s="11"/>
      <c r="BR2249" s="11"/>
      <c r="BS2249" s="11"/>
      <c r="BT2249" s="11"/>
      <c r="BU2249" s="11"/>
      <c r="BV2249" s="11"/>
      <c r="BW2249" s="11"/>
      <c r="BX2249" s="11"/>
      <c r="BY2249" s="11"/>
      <c r="BZ2249" s="11"/>
      <c r="CA2249" s="11"/>
      <c r="CB2249" s="11"/>
      <c r="CC2249" s="11"/>
      <c r="CD2249" s="11"/>
      <c r="CE2249" s="11"/>
      <c r="CF2249" s="11"/>
      <c r="CG2249" s="11"/>
      <c r="CH2249" s="11"/>
      <c r="CI2249" s="11"/>
      <c r="CJ2249" s="11"/>
      <c r="CK2249" s="11"/>
      <c r="CL2249" s="11"/>
      <c r="CM2249" s="11"/>
      <c r="CN2249" s="11"/>
      <c r="CO2249" s="11"/>
      <c r="CP2249" s="11"/>
      <c r="CQ2249" s="11"/>
      <c r="CR2249" s="11"/>
      <c r="CS2249" s="11"/>
      <c r="CT2249" s="11"/>
      <c r="CU2249" s="11"/>
      <c r="CV2249" s="11"/>
      <c r="CW2249" s="11"/>
      <c r="CX2249" s="11"/>
      <c r="CY2249" s="11"/>
      <c r="CZ2249" s="11"/>
      <c r="DA2249" s="11"/>
      <c r="DB2249" s="11"/>
      <c r="DC2249" s="11"/>
      <c r="DD2249" s="11"/>
      <c r="DE2249" s="11"/>
      <c r="DF2249" s="11"/>
      <c r="DG2249" s="11"/>
      <c r="DH2249" s="11"/>
      <c r="DI2249" s="11"/>
      <c r="DJ2249" s="11"/>
      <c r="DK2249" s="11"/>
      <c r="DL2249" s="11"/>
      <c r="DM2249" s="11"/>
      <c r="DN2249" s="11"/>
      <c r="DO2249" s="11"/>
      <c r="DP2249" s="11"/>
      <c r="DQ2249" s="11"/>
      <c r="DR2249" s="11"/>
      <c r="DS2249" s="11"/>
      <c r="DT2249" s="11"/>
      <c r="DU2249" s="11"/>
      <c r="DV2249" s="11"/>
      <c r="DW2249" s="11"/>
      <c r="DX2249" s="11"/>
      <c r="DY2249" s="11"/>
      <c r="DZ2249" s="11"/>
      <c r="EA2249" s="11"/>
      <c r="EB2249" s="11"/>
      <c r="EC2249" s="11"/>
      <c r="ED2249" s="11"/>
      <c r="EE2249" s="11"/>
      <c r="EF2249" s="11"/>
      <c r="EG2249" s="11"/>
      <c r="EH2249" s="11"/>
      <c r="EI2249" s="11"/>
      <c r="EJ2249" s="11"/>
      <c r="EK2249" s="11"/>
      <c r="EL2249" s="11"/>
      <c r="EM2249" s="11"/>
      <c r="EN2249" s="11"/>
      <c r="EO2249" s="11"/>
      <c r="EP2249" s="11"/>
      <c r="EQ2249" s="11"/>
      <c r="ER2249" s="11"/>
      <c r="ES2249" s="11"/>
      <c r="ET2249" s="11"/>
      <c r="EU2249" s="11"/>
      <c r="EV2249" s="11"/>
      <c r="EW2249" s="11"/>
      <c r="EX2249" s="11"/>
      <c r="EY2249" s="11"/>
      <c r="EZ2249" s="11"/>
      <c r="FA2249" s="11"/>
      <c r="FB2249" s="11"/>
      <c r="FC2249" s="11"/>
      <c r="FD2249" s="11"/>
      <c r="FE2249" s="11"/>
      <c r="FF2249" s="11"/>
      <c r="FG2249" s="11"/>
      <c r="FH2249" s="11"/>
      <c r="FI2249" s="11"/>
      <c r="FJ2249" s="11"/>
      <c r="FK2249" s="11"/>
      <c r="FL2249" s="11"/>
      <c r="FM2249" s="11"/>
      <c r="FN2249" s="11"/>
      <c r="FO2249" s="11"/>
      <c r="FP2249" s="11"/>
      <c r="FQ2249" s="11"/>
      <c r="FR2249" s="11"/>
      <c r="FS2249" s="11"/>
      <c r="FT2249" s="11"/>
      <c r="FU2249" s="11"/>
      <c r="FV2249" s="11"/>
      <c r="FW2249" s="11"/>
      <c r="FX2249" s="11"/>
      <c r="FY2249" s="11"/>
      <c r="FZ2249" s="11"/>
      <c r="GA2249" s="11"/>
      <c r="GB2249" s="11"/>
      <c r="GC2249" s="11"/>
      <c r="GD2249" s="11"/>
      <c r="GE2249" s="11"/>
      <c r="GF2249" s="11"/>
      <c r="GG2249" s="11"/>
      <c r="GH2249" s="11"/>
      <c r="GI2249" s="11"/>
      <c r="GJ2249" s="11"/>
      <c r="GK2249" s="11"/>
      <c r="GL2249" s="11"/>
      <c r="GM2249" s="11"/>
      <c r="GN2249" s="11"/>
      <c r="GO2249" s="11"/>
      <c r="GP2249" s="11"/>
      <c r="GQ2249" s="11"/>
      <c r="GR2249" s="11"/>
      <c r="GS2249" s="11"/>
      <c r="GT2249" s="11"/>
      <c r="GU2249" s="11"/>
      <c r="GV2249" s="11"/>
      <c r="GW2249" s="11"/>
      <c r="GX2249" s="11"/>
      <c r="GY2249" s="11"/>
      <c r="GZ2249" s="11"/>
      <c r="HA2249" s="11"/>
      <c r="HB2249" s="11"/>
      <c r="HC2249" s="11"/>
      <c r="HD2249" s="11"/>
      <c r="HE2249" s="11"/>
      <c r="HF2249" s="11"/>
      <c r="HG2249" s="11"/>
      <c r="HH2249" s="11"/>
      <c r="HI2249" s="11"/>
      <c r="HJ2249" s="11"/>
      <c r="HK2249" s="11"/>
      <c r="HL2249" s="11"/>
      <c r="HM2249" s="11"/>
      <c r="HN2249" s="11"/>
      <c r="HO2249" s="11"/>
      <c r="HP2249" s="11"/>
      <c r="HQ2249" s="11"/>
      <c r="HR2249" s="11"/>
      <c r="HS2249" s="11"/>
      <c r="HT2249" s="11"/>
      <c r="HU2249" s="11"/>
      <c r="HV2249" s="11"/>
      <c r="HW2249" s="11"/>
      <c r="HX2249" s="11"/>
      <c r="HY2249" s="11"/>
      <c r="HZ2249" s="11"/>
      <c r="IA2249" s="11"/>
      <c r="IB2249" s="11"/>
      <c r="IC2249" s="11"/>
      <c r="ID2249" s="11"/>
      <c r="IE2249" s="11"/>
      <c r="IF2249" s="11"/>
      <c r="IG2249" s="11"/>
      <c r="IH2249" s="11"/>
      <c r="II2249" s="11"/>
      <c r="IJ2249" s="11"/>
      <c r="IK2249" s="11"/>
      <c r="IL2249" s="11"/>
      <c r="IM2249" s="11"/>
      <c r="IN2249" s="11"/>
      <c r="IO2249" s="11"/>
      <c r="IP2249" s="11"/>
      <c r="IQ2249" s="11"/>
      <c r="IR2249" s="11"/>
      <c r="IS2249" s="11"/>
      <c r="IT2249" s="11"/>
      <c r="IU2249" s="11"/>
      <c r="IV2249" s="11"/>
      <c r="IW2249" s="11"/>
    </row>
    <row r="2250" customFormat="false" ht="17.6" hidden="false" customHeight="false" outlineLevel="0" collapsed="false">
      <c r="A2250" s="91" t="s">
        <v>2474</v>
      </c>
      <c r="B2250" s="90" t="s">
        <v>40</v>
      </c>
      <c r="C2250" s="90" t="n">
        <f aca="false">3431*0.56</f>
        <v>1921.36</v>
      </c>
      <c r="D2250" s="103" t="s">
        <v>2455</v>
      </c>
    </row>
    <row r="2251" customFormat="false" ht="17.6" hidden="false" customHeight="false" outlineLevel="0" collapsed="false">
      <c r="A2251" s="91" t="s">
        <v>2475</v>
      </c>
      <c r="B2251" s="90" t="s">
        <v>40</v>
      </c>
      <c r="C2251" s="90" t="n">
        <f aca="false">3431*0.56</f>
        <v>1921.36</v>
      </c>
      <c r="D2251" s="103" t="s">
        <v>2455</v>
      </c>
    </row>
    <row r="2252" customFormat="false" ht="17.6" hidden="false" customHeight="false" outlineLevel="0" collapsed="false">
      <c r="A2252" s="91" t="s">
        <v>2476</v>
      </c>
      <c r="B2252" s="90" t="s">
        <v>40</v>
      </c>
      <c r="C2252" s="90" t="n">
        <f aca="false">2271*0.56</f>
        <v>1271.76</v>
      </c>
      <c r="D2252" s="103" t="s">
        <v>2455</v>
      </c>
    </row>
    <row r="2253" customFormat="false" ht="17.6" hidden="false" customHeight="false" outlineLevel="0" collapsed="false">
      <c r="A2253" s="91" t="s">
        <v>2477</v>
      </c>
      <c r="B2253" s="90" t="s">
        <v>40</v>
      </c>
      <c r="C2253" s="90" t="n">
        <f aca="false">2281*0.56</f>
        <v>1277.36</v>
      </c>
      <c r="D2253" s="103" t="s">
        <v>2455</v>
      </c>
    </row>
    <row r="2254" customFormat="false" ht="17.6" hidden="false" customHeight="false" outlineLevel="0" collapsed="false">
      <c r="A2254" s="91"/>
    </row>
    <row r="2255" customFormat="false" ht="17.6" hidden="false" customHeight="false" outlineLevel="0" collapsed="false">
      <c r="A2255" s="91" t="s">
        <v>2478</v>
      </c>
      <c r="B2255" s="90" t="s">
        <v>1128</v>
      </c>
      <c r="C2255" s="90" t="n">
        <v>630</v>
      </c>
      <c r="D2255" s="103" t="s">
        <v>2479</v>
      </c>
    </row>
    <row r="2256" customFormat="false" ht="17.6" hidden="false" customHeight="false" outlineLevel="0" collapsed="false">
      <c r="A2256" s="91"/>
    </row>
    <row r="2257" customFormat="false" ht="17.6" hidden="false" customHeight="false" outlineLevel="0" collapsed="false">
      <c r="A2257" s="91"/>
    </row>
    <row r="2258" customFormat="false" ht="17.6" hidden="false" customHeight="false" outlineLevel="0" collapsed="false">
      <c r="A2258" s="91" t="s">
        <v>2480</v>
      </c>
      <c r="B2258" s="90" t="s">
        <v>150</v>
      </c>
      <c r="C2258" s="90" t="n">
        <v>4800</v>
      </c>
      <c r="D2258" s="90" t="s">
        <v>1144</v>
      </c>
    </row>
    <row r="2259" customFormat="false" ht="17.6" hidden="false" customHeight="false" outlineLevel="0" collapsed="false">
      <c r="A2259" s="91" t="s">
        <v>2481</v>
      </c>
      <c r="B2259" s="90" t="s">
        <v>150</v>
      </c>
      <c r="C2259" s="90" t="n">
        <v>3000</v>
      </c>
      <c r="D2259" s="90" t="s">
        <v>1144</v>
      </c>
    </row>
    <row r="2260" customFormat="false" ht="17.6" hidden="false" customHeight="false" outlineLevel="0" collapsed="false">
      <c r="A2260" s="91" t="s">
        <v>2482</v>
      </c>
      <c r="B2260" s="90" t="s">
        <v>904</v>
      </c>
      <c r="C2260" s="90" t="n">
        <v>2000</v>
      </c>
      <c r="D2260" s="90" t="s">
        <v>1144</v>
      </c>
      <c r="E2260" s="103"/>
      <c r="F2260" s="103"/>
      <c r="G2260" s="103"/>
      <c r="H2260" s="103"/>
      <c r="I2260" s="103"/>
      <c r="J2260" s="103"/>
      <c r="K2260" s="103"/>
      <c r="L2260" s="103"/>
      <c r="M2260" s="103"/>
      <c r="N2260" s="103"/>
      <c r="O2260" s="104"/>
      <c r="P2260" s="91"/>
      <c r="Q2260" s="91"/>
      <c r="R2260" s="91"/>
      <c r="S2260" s="91"/>
      <c r="T2260" s="91"/>
      <c r="U2260" s="91"/>
      <c r="V2260" s="91"/>
      <c r="W2260" s="91"/>
      <c r="X2260" s="91"/>
      <c r="Y2260" s="91"/>
      <c r="Z2260" s="91"/>
      <c r="AA2260" s="91"/>
      <c r="AB2260" s="91"/>
      <c r="AC2260" s="91"/>
      <c r="AD2260" s="91"/>
      <c r="AE2260" s="91"/>
      <c r="AF2260" s="91"/>
      <c r="AG2260" s="91"/>
      <c r="AH2260" s="91"/>
      <c r="AI2260" s="91"/>
      <c r="AJ2260" s="91"/>
      <c r="AK2260" s="91"/>
      <c r="AL2260" s="91"/>
      <c r="AM2260" s="91"/>
      <c r="AN2260" s="91"/>
      <c r="AO2260" s="91"/>
      <c r="AP2260" s="91"/>
      <c r="AQ2260" s="91"/>
      <c r="AR2260" s="91"/>
      <c r="AS2260" s="91"/>
      <c r="AT2260" s="91"/>
      <c r="AU2260" s="91"/>
      <c r="AV2260" s="91"/>
      <c r="AW2260" s="91"/>
      <c r="AX2260" s="91"/>
      <c r="AY2260" s="91"/>
      <c r="AZ2260" s="91"/>
      <c r="BA2260" s="91"/>
      <c r="BB2260" s="91"/>
      <c r="BC2260" s="91"/>
      <c r="BD2260" s="91"/>
      <c r="BE2260" s="91"/>
      <c r="BF2260" s="91"/>
      <c r="BG2260" s="91"/>
      <c r="BH2260" s="91"/>
      <c r="BI2260" s="91"/>
      <c r="BJ2260" s="91"/>
      <c r="BK2260" s="91"/>
      <c r="BL2260" s="91"/>
      <c r="BM2260" s="91"/>
      <c r="BN2260" s="91"/>
      <c r="BO2260" s="91"/>
      <c r="BP2260" s="91"/>
      <c r="BQ2260" s="91"/>
      <c r="BR2260" s="91"/>
      <c r="BS2260" s="91"/>
      <c r="BT2260" s="91"/>
      <c r="BU2260" s="91"/>
      <c r="BV2260" s="91"/>
      <c r="BW2260" s="91"/>
      <c r="BX2260" s="91"/>
      <c r="BY2260" s="91"/>
      <c r="BZ2260" s="91"/>
      <c r="CA2260" s="91"/>
      <c r="CB2260" s="91"/>
      <c r="CC2260" s="91"/>
      <c r="CD2260" s="91"/>
      <c r="CE2260" s="91"/>
      <c r="CF2260" s="91"/>
      <c r="CG2260" s="91"/>
      <c r="CH2260" s="91"/>
      <c r="CI2260" s="91"/>
      <c r="CJ2260" s="91"/>
      <c r="CK2260" s="91"/>
      <c r="CL2260" s="91"/>
      <c r="CM2260" s="91"/>
      <c r="CN2260" s="91"/>
      <c r="CO2260" s="91"/>
      <c r="CP2260" s="91"/>
      <c r="CQ2260" s="91"/>
      <c r="CR2260" s="91"/>
      <c r="CS2260" s="91"/>
      <c r="CT2260" s="91"/>
      <c r="CU2260" s="91"/>
      <c r="CV2260" s="91"/>
      <c r="CW2260" s="91"/>
      <c r="CX2260" s="91"/>
      <c r="CY2260" s="91"/>
      <c r="CZ2260" s="91"/>
      <c r="DA2260" s="91"/>
      <c r="DB2260" s="91"/>
      <c r="DC2260" s="91"/>
      <c r="DD2260" s="91"/>
      <c r="DE2260" s="91"/>
      <c r="DF2260" s="91"/>
      <c r="DG2260" s="91"/>
      <c r="DH2260" s="91"/>
      <c r="DI2260" s="91"/>
      <c r="DJ2260" s="91"/>
      <c r="DK2260" s="91"/>
      <c r="DL2260" s="91"/>
      <c r="DM2260" s="91"/>
      <c r="DN2260" s="91"/>
      <c r="DO2260" s="91"/>
      <c r="DP2260" s="91"/>
      <c r="DQ2260" s="91"/>
      <c r="DR2260" s="91"/>
      <c r="DS2260" s="91"/>
      <c r="DT2260" s="91"/>
      <c r="DU2260" s="91"/>
      <c r="DV2260" s="91"/>
      <c r="DW2260" s="91"/>
      <c r="DX2260" s="91"/>
      <c r="DY2260" s="91"/>
      <c r="DZ2260" s="91"/>
      <c r="EA2260" s="91"/>
      <c r="EB2260" s="91"/>
      <c r="EC2260" s="91"/>
      <c r="ED2260" s="91"/>
      <c r="EE2260" s="91"/>
      <c r="EF2260" s="91"/>
      <c r="EG2260" s="91"/>
      <c r="EH2260" s="91"/>
      <c r="EI2260" s="91"/>
      <c r="EJ2260" s="91"/>
      <c r="EK2260" s="91"/>
      <c r="EL2260" s="91"/>
      <c r="EM2260" s="91"/>
      <c r="EN2260" s="91"/>
      <c r="EO2260" s="91"/>
      <c r="EP2260" s="91"/>
      <c r="EQ2260" s="91"/>
      <c r="ER2260" s="91"/>
      <c r="ES2260" s="91"/>
      <c r="ET2260" s="91"/>
      <c r="EU2260" s="91"/>
      <c r="EV2260" s="91"/>
      <c r="EW2260" s="91"/>
      <c r="EX2260" s="91"/>
      <c r="EY2260" s="91"/>
      <c r="EZ2260" s="91"/>
      <c r="FA2260" s="91"/>
      <c r="FB2260" s="91"/>
      <c r="FC2260" s="91"/>
      <c r="FD2260" s="91"/>
      <c r="FE2260" s="91"/>
      <c r="FF2260" s="91"/>
      <c r="FG2260" s="91"/>
      <c r="FH2260" s="91"/>
      <c r="FI2260" s="91"/>
      <c r="FJ2260" s="91"/>
      <c r="FK2260" s="91"/>
      <c r="FL2260" s="91"/>
      <c r="FM2260" s="91"/>
      <c r="FN2260" s="91"/>
      <c r="FO2260" s="91"/>
      <c r="FP2260" s="91"/>
      <c r="FQ2260" s="91"/>
      <c r="FR2260" s="91"/>
      <c r="FS2260" s="91"/>
      <c r="FT2260" s="91"/>
      <c r="FU2260" s="91"/>
      <c r="FV2260" s="91"/>
      <c r="FW2260" s="91"/>
      <c r="FX2260" s="91"/>
      <c r="FY2260" s="91"/>
      <c r="FZ2260" s="91"/>
      <c r="GA2260" s="91"/>
      <c r="GB2260" s="91"/>
      <c r="GC2260" s="91"/>
      <c r="GD2260" s="91"/>
      <c r="GE2260" s="91"/>
      <c r="GF2260" s="91"/>
      <c r="GG2260" s="91"/>
      <c r="GH2260" s="91"/>
      <c r="GI2260" s="91"/>
      <c r="GJ2260" s="91"/>
      <c r="GK2260" s="91"/>
      <c r="GL2260" s="91"/>
      <c r="GM2260" s="91"/>
      <c r="GN2260" s="91"/>
      <c r="GO2260" s="91"/>
      <c r="GP2260" s="91"/>
      <c r="GQ2260" s="91"/>
      <c r="GR2260" s="91"/>
      <c r="GS2260" s="91"/>
      <c r="GT2260" s="91"/>
      <c r="GU2260" s="91"/>
      <c r="GV2260" s="91"/>
      <c r="GW2260" s="91"/>
      <c r="GX2260" s="91"/>
      <c r="GY2260" s="91"/>
      <c r="GZ2260" s="91"/>
      <c r="HA2260" s="91"/>
      <c r="HB2260" s="91"/>
      <c r="HC2260" s="91"/>
      <c r="HD2260" s="91"/>
      <c r="HE2260" s="91"/>
      <c r="HF2260" s="91"/>
      <c r="HG2260" s="91"/>
      <c r="HH2260" s="91"/>
      <c r="HI2260" s="91"/>
      <c r="HJ2260" s="91"/>
      <c r="HK2260" s="91"/>
      <c r="HL2260" s="91"/>
      <c r="HM2260" s="91"/>
      <c r="HN2260" s="91"/>
      <c r="HO2260" s="91"/>
      <c r="HP2260" s="91"/>
      <c r="HQ2260" s="91"/>
      <c r="HR2260" s="91"/>
      <c r="HS2260" s="91"/>
      <c r="HT2260" s="91"/>
      <c r="HU2260" s="91"/>
      <c r="HV2260" s="91"/>
      <c r="HW2260" s="91"/>
      <c r="HX2260" s="91"/>
      <c r="HY2260" s="91"/>
      <c r="HZ2260" s="91"/>
      <c r="IA2260" s="91"/>
      <c r="IB2260" s="91"/>
      <c r="IC2260" s="91"/>
      <c r="ID2260" s="91"/>
      <c r="IE2260" s="91"/>
      <c r="IF2260" s="91"/>
      <c r="IG2260" s="91"/>
      <c r="IH2260" s="91"/>
      <c r="II2260" s="91"/>
      <c r="IJ2260" s="91"/>
      <c r="IK2260" s="91"/>
      <c r="IL2260" s="91"/>
      <c r="IM2260" s="91"/>
      <c r="IN2260" s="91"/>
      <c r="IO2260" s="91"/>
      <c r="IP2260" s="91"/>
      <c r="IQ2260" s="91"/>
      <c r="IR2260" s="91"/>
      <c r="IS2260" s="91"/>
      <c r="IT2260" s="91"/>
      <c r="IU2260" s="91"/>
      <c r="IV2260" s="91"/>
      <c r="IW2260" s="91"/>
    </row>
    <row r="2261" customFormat="false" ht="17.6" hidden="false" customHeight="false" outlineLevel="0" collapsed="false">
      <c r="A2261" s="91"/>
      <c r="D2261" s="103"/>
      <c r="E2261" s="103"/>
      <c r="F2261" s="103"/>
      <c r="G2261" s="103"/>
      <c r="H2261" s="103"/>
      <c r="I2261" s="103"/>
      <c r="J2261" s="103"/>
      <c r="K2261" s="103"/>
      <c r="L2261" s="103"/>
      <c r="M2261" s="103"/>
      <c r="N2261" s="103"/>
      <c r="O2261" s="104"/>
      <c r="P2261" s="103"/>
      <c r="Q2261" s="103"/>
      <c r="R2261" s="103"/>
      <c r="S2261" s="103"/>
      <c r="T2261" s="103"/>
      <c r="U2261" s="103"/>
      <c r="V2261" s="103"/>
      <c r="W2261" s="103"/>
      <c r="X2261" s="103"/>
      <c r="Y2261" s="103"/>
      <c r="Z2261" s="103"/>
      <c r="AA2261" s="103"/>
      <c r="AB2261" s="103"/>
      <c r="AC2261" s="103"/>
      <c r="AD2261" s="103"/>
      <c r="AE2261" s="103"/>
      <c r="AF2261" s="103"/>
      <c r="AG2261" s="103"/>
      <c r="AH2261" s="103"/>
      <c r="AI2261" s="103"/>
      <c r="AJ2261" s="103"/>
      <c r="AK2261" s="103"/>
      <c r="AL2261" s="103"/>
      <c r="AM2261" s="103"/>
      <c r="AN2261" s="103"/>
      <c r="AO2261" s="103"/>
      <c r="AP2261" s="103"/>
      <c r="AQ2261" s="103"/>
      <c r="AR2261" s="103"/>
      <c r="AS2261" s="103"/>
      <c r="AT2261" s="103"/>
      <c r="AU2261" s="103"/>
      <c r="AV2261" s="103"/>
      <c r="AW2261" s="103"/>
      <c r="AX2261" s="103"/>
      <c r="AY2261" s="103"/>
      <c r="AZ2261" s="103"/>
      <c r="BA2261" s="103"/>
      <c r="BB2261" s="103"/>
      <c r="BC2261" s="103"/>
      <c r="BD2261" s="103"/>
      <c r="BE2261" s="103"/>
      <c r="BF2261" s="103"/>
      <c r="BG2261" s="103"/>
      <c r="BH2261" s="103"/>
      <c r="BI2261" s="103"/>
      <c r="BJ2261" s="103"/>
      <c r="BK2261" s="103"/>
      <c r="BL2261" s="103"/>
      <c r="BM2261" s="103"/>
      <c r="BN2261" s="103"/>
      <c r="BO2261" s="103"/>
      <c r="BP2261" s="103"/>
      <c r="BQ2261" s="103"/>
      <c r="BR2261" s="103"/>
      <c r="BS2261" s="103"/>
      <c r="BT2261" s="103"/>
      <c r="BU2261" s="103"/>
      <c r="BV2261" s="103"/>
      <c r="BW2261" s="103"/>
      <c r="BX2261" s="103"/>
      <c r="BY2261" s="103"/>
      <c r="BZ2261" s="103"/>
      <c r="CA2261" s="103"/>
      <c r="CB2261" s="103"/>
      <c r="CC2261" s="103"/>
      <c r="CD2261" s="103"/>
      <c r="CE2261" s="103"/>
      <c r="CF2261" s="103"/>
      <c r="CG2261" s="103"/>
      <c r="CH2261" s="103"/>
      <c r="CI2261" s="103"/>
      <c r="CJ2261" s="103"/>
      <c r="CK2261" s="103"/>
      <c r="CL2261" s="103"/>
      <c r="CM2261" s="103"/>
      <c r="CN2261" s="103"/>
      <c r="CO2261" s="103"/>
      <c r="CP2261" s="103"/>
      <c r="CQ2261" s="103"/>
      <c r="CR2261" s="103"/>
      <c r="CS2261" s="103"/>
      <c r="CT2261" s="103"/>
      <c r="CU2261" s="103"/>
      <c r="CV2261" s="103"/>
      <c r="CW2261" s="103"/>
      <c r="CX2261" s="103"/>
      <c r="CY2261" s="103"/>
      <c r="CZ2261" s="103"/>
      <c r="DA2261" s="103"/>
      <c r="DB2261" s="103"/>
      <c r="DC2261" s="103"/>
      <c r="DD2261" s="103"/>
      <c r="DE2261" s="103"/>
      <c r="DF2261" s="103"/>
      <c r="DG2261" s="103"/>
      <c r="DH2261" s="103"/>
      <c r="DI2261" s="103"/>
      <c r="DJ2261" s="103"/>
      <c r="DK2261" s="103"/>
      <c r="DL2261" s="103"/>
      <c r="DM2261" s="103"/>
      <c r="DN2261" s="103"/>
      <c r="DO2261" s="103"/>
      <c r="DP2261" s="103"/>
      <c r="DQ2261" s="103"/>
      <c r="DR2261" s="103"/>
      <c r="DS2261" s="103"/>
      <c r="DT2261" s="103"/>
      <c r="DU2261" s="103"/>
      <c r="DV2261" s="103"/>
      <c r="DW2261" s="103"/>
      <c r="DX2261" s="103"/>
      <c r="DY2261" s="103"/>
      <c r="DZ2261" s="103"/>
      <c r="EA2261" s="103"/>
      <c r="EB2261" s="103"/>
      <c r="EC2261" s="103"/>
      <c r="ED2261" s="103"/>
      <c r="EE2261" s="103"/>
      <c r="EF2261" s="103"/>
      <c r="EG2261" s="103"/>
      <c r="EH2261" s="103"/>
      <c r="EI2261" s="103"/>
      <c r="EJ2261" s="103"/>
      <c r="EK2261" s="103"/>
      <c r="EL2261" s="103"/>
      <c r="EM2261" s="103"/>
      <c r="EN2261" s="103"/>
      <c r="EO2261" s="103"/>
      <c r="EP2261" s="103"/>
      <c r="EQ2261" s="103"/>
      <c r="ER2261" s="103"/>
      <c r="ES2261" s="103"/>
      <c r="ET2261" s="103"/>
      <c r="EU2261" s="103"/>
      <c r="EV2261" s="103"/>
      <c r="EW2261" s="103"/>
      <c r="EX2261" s="103"/>
      <c r="EY2261" s="103"/>
      <c r="EZ2261" s="103"/>
      <c r="FA2261" s="103"/>
      <c r="FB2261" s="103"/>
      <c r="FC2261" s="103"/>
      <c r="FD2261" s="103"/>
      <c r="FE2261" s="103"/>
      <c r="FF2261" s="103"/>
      <c r="FG2261" s="103"/>
      <c r="FH2261" s="103"/>
      <c r="FI2261" s="103"/>
      <c r="FJ2261" s="103"/>
      <c r="FK2261" s="103"/>
      <c r="FL2261" s="103"/>
      <c r="FM2261" s="103"/>
      <c r="FN2261" s="103"/>
      <c r="FO2261" s="103"/>
      <c r="FP2261" s="103"/>
      <c r="FQ2261" s="103"/>
      <c r="FR2261" s="103"/>
      <c r="FS2261" s="103"/>
      <c r="FT2261" s="103"/>
      <c r="FU2261" s="103"/>
      <c r="FV2261" s="103"/>
      <c r="FW2261" s="103"/>
      <c r="FX2261" s="103"/>
      <c r="FY2261" s="103"/>
      <c r="FZ2261" s="103"/>
      <c r="GA2261" s="103"/>
      <c r="GB2261" s="103"/>
      <c r="GC2261" s="103"/>
      <c r="GD2261" s="103"/>
      <c r="GE2261" s="103"/>
      <c r="GF2261" s="103"/>
      <c r="GG2261" s="103"/>
      <c r="GH2261" s="103"/>
      <c r="GI2261" s="103"/>
      <c r="GJ2261" s="103"/>
      <c r="GK2261" s="103"/>
      <c r="GL2261" s="103"/>
      <c r="GM2261" s="103"/>
      <c r="GN2261" s="103"/>
      <c r="GO2261" s="103"/>
      <c r="GP2261" s="103"/>
      <c r="GQ2261" s="103"/>
      <c r="GR2261" s="103"/>
      <c r="GS2261" s="103"/>
      <c r="GT2261" s="103"/>
      <c r="GU2261" s="103"/>
      <c r="GV2261" s="103"/>
      <c r="GW2261" s="103"/>
      <c r="GX2261" s="103"/>
      <c r="GY2261" s="103"/>
      <c r="GZ2261" s="103"/>
      <c r="HA2261" s="103"/>
      <c r="HB2261" s="103"/>
      <c r="HC2261" s="103"/>
      <c r="HD2261" s="103"/>
      <c r="HE2261" s="103"/>
      <c r="HF2261" s="103"/>
      <c r="HG2261" s="103"/>
      <c r="HH2261" s="103"/>
      <c r="HI2261" s="103"/>
      <c r="HJ2261" s="103"/>
      <c r="HK2261" s="103"/>
      <c r="HL2261" s="103"/>
      <c r="HM2261" s="103"/>
      <c r="HN2261" s="103"/>
      <c r="HO2261" s="103"/>
      <c r="HP2261" s="103"/>
      <c r="HQ2261" s="103"/>
      <c r="HR2261" s="103"/>
      <c r="HS2261" s="103"/>
      <c r="HT2261" s="103"/>
      <c r="HU2261" s="103"/>
      <c r="HV2261" s="103"/>
      <c r="HW2261" s="103"/>
      <c r="HX2261" s="103"/>
      <c r="HY2261" s="103"/>
      <c r="HZ2261" s="103"/>
      <c r="IA2261" s="103"/>
      <c r="IB2261" s="103"/>
      <c r="IC2261" s="103"/>
      <c r="ID2261" s="103"/>
      <c r="IE2261" s="103"/>
      <c r="IF2261" s="103"/>
      <c r="IG2261" s="103"/>
      <c r="IH2261" s="103"/>
      <c r="II2261" s="103"/>
      <c r="IJ2261" s="103"/>
      <c r="IK2261" s="103"/>
      <c r="IL2261" s="103"/>
      <c r="IM2261" s="103"/>
      <c r="IN2261" s="103"/>
      <c r="IO2261" s="103"/>
      <c r="IP2261" s="103"/>
      <c r="IQ2261" s="103"/>
      <c r="IR2261" s="103"/>
      <c r="IS2261" s="103"/>
      <c r="IT2261" s="103"/>
      <c r="IU2261" s="103"/>
      <c r="IV2261" s="103"/>
      <c r="IW2261" s="103"/>
    </row>
    <row r="2262" customFormat="false" ht="17.6" hidden="false" customHeight="false" outlineLevel="0" collapsed="false">
      <c r="A2262" s="91" t="s">
        <v>2483</v>
      </c>
      <c r="B2262" s="90" t="s">
        <v>150</v>
      </c>
      <c r="C2262" s="90" t="n">
        <f aca="false">1440+2810</f>
        <v>4250</v>
      </c>
      <c r="D2262" s="103" t="s">
        <v>966</v>
      </c>
      <c r="E2262" s="103"/>
      <c r="F2262" s="103"/>
      <c r="G2262" s="103"/>
      <c r="H2262" s="103"/>
      <c r="I2262" s="103"/>
      <c r="J2262" s="103"/>
      <c r="K2262" s="103"/>
      <c r="L2262" s="103"/>
      <c r="M2262" s="103"/>
      <c r="N2262" s="103"/>
      <c r="O2262" s="104"/>
      <c r="P2262" s="103"/>
      <c r="Q2262" s="103"/>
      <c r="R2262" s="103"/>
      <c r="S2262" s="103"/>
      <c r="T2262" s="103"/>
      <c r="U2262" s="103"/>
      <c r="V2262" s="103"/>
      <c r="W2262" s="103"/>
      <c r="X2262" s="103"/>
      <c r="Y2262" s="103"/>
      <c r="Z2262" s="103"/>
      <c r="AA2262" s="103"/>
      <c r="AB2262" s="103"/>
      <c r="AC2262" s="103"/>
      <c r="AD2262" s="103"/>
      <c r="AE2262" s="103"/>
      <c r="AF2262" s="103"/>
      <c r="AG2262" s="103"/>
      <c r="AH2262" s="103"/>
      <c r="AI2262" s="103"/>
      <c r="AJ2262" s="103"/>
      <c r="AK2262" s="103"/>
      <c r="AL2262" s="103"/>
      <c r="AM2262" s="103"/>
      <c r="AN2262" s="103"/>
      <c r="AO2262" s="103"/>
      <c r="AP2262" s="103"/>
      <c r="AQ2262" s="103"/>
      <c r="AR2262" s="103"/>
      <c r="AS2262" s="103"/>
      <c r="AT2262" s="103"/>
      <c r="AU2262" s="103"/>
      <c r="AV2262" s="103"/>
      <c r="AW2262" s="103"/>
      <c r="AX2262" s="103"/>
      <c r="AY2262" s="103"/>
      <c r="AZ2262" s="103"/>
      <c r="BA2262" s="103"/>
      <c r="BB2262" s="103"/>
      <c r="BC2262" s="103"/>
      <c r="BD2262" s="103"/>
      <c r="BE2262" s="103"/>
      <c r="BF2262" s="103"/>
      <c r="BG2262" s="103"/>
      <c r="BH2262" s="103"/>
      <c r="BI2262" s="103"/>
      <c r="BJ2262" s="103"/>
      <c r="BK2262" s="103"/>
      <c r="BL2262" s="103"/>
      <c r="BM2262" s="103"/>
      <c r="BN2262" s="103"/>
      <c r="BO2262" s="103"/>
      <c r="BP2262" s="103"/>
      <c r="BQ2262" s="103"/>
      <c r="BR2262" s="103"/>
      <c r="BS2262" s="103"/>
      <c r="BT2262" s="103"/>
      <c r="BU2262" s="103"/>
      <c r="BV2262" s="103"/>
      <c r="BW2262" s="103"/>
      <c r="BX2262" s="103"/>
      <c r="BY2262" s="103"/>
      <c r="BZ2262" s="103"/>
      <c r="CA2262" s="103"/>
      <c r="CB2262" s="103"/>
      <c r="CC2262" s="103"/>
      <c r="CD2262" s="103"/>
      <c r="CE2262" s="103"/>
      <c r="CF2262" s="103"/>
      <c r="CG2262" s="103"/>
      <c r="CH2262" s="103"/>
      <c r="CI2262" s="103"/>
      <c r="CJ2262" s="103"/>
      <c r="CK2262" s="103"/>
      <c r="CL2262" s="103"/>
      <c r="CM2262" s="103"/>
      <c r="CN2262" s="103"/>
      <c r="CO2262" s="103"/>
      <c r="CP2262" s="103"/>
      <c r="CQ2262" s="103"/>
      <c r="CR2262" s="103"/>
      <c r="CS2262" s="103"/>
      <c r="CT2262" s="103"/>
      <c r="CU2262" s="103"/>
      <c r="CV2262" s="103"/>
      <c r="CW2262" s="103"/>
      <c r="CX2262" s="103"/>
      <c r="CY2262" s="103"/>
      <c r="CZ2262" s="103"/>
      <c r="DA2262" s="103"/>
      <c r="DB2262" s="103"/>
      <c r="DC2262" s="103"/>
      <c r="DD2262" s="103"/>
      <c r="DE2262" s="103"/>
      <c r="DF2262" s="103"/>
      <c r="DG2262" s="103"/>
      <c r="DH2262" s="103"/>
      <c r="DI2262" s="103"/>
      <c r="DJ2262" s="103"/>
      <c r="DK2262" s="103"/>
      <c r="DL2262" s="103"/>
      <c r="DM2262" s="103"/>
      <c r="DN2262" s="103"/>
      <c r="DO2262" s="103"/>
      <c r="DP2262" s="103"/>
      <c r="DQ2262" s="103"/>
      <c r="DR2262" s="103"/>
      <c r="DS2262" s="103"/>
      <c r="DT2262" s="103"/>
      <c r="DU2262" s="103"/>
      <c r="DV2262" s="103"/>
      <c r="DW2262" s="103"/>
      <c r="DX2262" s="103"/>
      <c r="DY2262" s="103"/>
      <c r="DZ2262" s="103"/>
      <c r="EA2262" s="103"/>
      <c r="EB2262" s="103"/>
      <c r="EC2262" s="103"/>
      <c r="ED2262" s="103"/>
      <c r="EE2262" s="103"/>
      <c r="EF2262" s="103"/>
      <c r="EG2262" s="103"/>
      <c r="EH2262" s="103"/>
      <c r="EI2262" s="103"/>
      <c r="EJ2262" s="103"/>
      <c r="EK2262" s="103"/>
      <c r="EL2262" s="103"/>
      <c r="EM2262" s="103"/>
      <c r="EN2262" s="103"/>
      <c r="EO2262" s="103"/>
      <c r="EP2262" s="103"/>
      <c r="EQ2262" s="103"/>
      <c r="ER2262" s="103"/>
      <c r="ES2262" s="103"/>
      <c r="ET2262" s="103"/>
      <c r="EU2262" s="103"/>
      <c r="EV2262" s="103"/>
      <c r="EW2262" s="103"/>
      <c r="EX2262" s="103"/>
      <c r="EY2262" s="103"/>
      <c r="EZ2262" s="103"/>
      <c r="FA2262" s="103"/>
      <c r="FB2262" s="103"/>
      <c r="FC2262" s="103"/>
      <c r="FD2262" s="103"/>
      <c r="FE2262" s="103"/>
      <c r="FF2262" s="103"/>
      <c r="FG2262" s="103"/>
      <c r="FH2262" s="103"/>
      <c r="FI2262" s="103"/>
      <c r="FJ2262" s="103"/>
      <c r="FK2262" s="103"/>
      <c r="FL2262" s="103"/>
      <c r="FM2262" s="103"/>
      <c r="FN2262" s="103"/>
      <c r="FO2262" s="103"/>
      <c r="FP2262" s="103"/>
      <c r="FQ2262" s="103"/>
      <c r="FR2262" s="103"/>
      <c r="FS2262" s="103"/>
      <c r="FT2262" s="103"/>
      <c r="FU2262" s="103"/>
      <c r="FV2262" s="103"/>
      <c r="FW2262" s="103"/>
      <c r="FX2262" s="103"/>
      <c r="FY2262" s="103"/>
      <c r="FZ2262" s="103"/>
      <c r="GA2262" s="103"/>
      <c r="GB2262" s="103"/>
      <c r="GC2262" s="103"/>
      <c r="GD2262" s="103"/>
      <c r="GE2262" s="103"/>
      <c r="GF2262" s="103"/>
      <c r="GG2262" s="103"/>
      <c r="GH2262" s="103"/>
      <c r="GI2262" s="103"/>
      <c r="GJ2262" s="103"/>
      <c r="GK2262" s="103"/>
      <c r="GL2262" s="103"/>
      <c r="GM2262" s="103"/>
      <c r="GN2262" s="103"/>
      <c r="GO2262" s="103"/>
      <c r="GP2262" s="103"/>
      <c r="GQ2262" s="103"/>
      <c r="GR2262" s="103"/>
      <c r="GS2262" s="103"/>
      <c r="GT2262" s="103"/>
      <c r="GU2262" s="103"/>
      <c r="GV2262" s="103"/>
      <c r="GW2262" s="103"/>
      <c r="GX2262" s="103"/>
      <c r="GY2262" s="103"/>
      <c r="GZ2262" s="103"/>
      <c r="HA2262" s="103"/>
      <c r="HB2262" s="103"/>
      <c r="HC2262" s="103"/>
      <c r="HD2262" s="103"/>
      <c r="HE2262" s="103"/>
      <c r="HF2262" s="103"/>
      <c r="HG2262" s="103"/>
      <c r="HH2262" s="103"/>
      <c r="HI2262" s="103"/>
      <c r="HJ2262" s="103"/>
      <c r="HK2262" s="103"/>
      <c r="HL2262" s="103"/>
      <c r="HM2262" s="103"/>
      <c r="HN2262" s="103"/>
      <c r="HO2262" s="103"/>
      <c r="HP2262" s="103"/>
      <c r="HQ2262" s="103"/>
      <c r="HR2262" s="103"/>
      <c r="HS2262" s="103"/>
      <c r="HT2262" s="103"/>
      <c r="HU2262" s="103"/>
      <c r="HV2262" s="103"/>
      <c r="HW2262" s="103"/>
      <c r="HX2262" s="103"/>
      <c r="HY2262" s="103"/>
      <c r="HZ2262" s="103"/>
      <c r="IA2262" s="103"/>
      <c r="IB2262" s="103"/>
      <c r="IC2262" s="103"/>
      <c r="ID2262" s="103"/>
      <c r="IE2262" s="103"/>
      <c r="IF2262" s="103"/>
      <c r="IG2262" s="103"/>
      <c r="IH2262" s="103"/>
      <c r="II2262" s="103"/>
      <c r="IJ2262" s="103"/>
      <c r="IK2262" s="103"/>
      <c r="IL2262" s="103"/>
      <c r="IM2262" s="103"/>
      <c r="IN2262" s="103"/>
      <c r="IO2262" s="103"/>
      <c r="IP2262" s="103"/>
      <c r="IQ2262" s="103"/>
      <c r="IR2262" s="103"/>
      <c r="IS2262" s="103"/>
      <c r="IT2262" s="103"/>
      <c r="IU2262" s="103"/>
      <c r="IV2262" s="103"/>
      <c r="IW2262" s="103"/>
    </row>
    <row r="2263" customFormat="false" ht="17.6" hidden="false" customHeight="false" outlineLevel="0" collapsed="false">
      <c r="A2263" s="91" t="s">
        <v>2484</v>
      </c>
      <c r="B2263" s="90" t="s">
        <v>150</v>
      </c>
      <c r="C2263" s="90" t="n">
        <f aca="false">110*50</f>
        <v>5500</v>
      </c>
      <c r="D2263" s="103" t="s">
        <v>966</v>
      </c>
      <c r="E2263" s="103"/>
      <c r="F2263" s="103"/>
      <c r="G2263" s="103"/>
      <c r="H2263" s="103"/>
      <c r="I2263" s="103"/>
      <c r="J2263" s="103"/>
      <c r="K2263" s="103"/>
      <c r="L2263" s="103"/>
      <c r="M2263" s="103"/>
      <c r="N2263" s="103"/>
      <c r="O2263" s="104"/>
      <c r="P2263" s="103"/>
      <c r="Q2263" s="103"/>
      <c r="R2263" s="103"/>
      <c r="S2263" s="103"/>
      <c r="T2263" s="103"/>
      <c r="U2263" s="103"/>
      <c r="V2263" s="103"/>
      <c r="W2263" s="103"/>
      <c r="X2263" s="103"/>
      <c r="Y2263" s="103"/>
      <c r="Z2263" s="103"/>
      <c r="AA2263" s="103"/>
      <c r="AB2263" s="103"/>
      <c r="AC2263" s="103"/>
      <c r="AD2263" s="103"/>
      <c r="AE2263" s="103"/>
      <c r="AF2263" s="103"/>
      <c r="AG2263" s="103"/>
      <c r="AH2263" s="103"/>
      <c r="AI2263" s="103"/>
      <c r="AJ2263" s="103"/>
      <c r="AK2263" s="103"/>
      <c r="AL2263" s="103"/>
      <c r="AM2263" s="103"/>
      <c r="AN2263" s="103"/>
      <c r="AO2263" s="103"/>
      <c r="AP2263" s="103"/>
      <c r="AQ2263" s="103"/>
      <c r="AR2263" s="103"/>
      <c r="AS2263" s="103"/>
      <c r="AT2263" s="103"/>
      <c r="AU2263" s="103"/>
      <c r="AV2263" s="103"/>
      <c r="AW2263" s="103"/>
      <c r="AX2263" s="103"/>
      <c r="AY2263" s="103"/>
      <c r="AZ2263" s="103"/>
      <c r="BA2263" s="103"/>
      <c r="BB2263" s="103"/>
      <c r="BC2263" s="103"/>
      <c r="BD2263" s="103"/>
      <c r="BE2263" s="103"/>
      <c r="BF2263" s="103"/>
      <c r="BG2263" s="103"/>
      <c r="BH2263" s="103"/>
      <c r="BI2263" s="103"/>
      <c r="BJ2263" s="103"/>
      <c r="BK2263" s="103"/>
      <c r="BL2263" s="103"/>
      <c r="BM2263" s="103"/>
      <c r="BN2263" s="103"/>
      <c r="BO2263" s="103"/>
      <c r="BP2263" s="103"/>
      <c r="BQ2263" s="103"/>
      <c r="BR2263" s="103"/>
      <c r="BS2263" s="103"/>
      <c r="BT2263" s="103"/>
      <c r="BU2263" s="103"/>
      <c r="BV2263" s="103"/>
      <c r="BW2263" s="103"/>
      <c r="BX2263" s="103"/>
      <c r="BY2263" s="103"/>
      <c r="BZ2263" s="103"/>
      <c r="CA2263" s="103"/>
      <c r="CB2263" s="103"/>
      <c r="CC2263" s="103"/>
      <c r="CD2263" s="103"/>
      <c r="CE2263" s="103"/>
      <c r="CF2263" s="103"/>
      <c r="CG2263" s="103"/>
      <c r="CH2263" s="103"/>
      <c r="CI2263" s="103"/>
      <c r="CJ2263" s="103"/>
      <c r="CK2263" s="103"/>
      <c r="CL2263" s="103"/>
      <c r="CM2263" s="103"/>
      <c r="CN2263" s="103"/>
      <c r="CO2263" s="103"/>
      <c r="CP2263" s="103"/>
      <c r="CQ2263" s="103"/>
      <c r="CR2263" s="103"/>
      <c r="CS2263" s="103"/>
      <c r="CT2263" s="103"/>
      <c r="CU2263" s="103"/>
      <c r="CV2263" s="103"/>
      <c r="CW2263" s="103"/>
      <c r="CX2263" s="103"/>
      <c r="CY2263" s="103"/>
      <c r="CZ2263" s="103"/>
      <c r="DA2263" s="103"/>
      <c r="DB2263" s="103"/>
      <c r="DC2263" s="103"/>
      <c r="DD2263" s="103"/>
      <c r="DE2263" s="103"/>
      <c r="DF2263" s="103"/>
      <c r="DG2263" s="103"/>
      <c r="DH2263" s="103"/>
      <c r="DI2263" s="103"/>
      <c r="DJ2263" s="103"/>
      <c r="DK2263" s="103"/>
      <c r="DL2263" s="103"/>
      <c r="DM2263" s="103"/>
      <c r="DN2263" s="103"/>
      <c r="DO2263" s="103"/>
      <c r="DP2263" s="103"/>
      <c r="DQ2263" s="103"/>
      <c r="DR2263" s="103"/>
      <c r="DS2263" s="103"/>
      <c r="DT2263" s="103"/>
      <c r="DU2263" s="103"/>
      <c r="DV2263" s="103"/>
      <c r="DW2263" s="103"/>
      <c r="DX2263" s="103"/>
      <c r="DY2263" s="103"/>
      <c r="DZ2263" s="103"/>
      <c r="EA2263" s="103"/>
      <c r="EB2263" s="103"/>
      <c r="EC2263" s="103"/>
      <c r="ED2263" s="103"/>
      <c r="EE2263" s="103"/>
      <c r="EF2263" s="103"/>
      <c r="EG2263" s="103"/>
      <c r="EH2263" s="103"/>
      <c r="EI2263" s="103"/>
      <c r="EJ2263" s="103"/>
      <c r="EK2263" s="103"/>
      <c r="EL2263" s="103"/>
      <c r="EM2263" s="103"/>
      <c r="EN2263" s="103"/>
      <c r="EO2263" s="103"/>
      <c r="EP2263" s="103"/>
      <c r="EQ2263" s="103"/>
      <c r="ER2263" s="103"/>
      <c r="ES2263" s="103"/>
      <c r="ET2263" s="103"/>
      <c r="EU2263" s="103"/>
      <c r="EV2263" s="103"/>
      <c r="EW2263" s="103"/>
      <c r="EX2263" s="103"/>
      <c r="EY2263" s="103"/>
      <c r="EZ2263" s="103"/>
      <c r="FA2263" s="103"/>
      <c r="FB2263" s="103"/>
      <c r="FC2263" s="103"/>
      <c r="FD2263" s="103"/>
      <c r="FE2263" s="103"/>
      <c r="FF2263" s="103"/>
      <c r="FG2263" s="103"/>
      <c r="FH2263" s="103"/>
      <c r="FI2263" s="103"/>
      <c r="FJ2263" s="103"/>
      <c r="FK2263" s="103"/>
      <c r="FL2263" s="103"/>
      <c r="FM2263" s="103"/>
      <c r="FN2263" s="103"/>
      <c r="FO2263" s="103"/>
      <c r="FP2263" s="103"/>
      <c r="FQ2263" s="103"/>
      <c r="FR2263" s="103"/>
      <c r="FS2263" s="103"/>
      <c r="FT2263" s="103"/>
      <c r="FU2263" s="103"/>
      <c r="FV2263" s="103"/>
      <c r="FW2263" s="103"/>
      <c r="FX2263" s="103"/>
      <c r="FY2263" s="103"/>
      <c r="FZ2263" s="103"/>
      <c r="GA2263" s="103"/>
      <c r="GB2263" s="103"/>
      <c r="GC2263" s="103"/>
      <c r="GD2263" s="103"/>
      <c r="GE2263" s="103"/>
      <c r="GF2263" s="103"/>
      <c r="GG2263" s="103"/>
      <c r="GH2263" s="103"/>
      <c r="GI2263" s="103"/>
      <c r="GJ2263" s="103"/>
      <c r="GK2263" s="103"/>
      <c r="GL2263" s="103"/>
      <c r="GM2263" s="103"/>
      <c r="GN2263" s="103"/>
      <c r="GO2263" s="103"/>
      <c r="GP2263" s="103"/>
      <c r="GQ2263" s="103"/>
      <c r="GR2263" s="103"/>
      <c r="GS2263" s="103"/>
      <c r="GT2263" s="103"/>
      <c r="GU2263" s="103"/>
      <c r="GV2263" s="103"/>
      <c r="GW2263" s="103"/>
      <c r="GX2263" s="103"/>
      <c r="GY2263" s="103"/>
      <c r="GZ2263" s="103"/>
      <c r="HA2263" s="103"/>
      <c r="HB2263" s="103"/>
      <c r="HC2263" s="103"/>
      <c r="HD2263" s="103"/>
      <c r="HE2263" s="103"/>
      <c r="HF2263" s="103"/>
      <c r="HG2263" s="103"/>
      <c r="HH2263" s="103"/>
      <c r="HI2263" s="103"/>
      <c r="HJ2263" s="103"/>
      <c r="HK2263" s="103"/>
      <c r="HL2263" s="103"/>
      <c r="HM2263" s="103"/>
      <c r="HN2263" s="103"/>
      <c r="HO2263" s="103"/>
      <c r="HP2263" s="103"/>
      <c r="HQ2263" s="103"/>
      <c r="HR2263" s="103"/>
      <c r="HS2263" s="103"/>
      <c r="HT2263" s="103"/>
      <c r="HU2263" s="103"/>
      <c r="HV2263" s="103"/>
      <c r="HW2263" s="103"/>
      <c r="HX2263" s="103"/>
      <c r="HY2263" s="103"/>
      <c r="HZ2263" s="103"/>
      <c r="IA2263" s="103"/>
      <c r="IB2263" s="103"/>
      <c r="IC2263" s="103"/>
      <c r="ID2263" s="103"/>
      <c r="IE2263" s="103"/>
      <c r="IF2263" s="103"/>
      <c r="IG2263" s="103"/>
      <c r="IH2263" s="103"/>
      <c r="II2263" s="103"/>
      <c r="IJ2263" s="103"/>
      <c r="IK2263" s="103"/>
      <c r="IL2263" s="103"/>
      <c r="IM2263" s="103"/>
      <c r="IN2263" s="103"/>
      <c r="IO2263" s="103"/>
      <c r="IP2263" s="103"/>
      <c r="IQ2263" s="103"/>
      <c r="IR2263" s="103"/>
      <c r="IS2263" s="103"/>
      <c r="IT2263" s="103"/>
      <c r="IU2263" s="103"/>
      <c r="IV2263" s="103"/>
      <c r="IW2263" s="103"/>
    </row>
    <row r="2264" customFormat="false" ht="17.6" hidden="false" customHeight="false" outlineLevel="0" collapsed="false">
      <c r="A2264" s="91" t="s">
        <v>2485</v>
      </c>
      <c r="B2264" s="90" t="s">
        <v>150</v>
      </c>
      <c r="C2264" s="90" t="n">
        <f aca="false">110*25</f>
        <v>2750</v>
      </c>
      <c r="D2264" s="103" t="s">
        <v>966</v>
      </c>
      <c r="E2264" s="103"/>
      <c r="F2264" s="103"/>
      <c r="G2264" s="103"/>
      <c r="H2264" s="103"/>
      <c r="I2264" s="103"/>
      <c r="J2264" s="103"/>
      <c r="K2264" s="103"/>
      <c r="L2264" s="103"/>
      <c r="M2264" s="103"/>
      <c r="N2264" s="103"/>
      <c r="O2264" s="104"/>
      <c r="P2264" s="103"/>
      <c r="Q2264" s="103"/>
      <c r="R2264" s="103"/>
      <c r="S2264" s="103"/>
      <c r="T2264" s="103"/>
      <c r="U2264" s="103"/>
      <c r="V2264" s="103"/>
      <c r="W2264" s="103"/>
      <c r="X2264" s="103"/>
      <c r="Y2264" s="103"/>
      <c r="Z2264" s="103"/>
      <c r="AA2264" s="103"/>
      <c r="AB2264" s="103"/>
      <c r="AC2264" s="103"/>
      <c r="AD2264" s="103"/>
      <c r="AE2264" s="103"/>
      <c r="AF2264" s="103"/>
      <c r="AG2264" s="103"/>
      <c r="AH2264" s="103"/>
      <c r="AI2264" s="103"/>
      <c r="AJ2264" s="103"/>
      <c r="AK2264" s="103"/>
      <c r="AL2264" s="103"/>
      <c r="AM2264" s="103"/>
      <c r="AN2264" s="103"/>
      <c r="AO2264" s="103"/>
      <c r="AP2264" s="103"/>
      <c r="AQ2264" s="103"/>
      <c r="AR2264" s="103"/>
      <c r="AS2264" s="103"/>
      <c r="AT2264" s="103"/>
      <c r="AU2264" s="103"/>
      <c r="AV2264" s="103"/>
      <c r="AW2264" s="103"/>
      <c r="AX2264" s="103"/>
      <c r="AY2264" s="103"/>
      <c r="AZ2264" s="103"/>
      <c r="BA2264" s="103"/>
      <c r="BB2264" s="103"/>
      <c r="BC2264" s="103"/>
      <c r="BD2264" s="103"/>
      <c r="BE2264" s="103"/>
      <c r="BF2264" s="103"/>
      <c r="BG2264" s="103"/>
      <c r="BH2264" s="103"/>
      <c r="BI2264" s="103"/>
      <c r="BJ2264" s="103"/>
      <c r="BK2264" s="103"/>
      <c r="BL2264" s="103"/>
      <c r="BM2264" s="103"/>
      <c r="BN2264" s="103"/>
      <c r="BO2264" s="103"/>
      <c r="BP2264" s="103"/>
      <c r="BQ2264" s="103"/>
      <c r="BR2264" s="103"/>
      <c r="BS2264" s="103"/>
      <c r="BT2264" s="103"/>
      <c r="BU2264" s="103"/>
      <c r="BV2264" s="103"/>
      <c r="BW2264" s="103"/>
      <c r="BX2264" s="103"/>
      <c r="BY2264" s="103"/>
      <c r="BZ2264" s="103"/>
      <c r="CA2264" s="103"/>
      <c r="CB2264" s="103"/>
      <c r="CC2264" s="103"/>
      <c r="CD2264" s="103"/>
      <c r="CE2264" s="103"/>
      <c r="CF2264" s="103"/>
      <c r="CG2264" s="103"/>
      <c r="CH2264" s="103"/>
      <c r="CI2264" s="103"/>
      <c r="CJ2264" s="103"/>
      <c r="CK2264" s="103"/>
      <c r="CL2264" s="103"/>
      <c r="CM2264" s="103"/>
      <c r="CN2264" s="103"/>
      <c r="CO2264" s="103"/>
      <c r="CP2264" s="103"/>
      <c r="CQ2264" s="103"/>
      <c r="CR2264" s="103"/>
      <c r="CS2264" s="103"/>
      <c r="CT2264" s="103"/>
      <c r="CU2264" s="103"/>
      <c r="CV2264" s="103"/>
      <c r="CW2264" s="103"/>
      <c r="CX2264" s="103"/>
      <c r="CY2264" s="103"/>
      <c r="CZ2264" s="103"/>
      <c r="DA2264" s="103"/>
      <c r="DB2264" s="103"/>
      <c r="DC2264" s="103"/>
      <c r="DD2264" s="103"/>
      <c r="DE2264" s="103"/>
      <c r="DF2264" s="103"/>
      <c r="DG2264" s="103"/>
      <c r="DH2264" s="103"/>
      <c r="DI2264" s="103"/>
      <c r="DJ2264" s="103"/>
      <c r="DK2264" s="103"/>
      <c r="DL2264" s="103"/>
      <c r="DM2264" s="103"/>
      <c r="DN2264" s="103"/>
      <c r="DO2264" s="103"/>
      <c r="DP2264" s="103"/>
      <c r="DQ2264" s="103"/>
      <c r="DR2264" s="103"/>
      <c r="DS2264" s="103"/>
      <c r="DT2264" s="103"/>
      <c r="DU2264" s="103"/>
      <c r="DV2264" s="103"/>
      <c r="DW2264" s="103"/>
      <c r="DX2264" s="103"/>
      <c r="DY2264" s="103"/>
      <c r="DZ2264" s="103"/>
      <c r="EA2264" s="103"/>
      <c r="EB2264" s="103"/>
      <c r="EC2264" s="103"/>
      <c r="ED2264" s="103"/>
      <c r="EE2264" s="103"/>
      <c r="EF2264" s="103"/>
      <c r="EG2264" s="103"/>
      <c r="EH2264" s="103"/>
      <c r="EI2264" s="103"/>
      <c r="EJ2264" s="103"/>
      <c r="EK2264" s="103"/>
      <c r="EL2264" s="103"/>
      <c r="EM2264" s="103"/>
      <c r="EN2264" s="103"/>
      <c r="EO2264" s="103"/>
      <c r="EP2264" s="103"/>
      <c r="EQ2264" s="103"/>
      <c r="ER2264" s="103"/>
      <c r="ES2264" s="103"/>
      <c r="ET2264" s="103"/>
      <c r="EU2264" s="103"/>
      <c r="EV2264" s="103"/>
      <c r="EW2264" s="103"/>
      <c r="EX2264" s="103"/>
      <c r="EY2264" s="103"/>
      <c r="EZ2264" s="103"/>
      <c r="FA2264" s="103"/>
      <c r="FB2264" s="103"/>
      <c r="FC2264" s="103"/>
      <c r="FD2264" s="103"/>
      <c r="FE2264" s="103"/>
      <c r="FF2264" s="103"/>
      <c r="FG2264" s="103"/>
      <c r="FH2264" s="103"/>
      <c r="FI2264" s="103"/>
      <c r="FJ2264" s="103"/>
      <c r="FK2264" s="103"/>
      <c r="FL2264" s="103"/>
      <c r="FM2264" s="103"/>
      <c r="FN2264" s="103"/>
      <c r="FO2264" s="103"/>
      <c r="FP2264" s="103"/>
      <c r="FQ2264" s="103"/>
      <c r="FR2264" s="103"/>
      <c r="FS2264" s="103"/>
      <c r="FT2264" s="103"/>
      <c r="FU2264" s="103"/>
      <c r="FV2264" s="103"/>
      <c r="FW2264" s="103"/>
      <c r="FX2264" s="103"/>
      <c r="FY2264" s="103"/>
      <c r="FZ2264" s="103"/>
      <c r="GA2264" s="103"/>
      <c r="GB2264" s="103"/>
      <c r="GC2264" s="103"/>
      <c r="GD2264" s="103"/>
      <c r="GE2264" s="103"/>
      <c r="GF2264" s="103"/>
      <c r="GG2264" s="103"/>
      <c r="GH2264" s="103"/>
      <c r="GI2264" s="103"/>
      <c r="GJ2264" s="103"/>
      <c r="GK2264" s="103"/>
      <c r="GL2264" s="103"/>
      <c r="GM2264" s="103"/>
      <c r="GN2264" s="103"/>
      <c r="GO2264" s="103"/>
      <c r="GP2264" s="103"/>
      <c r="GQ2264" s="103"/>
      <c r="GR2264" s="103"/>
      <c r="GS2264" s="103"/>
      <c r="GT2264" s="103"/>
      <c r="GU2264" s="103"/>
      <c r="GV2264" s="103"/>
      <c r="GW2264" s="103"/>
      <c r="GX2264" s="103"/>
      <c r="GY2264" s="103"/>
      <c r="GZ2264" s="103"/>
      <c r="HA2264" s="103"/>
      <c r="HB2264" s="103"/>
      <c r="HC2264" s="103"/>
      <c r="HD2264" s="103"/>
      <c r="HE2264" s="103"/>
      <c r="HF2264" s="103"/>
      <c r="HG2264" s="103"/>
      <c r="HH2264" s="103"/>
      <c r="HI2264" s="103"/>
      <c r="HJ2264" s="103"/>
      <c r="HK2264" s="103"/>
      <c r="HL2264" s="103"/>
      <c r="HM2264" s="103"/>
      <c r="HN2264" s="103"/>
      <c r="HO2264" s="103"/>
      <c r="HP2264" s="103"/>
      <c r="HQ2264" s="103"/>
      <c r="HR2264" s="103"/>
      <c r="HS2264" s="103"/>
      <c r="HT2264" s="103"/>
      <c r="HU2264" s="103"/>
      <c r="HV2264" s="103"/>
      <c r="HW2264" s="103"/>
      <c r="HX2264" s="103"/>
      <c r="HY2264" s="103"/>
      <c r="HZ2264" s="103"/>
      <c r="IA2264" s="103"/>
      <c r="IB2264" s="103"/>
      <c r="IC2264" s="103"/>
      <c r="ID2264" s="103"/>
      <c r="IE2264" s="103"/>
      <c r="IF2264" s="103"/>
      <c r="IG2264" s="103"/>
      <c r="IH2264" s="103"/>
      <c r="II2264" s="103"/>
      <c r="IJ2264" s="103"/>
      <c r="IK2264" s="103"/>
      <c r="IL2264" s="103"/>
      <c r="IM2264" s="103"/>
      <c r="IN2264" s="103"/>
      <c r="IO2264" s="103"/>
      <c r="IP2264" s="103"/>
      <c r="IQ2264" s="103"/>
      <c r="IR2264" s="103"/>
      <c r="IS2264" s="103"/>
      <c r="IT2264" s="103"/>
      <c r="IU2264" s="103"/>
      <c r="IV2264" s="103"/>
      <c r="IW2264" s="103"/>
    </row>
    <row r="2265" customFormat="false" ht="17.6" hidden="false" customHeight="false" outlineLevel="0" collapsed="false">
      <c r="A2265" s="91"/>
      <c r="D2265" s="103"/>
      <c r="E2265" s="103"/>
      <c r="F2265" s="103"/>
      <c r="G2265" s="103"/>
      <c r="H2265" s="103"/>
      <c r="I2265" s="103"/>
      <c r="J2265" s="103"/>
      <c r="K2265" s="103"/>
      <c r="L2265" s="103"/>
      <c r="M2265" s="103"/>
      <c r="N2265" s="103"/>
      <c r="O2265" s="104"/>
      <c r="P2265" s="103"/>
      <c r="Q2265" s="103"/>
      <c r="R2265" s="103"/>
      <c r="S2265" s="103"/>
      <c r="T2265" s="103"/>
      <c r="U2265" s="103"/>
      <c r="V2265" s="103"/>
      <c r="W2265" s="103"/>
      <c r="X2265" s="103"/>
      <c r="Y2265" s="103"/>
      <c r="Z2265" s="103"/>
      <c r="AA2265" s="103"/>
      <c r="AB2265" s="103"/>
      <c r="AC2265" s="103"/>
      <c r="AD2265" s="103"/>
      <c r="AE2265" s="103"/>
      <c r="AF2265" s="103"/>
      <c r="AG2265" s="103"/>
      <c r="AH2265" s="103"/>
      <c r="AI2265" s="103"/>
      <c r="AJ2265" s="103"/>
      <c r="AK2265" s="103"/>
      <c r="AL2265" s="103"/>
      <c r="AM2265" s="103"/>
      <c r="AN2265" s="103"/>
      <c r="AO2265" s="103"/>
      <c r="AP2265" s="103"/>
      <c r="AQ2265" s="103"/>
      <c r="AR2265" s="103"/>
      <c r="AS2265" s="103"/>
      <c r="AT2265" s="103"/>
      <c r="AU2265" s="103"/>
      <c r="AV2265" s="103"/>
      <c r="AW2265" s="103"/>
      <c r="AX2265" s="103"/>
      <c r="AY2265" s="103"/>
      <c r="AZ2265" s="103"/>
      <c r="BA2265" s="103"/>
      <c r="BB2265" s="103"/>
      <c r="BC2265" s="103"/>
      <c r="BD2265" s="103"/>
      <c r="BE2265" s="103"/>
      <c r="BF2265" s="103"/>
      <c r="BG2265" s="103"/>
      <c r="BH2265" s="103"/>
      <c r="BI2265" s="103"/>
      <c r="BJ2265" s="103"/>
      <c r="BK2265" s="103"/>
      <c r="BL2265" s="103"/>
      <c r="BM2265" s="103"/>
      <c r="BN2265" s="103"/>
      <c r="BO2265" s="103"/>
      <c r="BP2265" s="103"/>
      <c r="BQ2265" s="103"/>
      <c r="BR2265" s="103"/>
      <c r="BS2265" s="103"/>
      <c r="BT2265" s="103"/>
      <c r="BU2265" s="103"/>
      <c r="BV2265" s="103"/>
      <c r="BW2265" s="103"/>
      <c r="BX2265" s="103"/>
      <c r="BY2265" s="103"/>
      <c r="BZ2265" s="103"/>
      <c r="CA2265" s="103"/>
      <c r="CB2265" s="103"/>
      <c r="CC2265" s="103"/>
      <c r="CD2265" s="103"/>
      <c r="CE2265" s="103"/>
      <c r="CF2265" s="103"/>
      <c r="CG2265" s="103"/>
      <c r="CH2265" s="103"/>
      <c r="CI2265" s="103"/>
      <c r="CJ2265" s="103"/>
      <c r="CK2265" s="103"/>
      <c r="CL2265" s="103"/>
      <c r="CM2265" s="103"/>
      <c r="CN2265" s="103"/>
      <c r="CO2265" s="103"/>
      <c r="CP2265" s="103"/>
      <c r="CQ2265" s="103"/>
      <c r="CR2265" s="103"/>
      <c r="CS2265" s="103"/>
      <c r="CT2265" s="103"/>
      <c r="CU2265" s="103"/>
      <c r="CV2265" s="103"/>
      <c r="CW2265" s="103"/>
      <c r="CX2265" s="103"/>
      <c r="CY2265" s="103"/>
      <c r="CZ2265" s="103"/>
      <c r="DA2265" s="103"/>
      <c r="DB2265" s="103"/>
      <c r="DC2265" s="103"/>
      <c r="DD2265" s="103"/>
      <c r="DE2265" s="103"/>
      <c r="DF2265" s="103"/>
      <c r="DG2265" s="103"/>
      <c r="DH2265" s="103"/>
      <c r="DI2265" s="103"/>
      <c r="DJ2265" s="103"/>
      <c r="DK2265" s="103"/>
      <c r="DL2265" s="103"/>
      <c r="DM2265" s="103"/>
      <c r="DN2265" s="103"/>
      <c r="DO2265" s="103"/>
      <c r="DP2265" s="103"/>
      <c r="DQ2265" s="103"/>
      <c r="DR2265" s="103"/>
      <c r="DS2265" s="103"/>
      <c r="DT2265" s="103"/>
      <c r="DU2265" s="103"/>
      <c r="DV2265" s="103"/>
      <c r="DW2265" s="103"/>
      <c r="DX2265" s="103"/>
      <c r="DY2265" s="103"/>
      <c r="DZ2265" s="103"/>
      <c r="EA2265" s="103"/>
      <c r="EB2265" s="103"/>
      <c r="EC2265" s="103"/>
      <c r="ED2265" s="103"/>
      <c r="EE2265" s="103"/>
      <c r="EF2265" s="103"/>
      <c r="EG2265" s="103"/>
      <c r="EH2265" s="103"/>
      <c r="EI2265" s="103"/>
      <c r="EJ2265" s="103"/>
      <c r="EK2265" s="103"/>
      <c r="EL2265" s="103"/>
      <c r="EM2265" s="103"/>
      <c r="EN2265" s="103"/>
      <c r="EO2265" s="103"/>
      <c r="EP2265" s="103"/>
      <c r="EQ2265" s="103"/>
      <c r="ER2265" s="103"/>
      <c r="ES2265" s="103"/>
      <c r="ET2265" s="103"/>
      <c r="EU2265" s="103"/>
      <c r="EV2265" s="103"/>
      <c r="EW2265" s="103"/>
      <c r="EX2265" s="103"/>
      <c r="EY2265" s="103"/>
      <c r="EZ2265" s="103"/>
      <c r="FA2265" s="103"/>
      <c r="FB2265" s="103"/>
      <c r="FC2265" s="103"/>
      <c r="FD2265" s="103"/>
      <c r="FE2265" s="103"/>
      <c r="FF2265" s="103"/>
      <c r="FG2265" s="103"/>
      <c r="FH2265" s="103"/>
      <c r="FI2265" s="103"/>
      <c r="FJ2265" s="103"/>
      <c r="FK2265" s="103"/>
      <c r="FL2265" s="103"/>
      <c r="FM2265" s="103"/>
      <c r="FN2265" s="103"/>
      <c r="FO2265" s="103"/>
      <c r="FP2265" s="103"/>
      <c r="FQ2265" s="103"/>
      <c r="FR2265" s="103"/>
      <c r="FS2265" s="103"/>
      <c r="FT2265" s="103"/>
      <c r="FU2265" s="103"/>
      <c r="FV2265" s="103"/>
      <c r="FW2265" s="103"/>
      <c r="FX2265" s="103"/>
      <c r="FY2265" s="103"/>
      <c r="FZ2265" s="103"/>
      <c r="GA2265" s="103"/>
      <c r="GB2265" s="103"/>
      <c r="GC2265" s="103"/>
      <c r="GD2265" s="103"/>
      <c r="GE2265" s="103"/>
      <c r="GF2265" s="103"/>
      <c r="GG2265" s="103"/>
      <c r="GH2265" s="103"/>
      <c r="GI2265" s="103"/>
      <c r="GJ2265" s="103"/>
      <c r="GK2265" s="103"/>
      <c r="GL2265" s="103"/>
      <c r="GM2265" s="103"/>
      <c r="GN2265" s="103"/>
      <c r="GO2265" s="103"/>
      <c r="GP2265" s="103"/>
      <c r="GQ2265" s="103"/>
      <c r="GR2265" s="103"/>
      <c r="GS2265" s="103"/>
      <c r="GT2265" s="103"/>
      <c r="GU2265" s="103"/>
      <c r="GV2265" s="103"/>
      <c r="GW2265" s="103"/>
      <c r="GX2265" s="103"/>
      <c r="GY2265" s="103"/>
      <c r="GZ2265" s="103"/>
      <c r="HA2265" s="103"/>
      <c r="HB2265" s="103"/>
      <c r="HC2265" s="103"/>
      <c r="HD2265" s="103"/>
      <c r="HE2265" s="103"/>
      <c r="HF2265" s="103"/>
      <c r="HG2265" s="103"/>
      <c r="HH2265" s="103"/>
      <c r="HI2265" s="103"/>
      <c r="HJ2265" s="103"/>
      <c r="HK2265" s="103"/>
      <c r="HL2265" s="103"/>
      <c r="HM2265" s="103"/>
      <c r="HN2265" s="103"/>
      <c r="HO2265" s="103"/>
      <c r="HP2265" s="103"/>
      <c r="HQ2265" s="103"/>
      <c r="HR2265" s="103"/>
      <c r="HS2265" s="103"/>
      <c r="HT2265" s="103"/>
      <c r="HU2265" s="103"/>
      <c r="HV2265" s="103"/>
      <c r="HW2265" s="103"/>
      <c r="HX2265" s="103"/>
      <c r="HY2265" s="103"/>
      <c r="HZ2265" s="103"/>
      <c r="IA2265" s="103"/>
      <c r="IB2265" s="103"/>
      <c r="IC2265" s="103"/>
      <c r="ID2265" s="103"/>
      <c r="IE2265" s="103"/>
      <c r="IF2265" s="103"/>
      <c r="IG2265" s="103"/>
      <c r="IH2265" s="103"/>
      <c r="II2265" s="103"/>
      <c r="IJ2265" s="103"/>
      <c r="IK2265" s="103"/>
      <c r="IL2265" s="103"/>
      <c r="IM2265" s="103"/>
      <c r="IN2265" s="103"/>
      <c r="IO2265" s="103"/>
      <c r="IP2265" s="103"/>
      <c r="IQ2265" s="103"/>
      <c r="IR2265" s="103"/>
      <c r="IS2265" s="103"/>
      <c r="IT2265" s="103"/>
      <c r="IU2265" s="103"/>
      <c r="IV2265" s="103"/>
      <c r="IW2265" s="103"/>
    </row>
    <row r="2266" customFormat="false" ht="17.6" hidden="false" customHeight="false" outlineLevel="0" collapsed="false">
      <c r="A2266" s="91"/>
      <c r="D2266" s="103"/>
      <c r="E2266" s="103"/>
      <c r="F2266" s="103"/>
      <c r="G2266" s="103"/>
      <c r="H2266" s="103"/>
      <c r="I2266" s="103"/>
      <c r="J2266" s="103"/>
      <c r="K2266" s="103"/>
      <c r="L2266" s="103"/>
      <c r="M2266" s="103"/>
      <c r="N2266" s="103"/>
      <c r="O2266" s="104"/>
      <c r="P2266" s="103"/>
      <c r="Q2266" s="103"/>
      <c r="R2266" s="103"/>
      <c r="S2266" s="103"/>
      <c r="T2266" s="103"/>
      <c r="U2266" s="103"/>
      <c r="V2266" s="103"/>
      <c r="W2266" s="103"/>
      <c r="X2266" s="103"/>
      <c r="Y2266" s="103"/>
      <c r="Z2266" s="103"/>
      <c r="AA2266" s="103"/>
      <c r="AB2266" s="103"/>
      <c r="AC2266" s="103"/>
      <c r="AD2266" s="103"/>
      <c r="AE2266" s="103"/>
      <c r="AF2266" s="103"/>
      <c r="AG2266" s="103"/>
      <c r="AH2266" s="103"/>
      <c r="AI2266" s="103"/>
      <c r="AJ2266" s="103"/>
      <c r="AK2266" s="103"/>
      <c r="AL2266" s="103"/>
      <c r="AM2266" s="103"/>
      <c r="AN2266" s="103"/>
      <c r="AO2266" s="103"/>
      <c r="AP2266" s="103"/>
      <c r="AQ2266" s="103"/>
      <c r="AR2266" s="103"/>
      <c r="AS2266" s="103"/>
      <c r="AT2266" s="103"/>
      <c r="AU2266" s="103"/>
      <c r="AV2266" s="103"/>
      <c r="AW2266" s="103"/>
      <c r="AX2266" s="103"/>
      <c r="AY2266" s="103"/>
      <c r="AZ2266" s="103"/>
      <c r="BA2266" s="103"/>
      <c r="BB2266" s="103"/>
      <c r="BC2266" s="103"/>
      <c r="BD2266" s="103"/>
      <c r="BE2266" s="103"/>
      <c r="BF2266" s="103"/>
      <c r="BG2266" s="103"/>
      <c r="BH2266" s="103"/>
      <c r="BI2266" s="103"/>
      <c r="BJ2266" s="103"/>
      <c r="BK2266" s="103"/>
      <c r="BL2266" s="103"/>
      <c r="BM2266" s="103"/>
      <c r="BN2266" s="103"/>
      <c r="BO2266" s="103"/>
      <c r="BP2266" s="103"/>
      <c r="BQ2266" s="103"/>
      <c r="BR2266" s="103"/>
      <c r="BS2266" s="103"/>
      <c r="BT2266" s="103"/>
      <c r="BU2266" s="103"/>
      <c r="BV2266" s="103"/>
      <c r="BW2266" s="103"/>
      <c r="BX2266" s="103"/>
      <c r="BY2266" s="103"/>
      <c r="BZ2266" s="103"/>
      <c r="CA2266" s="103"/>
      <c r="CB2266" s="103"/>
      <c r="CC2266" s="103"/>
      <c r="CD2266" s="103"/>
      <c r="CE2266" s="103"/>
      <c r="CF2266" s="103"/>
      <c r="CG2266" s="103"/>
      <c r="CH2266" s="103"/>
      <c r="CI2266" s="103"/>
      <c r="CJ2266" s="103"/>
      <c r="CK2266" s="103"/>
      <c r="CL2266" s="103"/>
      <c r="CM2266" s="103"/>
      <c r="CN2266" s="103"/>
      <c r="CO2266" s="103"/>
      <c r="CP2266" s="103"/>
      <c r="CQ2266" s="103"/>
      <c r="CR2266" s="103"/>
      <c r="CS2266" s="103"/>
      <c r="CT2266" s="103"/>
      <c r="CU2266" s="103"/>
      <c r="CV2266" s="103"/>
      <c r="CW2266" s="103"/>
      <c r="CX2266" s="103"/>
      <c r="CY2266" s="103"/>
      <c r="CZ2266" s="103"/>
      <c r="DA2266" s="103"/>
      <c r="DB2266" s="103"/>
      <c r="DC2266" s="103"/>
      <c r="DD2266" s="103"/>
      <c r="DE2266" s="103"/>
      <c r="DF2266" s="103"/>
      <c r="DG2266" s="103"/>
      <c r="DH2266" s="103"/>
      <c r="DI2266" s="103"/>
      <c r="DJ2266" s="103"/>
      <c r="DK2266" s="103"/>
      <c r="DL2266" s="103"/>
      <c r="DM2266" s="103"/>
      <c r="DN2266" s="103"/>
      <c r="DO2266" s="103"/>
      <c r="DP2266" s="103"/>
      <c r="DQ2266" s="103"/>
      <c r="DR2266" s="103"/>
      <c r="DS2266" s="103"/>
      <c r="DT2266" s="103"/>
      <c r="DU2266" s="103"/>
      <c r="DV2266" s="103"/>
      <c r="DW2266" s="103"/>
      <c r="DX2266" s="103"/>
      <c r="DY2266" s="103"/>
      <c r="DZ2266" s="103"/>
      <c r="EA2266" s="103"/>
      <c r="EB2266" s="103"/>
      <c r="EC2266" s="103"/>
      <c r="ED2266" s="103"/>
      <c r="EE2266" s="103"/>
      <c r="EF2266" s="103"/>
      <c r="EG2266" s="103"/>
      <c r="EH2266" s="103"/>
      <c r="EI2266" s="103"/>
      <c r="EJ2266" s="103"/>
      <c r="EK2266" s="103"/>
      <c r="EL2266" s="103"/>
      <c r="EM2266" s="103"/>
      <c r="EN2266" s="103"/>
      <c r="EO2266" s="103"/>
      <c r="EP2266" s="103"/>
      <c r="EQ2266" s="103"/>
      <c r="ER2266" s="103"/>
      <c r="ES2266" s="103"/>
      <c r="ET2266" s="103"/>
      <c r="EU2266" s="103"/>
      <c r="EV2266" s="103"/>
      <c r="EW2266" s="103"/>
      <c r="EX2266" s="103"/>
      <c r="EY2266" s="103"/>
      <c r="EZ2266" s="103"/>
      <c r="FA2266" s="103"/>
      <c r="FB2266" s="103"/>
      <c r="FC2266" s="103"/>
      <c r="FD2266" s="103"/>
      <c r="FE2266" s="103"/>
      <c r="FF2266" s="103"/>
      <c r="FG2266" s="103"/>
      <c r="FH2266" s="103"/>
      <c r="FI2266" s="103"/>
      <c r="FJ2266" s="103"/>
      <c r="FK2266" s="103"/>
      <c r="FL2266" s="103"/>
      <c r="FM2266" s="103"/>
      <c r="FN2266" s="103"/>
      <c r="FO2266" s="103"/>
      <c r="FP2266" s="103"/>
      <c r="FQ2266" s="103"/>
      <c r="FR2266" s="103"/>
      <c r="FS2266" s="103"/>
      <c r="FT2266" s="103"/>
      <c r="FU2266" s="103"/>
      <c r="FV2266" s="103"/>
      <c r="FW2266" s="103"/>
      <c r="FX2266" s="103"/>
      <c r="FY2266" s="103"/>
      <c r="FZ2266" s="103"/>
      <c r="GA2266" s="103"/>
      <c r="GB2266" s="103"/>
      <c r="GC2266" s="103"/>
      <c r="GD2266" s="103"/>
      <c r="GE2266" s="103"/>
      <c r="GF2266" s="103"/>
      <c r="GG2266" s="103"/>
      <c r="GH2266" s="103"/>
      <c r="GI2266" s="103"/>
      <c r="GJ2266" s="103"/>
      <c r="GK2266" s="103"/>
      <c r="GL2266" s="103"/>
      <c r="GM2266" s="103"/>
      <c r="GN2266" s="103"/>
      <c r="GO2266" s="103"/>
      <c r="GP2266" s="103"/>
      <c r="GQ2266" s="103"/>
      <c r="GR2266" s="103"/>
      <c r="GS2266" s="103"/>
      <c r="GT2266" s="103"/>
      <c r="GU2266" s="103"/>
      <c r="GV2266" s="103"/>
      <c r="GW2266" s="103"/>
      <c r="GX2266" s="103"/>
      <c r="GY2266" s="103"/>
      <c r="GZ2266" s="103"/>
      <c r="HA2266" s="103"/>
      <c r="HB2266" s="103"/>
      <c r="HC2266" s="103"/>
      <c r="HD2266" s="103"/>
      <c r="HE2266" s="103"/>
      <c r="HF2266" s="103"/>
      <c r="HG2266" s="103"/>
      <c r="HH2266" s="103"/>
      <c r="HI2266" s="103"/>
      <c r="HJ2266" s="103"/>
      <c r="HK2266" s="103"/>
      <c r="HL2266" s="103"/>
      <c r="HM2266" s="103"/>
      <c r="HN2266" s="103"/>
      <c r="HO2266" s="103"/>
      <c r="HP2266" s="103"/>
      <c r="HQ2266" s="103"/>
      <c r="HR2266" s="103"/>
      <c r="HS2266" s="103"/>
      <c r="HT2266" s="103"/>
      <c r="HU2266" s="103"/>
      <c r="HV2266" s="103"/>
      <c r="HW2266" s="103"/>
      <c r="HX2266" s="103"/>
      <c r="HY2266" s="103"/>
      <c r="HZ2266" s="103"/>
      <c r="IA2266" s="103"/>
      <c r="IB2266" s="103"/>
      <c r="IC2266" s="103"/>
      <c r="ID2266" s="103"/>
      <c r="IE2266" s="103"/>
      <c r="IF2266" s="103"/>
      <c r="IG2266" s="103"/>
      <c r="IH2266" s="103"/>
      <c r="II2266" s="103"/>
      <c r="IJ2266" s="103"/>
      <c r="IK2266" s="103"/>
      <c r="IL2266" s="103"/>
      <c r="IM2266" s="103"/>
      <c r="IN2266" s="103"/>
      <c r="IO2266" s="103"/>
      <c r="IP2266" s="103"/>
      <c r="IQ2266" s="103"/>
      <c r="IR2266" s="103"/>
      <c r="IS2266" s="103"/>
      <c r="IT2266" s="103"/>
      <c r="IU2266" s="103"/>
      <c r="IV2266" s="103"/>
      <c r="IW2266" s="103"/>
    </row>
    <row r="2267" customFormat="false" ht="17.6" hidden="false" customHeight="false" outlineLevel="0" collapsed="false">
      <c r="A2267" s="91" t="s">
        <v>2486</v>
      </c>
      <c r="B2267" s="90" t="s">
        <v>904</v>
      </c>
      <c r="C2267" s="90" t="n">
        <v>1100</v>
      </c>
      <c r="D2267" s="103" t="s">
        <v>966</v>
      </c>
      <c r="E2267" s="103"/>
      <c r="F2267" s="103"/>
      <c r="G2267" s="103"/>
      <c r="H2267" s="103"/>
      <c r="I2267" s="103"/>
      <c r="J2267" s="103"/>
      <c r="K2267" s="103"/>
      <c r="L2267" s="103"/>
      <c r="M2267" s="103"/>
      <c r="N2267" s="103"/>
      <c r="O2267" s="104"/>
      <c r="P2267" s="103"/>
      <c r="Q2267" s="103"/>
      <c r="R2267" s="103"/>
      <c r="S2267" s="103"/>
      <c r="T2267" s="103"/>
      <c r="U2267" s="103"/>
      <c r="V2267" s="103"/>
      <c r="W2267" s="103"/>
      <c r="X2267" s="103"/>
      <c r="Y2267" s="103"/>
      <c r="Z2267" s="103"/>
      <c r="AA2267" s="103"/>
      <c r="AB2267" s="103"/>
      <c r="AC2267" s="103"/>
      <c r="AD2267" s="103"/>
      <c r="AE2267" s="103"/>
      <c r="AF2267" s="103"/>
      <c r="AG2267" s="103"/>
      <c r="AH2267" s="103"/>
      <c r="AI2267" s="103"/>
      <c r="AJ2267" s="103"/>
      <c r="AK2267" s="103"/>
      <c r="AL2267" s="103"/>
      <c r="AM2267" s="103"/>
      <c r="AN2267" s="103"/>
      <c r="AO2267" s="103"/>
      <c r="AP2267" s="103"/>
      <c r="AQ2267" s="103"/>
      <c r="AR2267" s="103"/>
      <c r="AS2267" s="103"/>
      <c r="AT2267" s="103"/>
      <c r="AU2267" s="103"/>
      <c r="AV2267" s="103"/>
      <c r="AW2267" s="103"/>
      <c r="AX2267" s="103"/>
      <c r="AY2267" s="103"/>
      <c r="AZ2267" s="103"/>
      <c r="BA2267" s="103"/>
      <c r="BB2267" s="103"/>
      <c r="BC2267" s="103"/>
      <c r="BD2267" s="103"/>
      <c r="BE2267" s="103"/>
      <c r="BF2267" s="103"/>
      <c r="BG2267" s="103"/>
      <c r="BH2267" s="103"/>
      <c r="BI2267" s="103"/>
      <c r="BJ2267" s="103"/>
      <c r="BK2267" s="103"/>
      <c r="BL2267" s="103"/>
      <c r="BM2267" s="103"/>
      <c r="BN2267" s="103"/>
      <c r="BO2267" s="103"/>
      <c r="BP2267" s="103"/>
      <c r="BQ2267" s="103"/>
      <c r="BR2267" s="103"/>
      <c r="BS2267" s="103"/>
      <c r="BT2267" s="103"/>
      <c r="BU2267" s="103"/>
      <c r="BV2267" s="103"/>
      <c r="BW2267" s="103"/>
      <c r="BX2267" s="103"/>
      <c r="BY2267" s="103"/>
      <c r="BZ2267" s="103"/>
      <c r="CA2267" s="103"/>
      <c r="CB2267" s="103"/>
      <c r="CC2267" s="103"/>
      <c r="CD2267" s="103"/>
      <c r="CE2267" s="103"/>
      <c r="CF2267" s="103"/>
      <c r="CG2267" s="103"/>
      <c r="CH2267" s="103"/>
      <c r="CI2267" s="103"/>
      <c r="CJ2267" s="103"/>
      <c r="CK2267" s="103"/>
      <c r="CL2267" s="103"/>
      <c r="CM2267" s="103"/>
      <c r="CN2267" s="103"/>
      <c r="CO2267" s="103"/>
      <c r="CP2267" s="103"/>
      <c r="CQ2267" s="103"/>
      <c r="CR2267" s="103"/>
      <c r="CS2267" s="103"/>
      <c r="CT2267" s="103"/>
      <c r="CU2267" s="103"/>
      <c r="CV2267" s="103"/>
      <c r="CW2267" s="103"/>
      <c r="CX2267" s="103"/>
      <c r="CY2267" s="103"/>
      <c r="CZ2267" s="103"/>
      <c r="DA2267" s="103"/>
      <c r="DB2267" s="103"/>
      <c r="DC2267" s="103"/>
      <c r="DD2267" s="103"/>
      <c r="DE2267" s="103"/>
      <c r="DF2267" s="103"/>
      <c r="DG2267" s="103"/>
      <c r="DH2267" s="103"/>
      <c r="DI2267" s="103"/>
      <c r="DJ2267" s="103"/>
      <c r="DK2267" s="103"/>
      <c r="DL2267" s="103"/>
      <c r="DM2267" s="103"/>
      <c r="DN2267" s="103"/>
      <c r="DO2267" s="103"/>
      <c r="DP2267" s="103"/>
      <c r="DQ2267" s="103"/>
      <c r="DR2267" s="103"/>
      <c r="DS2267" s="103"/>
      <c r="DT2267" s="103"/>
      <c r="DU2267" s="103"/>
      <c r="DV2267" s="103"/>
      <c r="DW2267" s="103"/>
      <c r="DX2267" s="103"/>
      <c r="DY2267" s="103"/>
      <c r="DZ2267" s="103"/>
      <c r="EA2267" s="103"/>
      <c r="EB2267" s="103"/>
      <c r="EC2267" s="103"/>
      <c r="ED2267" s="103"/>
      <c r="EE2267" s="103"/>
      <c r="EF2267" s="103"/>
      <c r="EG2267" s="103"/>
      <c r="EH2267" s="103"/>
      <c r="EI2267" s="103"/>
      <c r="EJ2267" s="103"/>
      <c r="EK2267" s="103"/>
      <c r="EL2267" s="103"/>
      <c r="EM2267" s="103"/>
      <c r="EN2267" s="103"/>
      <c r="EO2267" s="103"/>
      <c r="EP2267" s="103"/>
      <c r="EQ2267" s="103"/>
      <c r="ER2267" s="103"/>
      <c r="ES2267" s="103"/>
      <c r="ET2267" s="103"/>
      <c r="EU2267" s="103"/>
      <c r="EV2267" s="103"/>
      <c r="EW2267" s="103"/>
      <c r="EX2267" s="103"/>
      <c r="EY2267" s="103"/>
      <c r="EZ2267" s="103"/>
      <c r="FA2267" s="103"/>
      <c r="FB2267" s="103"/>
      <c r="FC2267" s="103"/>
      <c r="FD2267" s="103"/>
      <c r="FE2267" s="103"/>
      <c r="FF2267" s="103"/>
      <c r="FG2267" s="103"/>
      <c r="FH2267" s="103"/>
      <c r="FI2267" s="103"/>
      <c r="FJ2267" s="103"/>
      <c r="FK2267" s="103"/>
      <c r="FL2267" s="103"/>
      <c r="FM2267" s="103"/>
      <c r="FN2267" s="103"/>
      <c r="FO2267" s="103"/>
      <c r="FP2267" s="103"/>
      <c r="FQ2267" s="103"/>
      <c r="FR2267" s="103"/>
      <c r="FS2267" s="103"/>
      <c r="FT2267" s="103"/>
      <c r="FU2267" s="103"/>
      <c r="FV2267" s="103"/>
      <c r="FW2267" s="103"/>
      <c r="FX2267" s="103"/>
      <c r="FY2267" s="103"/>
      <c r="FZ2267" s="103"/>
      <c r="GA2267" s="103"/>
      <c r="GB2267" s="103"/>
      <c r="GC2267" s="103"/>
      <c r="GD2267" s="103"/>
      <c r="GE2267" s="103"/>
      <c r="GF2267" s="103"/>
      <c r="GG2267" s="103"/>
      <c r="GH2267" s="103"/>
      <c r="GI2267" s="103"/>
      <c r="GJ2267" s="103"/>
      <c r="GK2267" s="103"/>
      <c r="GL2267" s="103"/>
      <c r="GM2267" s="103"/>
      <c r="GN2267" s="103"/>
      <c r="GO2267" s="103"/>
      <c r="GP2267" s="103"/>
      <c r="GQ2267" s="103"/>
      <c r="GR2267" s="103"/>
      <c r="GS2267" s="103"/>
      <c r="GT2267" s="103"/>
      <c r="GU2267" s="103"/>
      <c r="GV2267" s="103"/>
      <c r="GW2267" s="103"/>
      <c r="GX2267" s="103"/>
      <c r="GY2267" s="103"/>
      <c r="GZ2267" s="103"/>
      <c r="HA2267" s="103"/>
      <c r="HB2267" s="103"/>
      <c r="HC2267" s="103"/>
      <c r="HD2267" s="103"/>
      <c r="HE2267" s="103"/>
      <c r="HF2267" s="103"/>
      <c r="HG2267" s="103"/>
      <c r="HH2267" s="103"/>
      <c r="HI2267" s="103"/>
      <c r="HJ2267" s="103"/>
      <c r="HK2267" s="103"/>
      <c r="HL2267" s="103"/>
      <c r="HM2267" s="103"/>
      <c r="HN2267" s="103"/>
      <c r="HO2267" s="103"/>
      <c r="HP2267" s="103"/>
      <c r="HQ2267" s="103"/>
      <c r="HR2267" s="103"/>
      <c r="HS2267" s="103"/>
      <c r="HT2267" s="103"/>
      <c r="HU2267" s="103"/>
      <c r="HV2267" s="103"/>
      <c r="HW2267" s="103"/>
      <c r="HX2267" s="103"/>
      <c r="HY2267" s="103"/>
      <c r="HZ2267" s="103"/>
      <c r="IA2267" s="103"/>
      <c r="IB2267" s="103"/>
      <c r="IC2267" s="103"/>
      <c r="ID2267" s="103"/>
      <c r="IE2267" s="103"/>
      <c r="IF2267" s="103"/>
      <c r="IG2267" s="103"/>
      <c r="IH2267" s="103"/>
      <c r="II2267" s="103"/>
      <c r="IJ2267" s="103"/>
      <c r="IK2267" s="103"/>
      <c r="IL2267" s="103"/>
      <c r="IM2267" s="103"/>
      <c r="IN2267" s="103"/>
      <c r="IO2267" s="103"/>
      <c r="IP2267" s="103"/>
      <c r="IQ2267" s="103"/>
      <c r="IR2267" s="103"/>
      <c r="IS2267" s="103"/>
      <c r="IT2267" s="103"/>
      <c r="IU2267" s="103"/>
      <c r="IV2267" s="103"/>
      <c r="IW2267" s="103"/>
    </row>
    <row r="2268" customFormat="false" ht="17.6" hidden="false" customHeight="false" outlineLevel="0" collapsed="false">
      <c r="A2268" s="91"/>
    </row>
    <row r="2269" customFormat="false" ht="17.6" hidden="false" customHeight="false" outlineLevel="0" collapsed="false">
      <c r="A2269" s="91" t="s">
        <v>2487</v>
      </c>
      <c r="B2269" s="90" t="s">
        <v>873</v>
      </c>
      <c r="C2269" s="90" t="n">
        <f aca="false">1875.2*0.63</f>
        <v>1181.376</v>
      </c>
      <c r="D2269" s="103" t="s">
        <v>2488</v>
      </c>
      <c r="E2269" s="103"/>
      <c r="F2269" s="103"/>
      <c r="G2269" s="103"/>
      <c r="H2269" s="103"/>
      <c r="I2269" s="103"/>
      <c r="J2269" s="103"/>
      <c r="K2269" s="103"/>
      <c r="L2269" s="103"/>
      <c r="M2269" s="103"/>
      <c r="N2269" s="103"/>
      <c r="O2269" s="104"/>
      <c r="P2269" s="103"/>
      <c r="Q2269" s="103"/>
      <c r="R2269" s="103"/>
      <c r="S2269" s="103"/>
      <c r="T2269" s="103"/>
      <c r="U2269" s="103"/>
      <c r="V2269" s="103"/>
      <c r="W2269" s="103"/>
      <c r="X2269" s="103"/>
      <c r="Y2269" s="103"/>
      <c r="Z2269" s="103"/>
      <c r="AA2269" s="103"/>
      <c r="AB2269" s="103"/>
      <c r="AC2269" s="103"/>
      <c r="AD2269" s="103"/>
      <c r="AE2269" s="103"/>
      <c r="AF2269" s="103"/>
      <c r="AG2269" s="103"/>
      <c r="AH2269" s="103"/>
      <c r="AI2269" s="103"/>
      <c r="AJ2269" s="103"/>
      <c r="AK2269" s="103"/>
      <c r="AL2269" s="103"/>
      <c r="AM2269" s="103"/>
      <c r="AN2269" s="103"/>
      <c r="AO2269" s="103"/>
      <c r="AP2269" s="103"/>
      <c r="AQ2269" s="103"/>
      <c r="AR2269" s="103"/>
      <c r="AS2269" s="103"/>
      <c r="AT2269" s="103"/>
      <c r="AU2269" s="103"/>
      <c r="AV2269" s="103"/>
      <c r="AW2269" s="103"/>
      <c r="AX2269" s="103"/>
      <c r="AY2269" s="103"/>
      <c r="AZ2269" s="103"/>
      <c r="BA2269" s="103"/>
      <c r="BB2269" s="103"/>
      <c r="BC2269" s="103"/>
      <c r="BD2269" s="103"/>
      <c r="BE2269" s="103"/>
      <c r="BF2269" s="103"/>
      <c r="BG2269" s="103"/>
      <c r="BH2269" s="103"/>
      <c r="BI2269" s="103"/>
      <c r="BJ2269" s="103"/>
      <c r="BK2269" s="103"/>
      <c r="BL2269" s="103"/>
      <c r="BM2269" s="103"/>
      <c r="BN2269" s="103"/>
      <c r="BO2269" s="103"/>
      <c r="BP2269" s="103"/>
      <c r="BQ2269" s="103"/>
      <c r="BR2269" s="103"/>
      <c r="BS2269" s="103"/>
      <c r="BT2269" s="103"/>
      <c r="BU2269" s="103"/>
      <c r="BV2269" s="103"/>
      <c r="BW2269" s="103"/>
      <c r="BX2269" s="103"/>
      <c r="BY2269" s="103"/>
      <c r="BZ2269" s="103"/>
      <c r="CA2269" s="103"/>
      <c r="CB2269" s="103"/>
      <c r="CC2269" s="103"/>
      <c r="CD2269" s="103"/>
      <c r="CE2269" s="103"/>
      <c r="CF2269" s="103"/>
      <c r="CG2269" s="103"/>
      <c r="CH2269" s="103"/>
      <c r="CI2269" s="103"/>
      <c r="CJ2269" s="103"/>
      <c r="CK2269" s="103"/>
      <c r="CL2269" s="103"/>
      <c r="CM2269" s="103"/>
      <c r="CN2269" s="103"/>
      <c r="CO2269" s="103"/>
      <c r="CP2269" s="103"/>
      <c r="CQ2269" s="103"/>
      <c r="CR2269" s="103"/>
      <c r="CS2269" s="103"/>
      <c r="CT2269" s="103"/>
      <c r="CU2269" s="103"/>
      <c r="CV2269" s="103"/>
      <c r="CW2269" s="103"/>
      <c r="CX2269" s="103"/>
      <c r="CY2269" s="103"/>
      <c r="CZ2269" s="103"/>
      <c r="DA2269" s="103"/>
      <c r="DB2269" s="103"/>
      <c r="DC2269" s="103"/>
      <c r="DD2269" s="103"/>
      <c r="DE2269" s="103"/>
      <c r="DF2269" s="103"/>
      <c r="DG2269" s="103"/>
      <c r="DH2269" s="103"/>
      <c r="DI2269" s="103"/>
      <c r="DJ2269" s="103"/>
      <c r="DK2269" s="103"/>
      <c r="DL2269" s="103"/>
      <c r="DM2269" s="103"/>
      <c r="DN2269" s="103"/>
      <c r="DO2269" s="103"/>
      <c r="DP2269" s="103"/>
      <c r="DQ2269" s="103"/>
      <c r="DR2269" s="103"/>
      <c r="DS2269" s="103"/>
      <c r="DT2269" s="103"/>
      <c r="DU2269" s="103"/>
      <c r="DV2269" s="103"/>
      <c r="DW2269" s="103"/>
      <c r="DX2269" s="103"/>
      <c r="DY2269" s="103"/>
      <c r="DZ2269" s="103"/>
      <c r="EA2269" s="103"/>
      <c r="EB2269" s="103"/>
      <c r="EC2269" s="103"/>
      <c r="ED2269" s="103"/>
      <c r="EE2269" s="103"/>
      <c r="EF2269" s="103"/>
      <c r="EG2269" s="103"/>
      <c r="EH2269" s="103"/>
      <c r="EI2269" s="103"/>
      <c r="EJ2269" s="103"/>
      <c r="EK2269" s="103"/>
      <c r="EL2269" s="103"/>
      <c r="EM2269" s="103"/>
      <c r="EN2269" s="103"/>
      <c r="EO2269" s="103"/>
      <c r="EP2269" s="103"/>
      <c r="EQ2269" s="103"/>
      <c r="ER2269" s="103"/>
      <c r="ES2269" s="103"/>
      <c r="ET2269" s="103"/>
      <c r="EU2269" s="103"/>
      <c r="EV2269" s="103"/>
      <c r="EW2269" s="103"/>
      <c r="EX2269" s="103"/>
      <c r="EY2269" s="103"/>
      <c r="EZ2269" s="103"/>
      <c r="FA2269" s="103"/>
      <c r="FB2269" s="103"/>
      <c r="FC2269" s="103"/>
      <c r="FD2269" s="103"/>
      <c r="FE2269" s="103"/>
      <c r="FF2269" s="103"/>
      <c r="FG2269" s="103"/>
      <c r="FH2269" s="103"/>
      <c r="FI2269" s="103"/>
      <c r="FJ2269" s="103"/>
      <c r="FK2269" s="103"/>
      <c r="FL2269" s="103"/>
      <c r="FM2269" s="103"/>
      <c r="FN2269" s="103"/>
      <c r="FO2269" s="103"/>
      <c r="FP2269" s="103"/>
      <c r="FQ2269" s="103"/>
      <c r="FR2269" s="103"/>
      <c r="FS2269" s="103"/>
      <c r="FT2269" s="103"/>
      <c r="FU2269" s="103"/>
      <c r="FV2269" s="103"/>
      <c r="FW2269" s="103"/>
      <c r="FX2269" s="103"/>
      <c r="FY2269" s="103"/>
      <c r="FZ2269" s="103"/>
      <c r="GA2269" s="103"/>
      <c r="GB2269" s="103"/>
      <c r="GC2269" s="103"/>
      <c r="GD2269" s="103"/>
      <c r="GE2269" s="103"/>
      <c r="GF2269" s="103"/>
      <c r="GG2269" s="103"/>
      <c r="GH2269" s="103"/>
      <c r="GI2269" s="103"/>
      <c r="GJ2269" s="103"/>
      <c r="GK2269" s="103"/>
      <c r="GL2269" s="103"/>
      <c r="GM2269" s="103"/>
      <c r="GN2269" s="103"/>
      <c r="GO2269" s="103"/>
      <c r="GP2269" s="103"/>
      <c r="GQ2269" s="103"/>
      <c r="GR2269" s="103"/>
      <c r="GS2269" s="103"/>
      <c r="GT2269" s="103"/>
      <c r="GU2269" s="103"/>
      <c r="GV2269" s="103"/>
      <c r="GW2269" s="103"/>
      <c r="GX2269" s="103"/>
      <c r="GY2269" s="103"/>
      <c r="GZ2269" s="103"/>
      <c r="HA2269" s="103"/>
      <c r="HB2269" s="103"/>
      <c r="HC2269" s="103"/>
      <c r="HD2269" s="103"/>
      <c r="HE2269" s="103"/>
      <c r="HF2269" s="103"/>
      <c r="HG2269" s="103"/>
      <c r="HH2269" s="103"/>
      <c r="HI2269" s="103"/>
      <c r="HJ2269" s="103"/>
      <c r="HK2269" s="103"/>
      <c r="HL2269" s="103"/>
      <c r="HM2269" s="103"/>
      <c r="HN2269" s="103"/>
      <c r="HO2269" s="103"/>
      <c r="HP2269" s="103"/>
      <c r="HQ2269" s="103"/>
      <c r="HR2269" s="103"/>
      <c r="HS2269" s="103"/>
      <c r="HT2269" s="103"/>
      <c r="HU2269" s="103"/>
      <c r="HV2269" s="103"/>
      <c r="HW2269" s="103"/>
      <c r="HX2269" s="103"/>
      <c r="HY2269" s="103"/>
      <c r="HZ2269" s="103"/>
      <c r="IA2269" s="103"/>
      <c r="IB2269" s="103"/>
      <c r="IC2269" s="103"/>
      <c r="ID2269" s="103"/>
      <c r="IE2269" s="103"/>
      <c r="IF2269" s="103"/>
      <c r="IG2269" s="103"/>
      <c r="IH2269" s="103"/>
      <c r="II2269" s="103"/>
      <c r="IJ2269" s="103"/>
      <c r="IK2269" s="103"/>
      <c r="IL2269" s="103"/>
      <c r="IM2269" s="103"/>
      <c r="IN2269" s="103"/>
      <c r="IO2269" s="103"/>
      <c r="IP2269" s="103"/>
      <c r="IQ2269" s="103"/>
      <c r="IR2269" s="103"/>
      <c r="IS2269" s="103"/>
      <c r="IT2269" s="103"/>
      <c r="IU2269" s="103"/>
      <c r="IV2269" s="103"/>
      <c r="IW2269" s="103"/>
    </row>
    <row r="2270" customFormat="false" ht="17.6" hidden="false" customHeight="false" outlineLevel="0" collapsed="false">
      <c r="A2270" s="91" t="s">
        <v>2489</v>
      </c>
      <c r="B2270" s="90" t="s">
        <v>1156</v>
      </c>
      <c r="C2270" s="90" t="n">
        <f aca="false">23.5*0.6</f>
        <v>14.1</v>
      </c>
      <c r="D2270" s="103" t="s">
        <v>2455</v>
      </c>
      <c r="E2270" s="103"/>
      <c r="F2270" s="103"/>
      <c r="G2270" s="103"/>
      <c r="H2270" s="103"/>
      <c r="I2270" s="103"/>
      <c r="J2270" s="103"/>
      <c r="K2270" s="103"/>
      <c r="L2270" s="103"/>
      <c r="M2270" s="103"/>
      <c r="N2270" s="103"/>
      <c r="O2270" s="104"/>
      <c r="P2270" s="103"/>
      <c r="Q2270" s="103"/>
      <c r="R2270" s="103"/>
      <c r="S2270" s="103"/>
      <c r="T2270" s="103"/>
      <c r="U2270" s="103"/>
      <c r="V2270" s="103"/>
      <c r="W2270" s="103"/>
      <c r="X2270" s="103"/>
      <c r="Y2270" s="103"/>
      <c r="Z2270" s="103"/>
      <c r="AA2270" s="103"/>
      <c r="AB2270" s="103"/>
      <c r="AC2270" s="103"/>
      <c r="AD2270" s="103"/>
      <c r="AE2270" s="103"/>
      <c r="AF2270" s="103"/>
      <c r="AG2270" s="103"/>
      <c r="AH2270" s="103"/>
      <c r="AI2270" s="103"/>
      <c r="AJ2270" s="103"/>
      <c r="AK2270" s="103"/>
      <c r="AL2270" s="103"/>
      <c r="AM2270" s="103"/>
      <c r="AN2270" s="103"/>
      <c r="AO2270" s="103"/>
      <c r="AP2270" s="103"/>
      <c r="AQ2270" s="103"/>
      <c r="AR2270" s="103"/>
      <c r="AS2270" s="103"/>
      <c r="AT2270" s="103"/>
      <c r="AU2270" s="103"/>
      <c r="AV2270" s="103"/>
      <c r="AW2270" s="103"/>
      <c r="AX2270" s="103"/>
      <c r="AY2270" s="103"/>
      <c r="AZ2270" s="103"/>
      <c r="BA2270" s="103"/>
      <c r="BB2270" s="103"/>
      <c r="BC2270" s="103"/>
      <c r="BD2270" s="103"/>
      <c r="BE2270" s="103"/>
      <c r="BF2270" s="103"/>
      <c r="BG2270" s="103"/>
      <c r="BH2270" s="103"/>
      <c r="BI2270" s="103"/>
      <c r="BJ2270" s="103"/>
      <c r="BK2270" s="103"/>
      <c r="BL2270" s="103"/>
      <c r="BM2270" s="103"/>
      <c r="BN2270" s="103"/>
      <c r="BO2270" s="103"/>
      <c r="BP2270" s="103"/>
      <c r="BQ2270" s="103"/>
      <c r="BR2270" s="103"/>
      <c r="BS2270" s="103"/>
      <c r="BT2270" s="103"/>
      <c r="BU2270" s="103"/>
      <c r="BV2270" s="103"/>
      <c r="BW2270" s="103"/>
      <c r="BX2270" s="103"/>
      <c r="BY2270" s="103"/>
      <c r="BZ2270" s="103"/>
      <c r="CA2270" s="103"/>
      <c r="CB2270" s="103"/>
      <c r="CC2270" s="103"/>
      <c r="CD2270" s="103"/>
      <c r="CE2270" s="103"/>
      <c r="CF2270" s="103"/>
      <c r="CG2270" s="103"/>
      <c r="CH2270" s="103"/>
      <c r="CI2270" s="103"/>
      <c r="CJ2270" s="103"/>
      <c r="CK2270" s="103"/>
      <c r="CL2270" s="103"/>
      <c r="CM2270" s="103"/>
      <c r="CN2270" s="103"/>
      <c r="CO2270" s="103"/>
      <c r="CP2270" s="103"/>
      <c r="CQ2270" s="103"/>
      <c r="CR2270" s="103"/>
      <c r="CS2270" s="103"/>
      <c r="CT2270" s="103"/>
      <c r="CU2270" s="103"/>
      <c r="CV2270" s="103"/>
      <c r="CW2270" s="103"/>
      <c r="CX2270" s="103"/>
      <c r="CY2270" s="103"/>
      <c r="CZ2270" s="103"/>
      <c r="DA2270" s="103"/>
      <c r="DB2270" s="103"/>
      <c r="DC2270" s="103"/>
      <c r="DD2270" s="103"/>
      <c r="DE2270" s="103"/>
      <c r="DF2270" s="103"/>
      <c r="DG2270" s="103"/>
      <c r="DH2270" s="103"/>
      <c r="DI2270" s="103"/>
      <c r="DJ2270" s="103"/>
      <c r="DK2270" s="103"/>
      <c r="DL2270" s="103"/>
      <c r="DM2270" s="103"/>
      <c r="DN2270" s="103"/>
      <c r="DO2270" s="103"/>
      <c r="DP2270" s="103"/>
      <c r="DQ2270" s="103"/>
      <c r="DR2270" s="103"/>
      <c r="DS2270" s="103"/>
      <c r="DT2270" s="103"/>
      <c r="DU2270" s="103"/>
      <c r="DV2270" s="103"/>
      <c r="DW2270" s="103"/>
      <c r="DX2270" s="103"/>
      <c r="DY2270" s="103"/>
      <c r="DZ2270" s="103"/>
      <c r="EA2270" s="103"/>
      <c r="EB2270" s="103"/>
      <c r="EC2270" s="103"/>
      <c r="ED2270" s="103"/>
      <c r="EE2270" s="103"/>
      <c r="EF2270" s="103"/>
      <c r="EG2270" s="103"/>
      <c r="EH2270" s="103"/>
      <c r="EI2270" s="103"/>
      <c r="EJ2270" s="103"/>
      <c r="EK2270" s="103"/>
      <c r="EL2270" s="103"/>
      <c r="EM2270" s="103"/>
      <c r="EN2270" s="103"/>
      <c r="EO2270" s="103"/>
      <c r="EP2270" s="103"/>
      <c r="EQ2270" s="103"/>
      <c r="ER2270" s="103"/>
      <c r="ES2270" s="103"/>
      <c r="ET2270" s="103"/>
      <c r="EU2270" s="103"/>
      <c r="EV2270" s="103"/>
      <c r="EW2270" s="103"/>
      <c r="EX2270" s="103"/>
      <c r="EY2270" s="103"/>
      <c r="EZ2270" s="103"/>
      <c r="FA2270" s="103"/>
      <c r="FB2270" s="103"/>
      <c r="FC2270" s="103"/>
      <c r="FD2270" s="103"/>
      <c r="FE2270" s="103"/>
      <c r="FF2270" s="103"/>
      <c r="FG2270" s="103"/>
      <c r="FH2270" s="103"/>
      <c r="FI2270" s="103"/>
      <c r="FJ2270" s="103"/>
      <c r="FK2270" s="103"/>
      <c r="FL2270" s="103"/>
      <c r="FM2270" s="103"/>
      <c r="FN2270" s="103"/>
      <c r="FO2270" s="103"/>
      <c r="FP2270" s="103"/>
      <c r="FQ2270" s="103"/>
      <c r="FR2270" s="103"/>
      <c r="FS2270" s="103"/>
      <c r="FT2270" s="103"/>
      <c r="FU2270" s="103"/>
      <c r="FV2270" s="103"/>
      <c r="FW2270" s="103"/>
      <c r="FX2270" s="103"/>
      <c r="FY2270" s="103"/>
      <c r="FZ2270" s="103"/>
      <c r="GA2270" s="103"/>
      <c r="GB2270" s="103"/>
      <c r="GC2270" s="103"/>
      <c r="GD2270" s="103"/>
      <c r="GE2270" s="103"/>
      <c r="GF2270" s="103"/>
      <c r="GG2270" s="103"/>
      <c r="GH2270" s="103"/>
      <c r="GI2270" s="103"/>
      <c r="GJ2270" s="103"/>
      <c r="GK2270" s="103"/>
      <c r="GL2270" s="103"/>
      <c r="GM2270" s="103"/>
      <c r="GN2270" s="103"/>
      <c r="GO2270" s="103"/>
      <c r="GP2270" s="103"/>
      <c r="GQ2270" s="103"/>
      <c r="GR2270" s="103"/>
      <c r="GS2270" s="103"/>
      <c r="GT2270" s="103"/>
      <c r="GU2270" s="103"/>
      <c r="GV2270" s="103"/>
      <c r="GW2270" s="103"/>
      <c r="GX2270" s="103"/>
      <c r="GY2270" s="103"/>
      <c r="GZ2270" s="103"/>
      <c r="HA2270" s="103"/>
      <c r="HB2270" s="103"/>
      <c r="HC2270" s="103"/>
      <c r="HD2270" s="103"/>
      <c r="HE2270" s="103"/>
      <c r="HF2270" s="103"/>
      <c r="HG2270" s="103"/>
      <c r="HH2270" s="103"/>
      <c r="HI2270" s="103"/>
      <c r="HJ2270" s="103"/>
      <c r="HK2270" s="103"/>
      <c r="HL2270" s="103"/>
      <c r="HM2270" s="103"/>
      <c r="HN2270" s="103"/>
      <c r="HO2270" s="103"/>
      <c r="HP2270" s="103"/>
      <c r="HQ2270" s="103"/>
      <c r="HR2270" s="103"/>
      <c r="HS2270" s="103"/>
      <c r="HT2270" s="103"/>
      <c r="HU2270" s="103"/>
      <c r="HV2270" s="103"/>
      <c r="HW2270" s="103"/>
      <c r="HX2270" s="103"/>
      <c r="HY2270" s="103"/>
      <c r="HZ2270" s="103"/>
      <c r="IA2270" s="103"/>
      <c r="IB2270" s="103"/>
      <c r="IC2270" s="103"/>
      <c r="ID2270" s="103"/>
      <c r="IE2270" s="103"/>
      <c r="IF2270" s="103"/>
      <c r="IG2270" s="103"/>
      <c r="IH2270" s="103"/>
      <c r="II2270" s="103"/>
      <c r="IJ2270" s="103"/>
      <c r="IK2270" s="103"/>
      <c r="IL2270" s="103"/>
      <c r="IM2270" s="103"/>
      <c r="IN2270" s="103"/>
      <c r="IO2270" s="103"/>
      <c r="IP2270" s="103"/>
      <c r="IQ2270" s="103"/>
      <c r="IR2270" s="103"/>
      <c r="IS2270" s="103"/>
      <c r="IT2270" s="103"/>
      <c r="IU2270" s="103"/>
      <c r="IV2270" s="103"/>
      <c r="IW2270" s="103"/>
    </row>
    <row r="2271" customFormat="false" ht="17.6" hidden="false" customHeight="false" outlineLevel="0" collapsed="false">
      <c r="A2271" s="91" t="s">
        <v>2490</v>
      </c>
      <c r="B2271" s="90" t="s">
        <v>2491</v>
      </c>
      <c r="C2271" s="90" t="n">
        <f aca="false">17.3*0.6</f>
        <v>10.38</v>
      </c>
      <c r="D2271" s="103" t="s">
        <v>2455</v>
      </c>
      <c r="E2271" s="103"/>
      <c r="F2271" s="103"/>
      <c r="G2271" s="103"/>
      <c r="H2271" s="103"/>
      <c r="I2271" s="103"/>
      <c r="J2271" s="103"/>
      <c r="K2271" s="103"/>
      <c r="L2271" s="103"/>
      <c r="M2271" s="103"/>
      <c r="N2271" s="103"/>
      <c r="O2271" s="104"/>
      <c r="P2271" s="103"/>
      <c r="Q2271" s="103"/>
      <c r="R2271" s="103"/>
      <c r="S2271" s="103"/>
      <c r="T2271" s="103"/>
      <c r="U2271" s="103"/>
      <c r="V2271" s="103"/>
      <c r="W2271" s="103"/>
      <c r="X2271" s="103"/>
      <c r="Y2271" s="103"/>
      <c r="Z2271" s="103"/>
      <c r="AA2271" s="103"/>
      <c r="AB2271" s="103"/>
      <c r="AC2271" s="103"/>
      <c r="AD2271" s="103"/>
      <c r="AE2271" s="103"/>
      <c r="AF2271" s="103"/>
      <c r="AG2271" s="103"/>
      <c r="AH2271" s="103"/>
      <c r="AI2271" s="103"/>
      <c r="AJ2271" s="103"/>
      <c r="AK2271" s="103"/>
      <c r="AL2271" s="103"/>
      <c r="AM2271" s="103"/>
      <c r="AN2271" s="103"/>
      <c r="AO2271" s="103"/>
      <c r="AP2271" s="103"/>
      <c r="AQ2271" s="103"/>
      <c r="AR2271" s="103"/>
      <c r="AS2271" s="103"/>
      <c r="AT2271" s="103"/>
      <c r="AU2271" s="103"/>
      <c r="AV2271" s="103"/>
      <c r="AW2271" s="103"/>
      <c r="AX2271" s="103"/>
      <c r="AY2271" s="103"/>
      <c r="AZ2271" s="103"/>
      <c r="BA2271" s="103"/>
      <c r="BB2271" s="103"/>
      <c r="BC2271" s="103"/>
      <c r="BD2271" s="103"/>
      <c r="BE2271" s="103"/>
      <c r="BF2271" s="103"/>
      <c r="BG2271" s="103"/>
      <c r="BH2271" s="103"/>
      <c r="BI2271" s="103"/>
      <c r="BJ2271" s="103"/>
      <c r="BK2271" s="103"/>
      <c r="BL2271" s="103"/>
      <c r="BM2271" s="103"/>
      <c r="BN2271" s="103"/>
      <c r="BO2271" s="103"/>
      <c r="BP2271" s="103"/>
      <c r="BQ2271" s="103"/>
      <c r="BR2271" s="103"/>
      <c r="BS2271" s="103"/>
      <c r="BT2271" s="103"/>
      <c r="BU2271" s="103"/>
      <c r="BV2271" s="103"/>
      <c r="BW2271" s="103"/>
      <c r="BX2271" s="103"/>
      <c r="BY2271" s="103"/>
      <c r="BZ2271" s="103"/>
      <c r="CA2271" s="103"/>
      <c r="CB2271" s="103"/>
      <c r="CC2271" s="103"/>
      <c r="CD2271" s="103"/>
      <c r="CE2271" s="103"/>
      <c r="CF2271" s="103"/>
      <c r="CG2271" s="103"/>
      <c r="CH2271" s="103"/>
      <c r="CI2271" s="103"/>
      <c r="CJ2271" s="103"/>
      <c r="CK2271" s="103"/>
      <c r="CL2271" s="103"/>
      <c r="CM2271" s="103"/>
      <c r="CN2271" s="103"/>
      <c r="CO2271" s="103"/>
      <c r="CP2271" s="103"/>
      <c r="CQ2271" s="103"/>
      <c r="CR2271" s="103"/>
      <c r="CS2271" s="103"/>
      <c r="CT2271" s="103"/>
      <c r="CU2271" s="103"/>
      <c r="CV2271" s="103"/>
      <c r="CW2271" s="103"/>
      <c r="CX2271" s="103"/>
      <c r="CY2271" s="103"/>
      <c r="CZ2271" s="103"/>
      <c r="DA2271" s="103"/>
      <c r="DB2271" s="103"/>
      <c r="DC2271" s="103"/>
      <c r="DD2271" s="103"/>
      <c r="DE2271" s="103"/>
      <c r="DF2271" s="103"/>
      <c r="DG2271" s="103"/>
      <c r="DH2271" s="103"/>
      <c r="DI2271" s="103"/>
      <c r="DJ2271" s="103"/>
      <c r="DK2271" s="103"/>
      <c r="DL2271" s="103"/>
      <c r="DM2271" s="103"/>
      <c r="DN2271" s="103"/>
      <c r="DO2271" s="103"/>
      <c r="DP2271" s="103"/>
      <c r="DQ2271" s="103"/>
      <c r="DR2271" s="103"/>
      <c r="DS2271" s="103"/>
      <c r="DT2271" s="103"/>
      <c r="DU2271" s="103"/>
      <c r="DV2271" s="103"/>
      <c r="DW2271" s="103"/>
      <c r="DX2271" s="103"/>
      <c r="DY2271" s="103"/>
      <c r="DZ2271" s="103"/>
      <c r="EA2271" s="103"/>
      <c r="EB2271" s="103"/>
      <c r="EC2271" s="103"/>
      <c r="ED2271" s="103"/>
      <c r="EE2271" s="103"/>
      <c r="EF2271" s="103"/>
      <c r="EG2271" s="103"/>
      <c r="EH2271" s="103"/>
      <c r="EI2271" s="103"/>
      <c r="EJ2271" s="103"/>
      <c r="EK2271" s="103"/>
      <c r="EL2271" s="103"/>
      <c r="EM2271" s="103"/>
      <c r="EN2271" s="103"/>
      <c r="EO2271" s="103"/>
      <c r="EP2271" s="103"/>
      <c r="EQ2271" s="103"/>
      <c r="ER2271" s="103"/>
      <c r="ES2271" s="103"/>
      <c r="ET2271" s="103"/>
      <c r="EU2271" s="103"/>
      <c r="EV2271" s="103"/>
      <c r="EW2271" s="103"/>
      <c r="EX2271" s="103"/>
      <c r="EY2271" s="103"/>
      <c r="EZ2271" s="103"/>
      <c r="FA2271" s="103"/>
      <c r="FB2271" s="103"/>
      <c r="FC2271" s="103"/>
      <c r="FD2271" s="103"/>
      <c r="FE2271" s="103"/>
      <c r="FF2271" s="103"/>
      <c r="FG2271" s="103"/>
      <c r="FH2271" s="103"/>
      <c r="FI2271" s="103"/>
      <c r="FJ2271" s="103"/>
      <c r="FK2271" s="103"/>
      <c r="FL2271" s="103"/>
      <c r="FM2271" s="103"/>
      <c r="FN2271" s="103"/>
      <c r="FO2271" s="103"/>
      <c r="FP2271" s="103"/>
      <c r="FQ2271" s="103"/>
      <c r="FR2271" s="103"/>
      <c r="FS2271" s="103"/>
      <c r="FT2271" s="103"/>
      <c r="FU2271" s="103"/>
      <c r="FV2271" s="103"/>
      <c r="FW2271" s="103"/>
      <c r="FX2271" s="103"/>
      <c r="FY2271" s="103"/>
      <c r="FZ2271" s="103"/>
      <c r="GA2271" s="103"/>
      <c r="GB2271" s="103"/>
      <c r="GC2271" s="103"/>
      <c r="GD2271" s="103"/>
      <c r="GE2271" s="103"/>
      <c r="GF2271" s="103"/>
      <c r="GG2271" s="103"/>
      <c r="GH2271" s="103"/>
      <c r="GI2271" s="103"/>
      <c r="GJ2271" s="103"/>
      <c r="GK2271" s="103"/>
      <c r="GL2271" s="103"/>
      <c r="GM2271" s="103"/>
      <c r="GN2271" s="103"/>
      <c r="GO2271" s="103"/>
      <c r="GP2271" s="103"/>
      <c r="GQ2271" s="103"/>
      <c r="GR2271" s="103"/>
      <c r="GS2271" s="103"/>
      <c r="GT2271" s="103"/>
      <c r="GU2271" s="103"/>
      <c r="GV2271" s="103"/>
      <c r="GW2271" s="103"/>
      <c r="GX2271" s="103"/>
      <c r="GY2271" s="103"/>
      <c r="GZ2271" s="103"/>
      <c r="HA2271" s="103"/>
      <c r="HB2271" s="103"/>
      <c r="HC2271" s="103"/>
      <c r="HD2271" s="103"/>
      <c r="HE2271" s="103"/>
      <c r="HF2271" s="103"/>
      <c r="HG2271" s="103"/>
      <c r="HH2271" s="103"/>
      <c r="HI2271" s="103"/>
      <c r="HJ2271" s="103"/>
      <c r="HK2271" s="103"/>
      <c r="HL2271" s="103"/>
      <c r="HM2271" s="103"/>
      <c r="HN2271" s="103"/>
      <c r="HO2271" s="103"/>
      <c r="HP2271" s="103"/>
      <c r="HQ2271" s="103"/>
      <c r="HR2271" s="103"/>
      <c r="HS2271" s="103"/>
      <c r="HT2271" s="103"/>
      <c r="HU2271" s="103"/>
      <c r="HV2271" s="103"/>
      <c r="HW2271" s="103"/>
      <c r="HX2271" s="103"/>
      <c r="HY2271" s="103"/>
      <c r="HZ2271" s="103"/>
      <c r="IA2271" s="103"/>
      <c r="IB2271" s="103"/>
      <c r="IC2271" s="103"/>
      <c r="ID2271" s="103"/>
      <c r="IE2271" s="103"/>
      <c r="IF2271" s="103"/>
      <c r="IG2271" s="103"/>
      <c r="IH2271" s="103"/>
      <c r="II2271" s="103"/>
      <c r="IJ2271" s="103"/>
      <c r="IK2271" s="103"/>
      <c r="IL2271" s="103"/>
      <c r="IM2271" s="103"/>
      <c r="IN2271" s="103"/>
      <c r="IO2271" s="103"/>
      <c r="IP2271" s="103"/>
      <c r="IQ2271" s="103"/>
      <c r="IR2271" s="103"/>
      <c r="IS2271" s="103"/>
      <c r="IT2271" s="103"/>
      <c r="IU2271" s="103"/>
      <c r="IV2271" s="103"/>
      <c r="IW2271" s="103"/>
    </row>
    <row r="2272" customFormat="false" ht="17.6" hidden="false" customHeight="false" outlineLevel="0" collapsed="false">
      <c r="A2272" s="91"/>
    </row>
    <row r="2273" customFormat="false" ht="17.6" hidden="false" customHeight="false" outlineLevel="0" collapsed="false">
      <c r="A2273" s="91" t="s">
        <v>2492</v>
      </c>
      <c r="B2273" s="90" t="s">
        <v>2493</v>
      </c>
      <c r="C2273" s="90" t="n">
        <f aca="false">525*0.5</f>
        <v>262.5</v>
      </c>
      <c r="D2273" s="103" t="s">
        <v>1024</v>
      </c>
      <c r="E2273" s="103"/>
      <c r="F2273" s="103"/>
      <c r="G2273" s="103"/>
      <c r="H2273" s="103"/>
      <c r="I2273" s="103"/>
      <c r="J2273" s="103"/>
      <c r="K2273" s="103"/>
      <c r="L2273" s="103"/>
      <c r="M2273" s="103"/>
      <c r="N2273" s="103"/>
      <c r="O2273" s="104"/>
      <c r="P2273" s="103"/>
      <c r="Q2273" s="103"/>
      <c r="R2273" s="103"/>
      <c r="S2273" s="103"/>
      <c r="T2273" s="103"/>
      <c r="U2273" s="103"/>
      <c r="V2273" s="103"/>
      <c r="W2273" s="103"/>
      <c r="X2273" s="103"/>
      <c r="Y2273" s="103"/>
      <c r="Z2273" s="103"/>
      <c r="AA2273" s="103"/>
      <c r="AB2273" s="103"/>
      <c r="AC2273" s="103"/>
      <c r="AD2273" s="103"/>
      <c r="AE2273" s="103"/>
      <c r="AF2273" s="103"/>
      <c r="AG2273" s="103"/>
      <c r="AH2273" s="103"/>
      <c r="AI2273" s="103"/>
      <c r="AJ2273" s="103"/>
      <c r="AK2273" s="103"/>
      <c r="AL2273" s="103"/>
      <c r="AM2273" s="103"/>
      <c r="AN2273" s="103"/>
      <c r="AO2273" s="103"/>
      <c r="AP2273" s="103"/>
      <c r="AQ2273" s="103"/>
      <c r="AR2273" s="103"/>
      <c r="AS2273" s="103"/>
      <c r="AT2273" s="103"/>
      <c r="AU2273" s="103"/>
      <c r="AV2273" s="103"/>
      <c r="AW2273" s="103"/>
      <c r="AX2273" s="103"/>
      <c r="AY2273" s="103"/>
      <c r="AZ2273" s="103"/>
      <c r="BA2273" s="103"/>
      <c r="BB2273" s="103"/>
      <c r="BC2273" s="103"/>
      <c r="BD2273" s="103"/>
      <c r="BE2273" s="103"/>
      <c r="BF2273" s="103"/>
      <c r="BG2273" s="103"/>
      <c r="BH2273" s="103"/>
      <c r="BI2273" s="103"/>
      <c r="BJ2273" s="103"/>
      <c r="BK2273" s="103"/>
      <c r="BL2273" s="103"/>
      <c r="BM2273" s="103"/>
      <c r="BN2273" s="103"/>
      <c r="BO2273" s="103"/>
      <c r="BP2273" s="103"/>
      <c r="BQ2273" s="103"/>
      <c r="BR2273" s="103"/>
      <c r="BS2273" s="103"/>
      <c r="BT2273" s="103"/>
      <c r="BU2273" s="103"/>
      <c r="BV2273" s="103"/>
      <c r="BW2273" s="103"/>
      <c r="BX2273" s="103"/>
      <c r="BY2273" s="103"/>
      <c r="BZ2273" s="103"/>
      <c r="CA2273" s="103"/>
      <c r="CB2273" s="103"/>
      <c r="CC2273" s="103"/>
      <c r="CD2273" s="103"/>
      <c r="CE2273" s="103"/>
      <c r="CF2273" s="103"/>
      <c r="CG2273" s="103"/>
      <c r="CH2273" s="103"/>
      <c r="CI2273" s="103"/>
      <c r="CJ2273" s="103"/>
      <c r="CK2273" s="103"/>
      <c r="CL2273" s="103"/>
      <c r="CM2273" s="103"/>
      <c r="CN2273" s="103"/>
      <c r="CO2273" s="103"/>
      <c r="CP2273" s="103"/>
      <c r="CQ2273" s="103"/>
      <c r="CR2273" s="103"/>
      <c r="CS2273" s="103"/>
      <c r="CT2273" s="103"/>
      <c r="CU2273" s="103"/>
      <c r="CV2273" s="103"/>
      <c r="CW2273" s="103"/>
      <c r="CX2273" s="103"/>
      <c r="CY2273" s="103"/>
      <c r="CZ2273" s="103"/>
      <c r="DA2273" s="103"/>
      <c r="DB2273" s="103"/>
      <c r="DC2273" s="103"/>
      <c r="DD2273" s="103"/>
      <c r="DE2273" s="103"/>
      <c r="DF2273" s="103"/>
      <c r="DG2273" s="103"/>
      <c r="DH2273" s="103"/>
      <c r="DI2273" s="103"/>
      <c r="DJ2273" s="103"/>
      <c r="DK2273" s="103"/>
      <c r="DL2273" s="103"/>
      <c r="DM2273" s="103"/>
      <c r="DN2273" s="103"/>
      <c r="DO2273" s="103"/>
      <c r="DP2273" s="103"/>
      <c r="DQ2273" s="103"/>
      <c r="DR2273" s="103"/>
      <c r="DS2273" s="103"/>
      <c r="DT2273" s="103"/>
      <c r="DU2273" s="103"/>
      <c r="DV2273" s="103"/>
      <c r="DW2273" s="103"/>
      <c r="DX2273" s="103"/>
      <c r="DY2273" s="103"/>
      <c r="DZ2273" s="103"/>
      <c r="EA2273" s="103"/>
      <c r="EB2273" s="103"/>
      <c r="EC2273" s="103"/>
      <c r="ED2273" s="103"/>
      <c r="EE2273" s="103"/>
      <c r="EF2273" s="103"/>
      <c r="EG2273" s="103"/>
      <c r="EH2273" s="103"/>
      <c r="EI2273" s="103"/>
      <c r="EJ2273" s="103"/>
      <c r="EK2273" s="103"/>
      <c r="EL2273" s="103"/>
      <c r="EM2273" s="103"/>
      <c r="EN2273" s="103"/>
      <c r="EO2273" s="103"/>
      <c r="EP2273" s="103"/>
      <c r="EQ2273" s="103"/>
      <c r="ER2273" s="103"/>
      <c r="ES2273" s="103"/>
      <c r="ET2273" s="103"/>
      <c r="EU2273" s="103"/>
      <c r="EV2273" s="103"/>
      <c r="EW2273" s="103"/>
      <c r="EX2273" s="103"/>
      <c r="EY2273" s="103"/>
      <c r="EZ2273" s="103"/>
      <c r="FA2273" s="103"/>
      <c r="FB2273" s="103"/>
      <c r="FC2273" s="103"/>
      <c r="FD2273" s="103"/>
      <c r="FE2273" s="103"/>
      <c r="FF2273" s="103"/>
      <c r="FG2273" s="103"/>
      <c r="FH2273" s="103"/>
      <c r="FI2273" s="103"/>
      <c r="FJ2273" s="103"/>
      <c r="FK2273" s="103"/>
      <c r="FL2273" s="103"/>
      <c r="FM2273" s="103"/>
      <c r="FN2273" s="103"/>
      <c r="FO2273" s="103"/>
      <c r="FP2273" s="103"/>
      <c r="FQ2273" s="103"/>
      <c r="FR2273" s="103"/>
      <c r="FS2273" s="103"/>
      <c r="FT2273" s="103"/>
      <c r="FU2273" s="103"/>
      <c r="FV2273" s="103"/>
      <c r="FW2273" s="103"/>
      <c r="FX2273" s="103"/>
      <c r="FY2273" s="103"/>
      <c r="FZ2273" s="103"/>
      <c r="GA2273" s="103"/>
      <c r="GB2273" s="103"/>
      <c r="GC2273" s="103"/>
      <c r="GD2273" s="103"/>
      <c r="GE2273" s="103"/>
      <c r="GF2273" s="103"/>
      <c r="GG2273" s="103"/>
      <c r="GH2273" s="103"/>
      <c r="GI2273" s="103"/>
      <c r="GJ2273" s="103"/>
      <c r="GK2273" s="103"/>
      <c r="GL2273" s="103"/>
      <c r="GM2273" s="103"/>
      <c r="GN2273" s="103"/>
      <c r="GO2273" s="103"/>
      <c r="GP2273" s="103"/>
      <c r="GQ2273" s="103"/>
      <c r="GR2273" s="103"/>
      <c r="GS2273" s="103"/>
      <c r="GT2273" s="103"/>
      <c r="GU2273" s="103"/>
      <c r="GV2273" s="103"/>
      <c r="GW2273" s="103"/>
      <c r="GX2273" s="103"/>
      <c r="GY2273" s="103"/>
      <c r="GZ2273" s="103"/>
      <c r="HA2273" s="103"/>
      <c r="HB2273" s="103"/>
      <c r="HC2273" s="103"/>
      <c r="HD2273" s="103"/>
      <c r="HE2273" s="103"/>
      <c r="HF2273" s="103"/>
      <c r="HG2273" s="103"/>
      <c r="HH2273" s="103"/>
      <c r="HI2273" s="103"/>
      <c r="HJ2273" s="103"/>
      <c r="HK2273" s="103"/>
      <c r="HL2273" s="103"/>
      <c r="HM2273" s="103"/>
      <c r="HN2273" s="103"/>
      <c r="HO2273" s="103"/>
      <c r="HP2273" s="103"/>
      <c r="HQ2273" s="103"/>
      <c r="HR2273" s="103"/>
      <c r="HS2273" s="103"/>
      <c r="HT2273" s="103"/>
      <c r="HU2273" s="103"/>
      <c r="HV2273" s="103"/>
      <c r="HW2273" s="103"/>
      <c r="HX2273" s="103"/>
      <c r="HY2273" s="103"/>
      <c r="HZ2273" s="103"/>
      <c r="IA2273" s="103"/>
      <c r="IB2273" s="103"/>
      <c r="IC2273" s="103"/>
      <c r="ID2273" s="103"/>
      <c r="IE2273" s="103"/>
      <c r="IF2273" s="103"/>
      <c r="IG2273" s="103"/>
      <c r="IH2273" s="103"/>
      <c r="II2273" s="103"/>
      <c r="IJ2273" s="103"/>
      <c r="IK2273" s="103"/>
      <c r="IL2273" s="103"/>
      <c r="IM2273" s="103"/>
      <c r="IN2273" s="103"/>
      <c r="IO2273" s="103"/>
      <c r="IP2273" s="103"/>
      <c r="IQ2273" s="103"/>
      <c r="IR2273" s="103"/>
      <c r="IS2273" s="103"/>
      <c r="IT2273" s="103"/>
      <c r="IU2273" s="103"/>
      <c r="IV2273" s="103"/>
      <c r="IW2273" s="103"/>
    </row>
    <row r="2274" customFormat="false" ht="17.6" hidden="false" customHeight="false" outlineLevel="0" collapsed="false">
      <c r="A2274" s="91"/>
    </row>
    <row r="2275" customFormat="false" ht="17.6" hidden="false" customHeight="false" outlineLevel="0" collapsed="false">
      <c r="A2275" s="91" t="s">
        <v>2494</v>
      </c>
      <c r="B2275" s="90" t="s">
        <v>1164</v>
      </c>
      <c r="C2275" s="90" t="n">
        <v>160</v>
      </c>
      <c r="D2275" s="103" t="s">
        <v>1165</v>
      </c>
      <c r="E2275" s="103"/>
      <c r="F2275" s="103"/>
      <c r="G2275" s="103"/>
      <c r="H2275" s="103"/>
      <c r="I2275" s="103"/>
      <c r="J2275" s="103"/>
      <c r="K2275" s="103"/>
      <c r="L2275" s="103"/>
      <c r="M2275" s="103"/>
      <c r="N2275" s="103"/>
      <c r="O2275" s="104"/>
      <c r="P2275" s="103"/>
      <c r="Q2275" s="103"/>
      <c r="R2275" s="103"/>
      <c r="S2275" s="103"/>
      <c r="T2275" s="103"/>
      <c r="U2275" s="103"/>
      <c r="V2275" s="103"/>
      <c r="W2275" s="103"/>
      <c r="X2275" s="103"/>
      <c r="Y2275" s="103"/>
      <c r="Z2275" s="103"/>
      <c r="AA2275" s="103"/>
      <c r="AB2275" s="103"/>
      <c r="AC2275" s="103"/>
      <c r="AD2275" s="103"/>
      <c r="AE2275" s="103"/>
      <c r="AF2275" s="103"/>
      <c r="AG2275" s="103"/>
      <c r="AH2275" s="103"/>
      <c r="AI2275" s="103"/>
      <c r="AJ2275" s="103"/>
      <c r="AK2275" s="103"/>
      <c r="AL2275" s="103"/>
      <c r="AM2275" s="103"/>
      <c r="AN2275" s="103"/>
      <c r="AO2275" s="103"/>
      <c r="AP2275" s="103"/>
      <c r="AQ2275" s="103"/>
      <c r="AR2275" s="103"/>
      <c r="AS2275" s="103"/>
      <c r="AT2275" s="103"/>
      <c r="AU2275" s="103"/>
      <c r="AV2275" s="103"/>
      <c r="AW2275" s="103"/>
      <c r="AX2275" s="103"/>
      <c r="AY2275" s="103"/>
      <c r="AZ2275" s="103"/>
      <c r="BA2275" s="103"/>
      <c r="BB2275" s="103"/>
      <c r="BC2275" s="103"/>
      <c r="BD2275" s="103"/>
      <c r="BE2275" s="103"/>
      <c r="BF2275" s="103"/>
      <c r="BG2275" s="103"/>
      <c r="BH2275" s="103"/>
      <c r="BI2275" s="103"/>
      <c r="BJ2275" s="103"/>
      <c r="BK2275" s="103"/>
      <c r="BL2275" s="103"/>
      <c r="BM2275" s="103"/>
      <c r="BN2275" s="103"/>
      <c r="BO2275" s="103"/>
      <c r="BP2275" s="103"/>
      <c r="BQ2275" s="103"/>
      <c r="BR2275" s="103"/>
      <c r="BS2275" s="103"/>
      <c r="BT2275" s="103"/>
      <c r="BU2275" s="103"/>
      <c r="BV2275" s="103"/>
      <c r="BW2275" s="103"/>
      <c r="BX2275" s="103"/>
      <c r="BY2275" s="103"/>
      <c r="BZ2275" s="103"/>
      <c r="CA2275" s="103"/>
      <c r="CB2275" s="103"/>
      <c r="CC2275" s="103"/>
      <c r="CD2275" s="103"/>
      <c r="CE2275" s="103"/>
      <c r="CF2275" s="103"/>
      <c r="CG2275" s="103"/>
      <c r="CH2275" s="103"/>
      <c r="CI2275" s="103"/>
      <c r="CJ2275" s="103"/>
      <c r="CK2275" s="103"/>
      <c r="CL2275" s="103"/>
      <c r="CM2275" s="103"/>
      <c r="CN2275" s="103"/>
      <c r="CO2275" s="103"/>
      <c r="CP2275" s="103"/>
      <c r="CQ2275" s="103"/>
      <c r="CR2275" s="103"/>
      <c r="CS2275" s="103"/>
      <c r="CT2275" s="103"/>
      <c r="CU2275" s="103"/>
      <c r="CV2275" s="103"/>
      <c r="CW2275" s="103"/>
      <c r="CX2275" s="103"/>
      <c r="CY2275" s="103"/>
      <c r="CZ2275" s="103"/>
      <c r="DA2275" s="103"/>
      <c r="DB2275" s="103"/>
      <c r="DC2275" s="103"/>
      <c r="DD2275" s="103"/>
      <c r="DE2275" s="103"/>
      <c r="DF2275" s="103"/>
      <c r="DG2275" s="103"/>
      <c r="DH2275" s="103"/>
      <c r="DI2275" s="103"/>
      <c r="DJ2275" s="103"/>
      <c r="DK2275" s="103"/>
      <c r="DL2275" s="103"/>
      <c r="DM2275" s="103"/>
      <c r="DN2275" s="103"/>
      <c r="DO2275" s="103"/>
      <c r="DP2275" s="103"/>
      <c r="DQ2275" s="103"/>
      <c r="DR2275" s="103"/>
      <c r="DS2275" s="103"/>
      <c r="DT2275" s="103"/>
      <c r="DU2275" s="103"/>
      <c r="DV2275" s="103"/>
      <c r="DW2275" s="103"/>
      <c r="DX2275" s="103"/>
      <c r="DY2275" s="103"/>
      <c r="DZ2275" s="103"/>
      <c r="EA2275" s="103"/>
      <c r="EB2275" s="103"/>
      <c r="EC2275" s="103"/>
      <c r="ED2275" s="103"/>
      <c r="EE2275" s="103"/>
      <c r="EF2275" s="103"/>
      <c r="EG2275" s="103"/>
      <c r="EH2275" s="103"/>
      <c r="EI2275" s="103"/>
      <c r="EJ2275" s="103"/>
      <c r="EK2275" s="103"/>
      <c r="EL2275" s="103"/>
      <c r="EM2275" s="103"/>
      <c r="EN2275" s="103"/>
      <c r="EO2275" s="103"/>
      <c r="EP2275" s="103"/>
      <c r="EQ2275" s="103"/>
      <c r="ER2275" s="103"/>
      <c r="ES2275" s="103"/>
      <c r="ET2275" s="103"/>
      <c r="EU2275" s="103"/>
      <c r="EV2275" s="103"/>
      <c r="EW2275" s="103"/>
      <c r="EX2275" s="103"/>
      <c r="EY2275" s="103"/>
      <c r="EZ2275" s="103"/>
      <c r="FA2275" s="103"/>
      <c r="FB2275" s="103"/>
      <c r="FC2275" s="103"/>
      <c r="FD2275" s="103"/>
      <c r="FE2275" s="103"/>
      <c r="FF2275" s="103"/>
      <c r="FG2275" s="103"/>
      <c r="FH2275" s="103"/>
      <c r="FI2275" s="103"/>
      <c r="FJ2275" s="103"/>
      <c r="FK2275" s="103"/>
      <c r="FL2275" s="103"/>
      <c r="FM2275" s="103"/>
      <c r="FN2275" s="103"/>
      <c r="FO2275" s="103"/>
      <c r="FP2275" s="103"/>
      <c r="FQ2275" s="103"/>
      <c r="FR2275" s="103"/>
      <c r="FS2275" s="103"/>
      <c r="FT2275" s="103"/>
      <c r="FU2275" s="103"/>
      <c r="FV2275" s="103"/>
      <c r="FW2275" s="103"/>
      <c r="FX2275" s="103"/>
      <c r="FY2275" s="103"/>
      <c r="FZ2275" s="103"/>
      <c r="GA2275" s="103"/>
      <c r="GB2275" s="103"/>
      <c r="GC2275" s="103"/>
      <c r="GD2275" s="103"/>
      <c r="GE2275" s="103"/>
      <c r="GF2275" s="103"/>
      <c r="GG2275" s="103"/>
      <c r="GH2275" s="103"/>
      <c r="GI2275" s="103"/>
      <c r="GJ2275" s="103"/>
      <c r="GK2275" s="103"/>
      <c r="GL2275" s="103"/>
      <c r="GM2275" s="103"/>
      <c r="GN2275" s="103"/>
      <c r="GO2275" s="103"/>
      <c r="GP2275" s="103"/>
      <c r="GQ2275" s="103"/>
      <c r="GR2275" s="103"/>
      <c r="GS2275" s="103"/>
      <c r="GT2275" s="103"/>
      <c r="GU2275" s="103"/>
      <c r="GV2275" s="103"/>
      <c r="GW2275" s="103"/>
      <c r="GX2275" s="103"/>
      <c r="GY2275" s="103"/>
      <c r="GZ2275" s="103"/>
      <c r="HA2275" s="103"/>
      <c r="HB2275" s="103"/>
      <c r="HC2275" s="103"/>
      <c r="HD2275" s="103"/>
      <c r="HE2275" s="103"/>
      <c r="HF2275" s="103"/>
      <c r="HG2275" s="103"/>
      <c r="HH2275" s="103"/>
      <c r="HI2275" s="103"/>
      <c r="HJ2275" s="103"/>
      <c r="HK2275" s="103"/>
      <c r="HL2275" s="103"/>
      <c r="HM2275" s="103"/>
      <c r="HN2275" s="103"/>
      <c r="HO2275" s="103"/>
      <c r="HP2275" s="103"/>
      <c r="HQ2275" s="103"/>
      <c r="HR2275" s="103"/>
      <c r="HS2275" s="103"/>
      <c r="HT2275" s="103"/>
      <c r="HU2275" s="103"/>
      <c r="HV2275" s="103"/>
      <c r="HW2275" s="103"/>
      <c r="HX2275" s="103"/>
      <c r="HY2275" s="103"/>
      <c r="HZ2275" s="103"/>
      <c r="IA2275" s="103"/>
      <c r="IB2275" s="103"/>
      <c r="IC2275" s="103"/>
      <c r="ID2275" s="103"/>
      <c r="IE2275" s="103"/>
      <c r="IF2275" s="103"/>
      <c r="IG2275" s="103"/>
      <c r="IH2275" s="103"/>
      <c r="II2275" s="103"/>
      <c r="IJ2275" s="103"/>
      <c r="IK2275" s="103"/>
      <c r="IL2275" s="103"/>
      <c r="IM2275" s="103"/>
      <c r="IN2275" s="103"/>
      <c r="IO2275" s="103"/>
      <c r="IP2275" s="103"/>
      <c r="IQ2275" s="103"/>
      <c r="IR2275" s="103"/>
      <c r="IS2275" s="103"/>
      <c r="IT2275" s="103"/>
      <c r="IU2275" s="103"/>
      <c r="IV2275" s="103"/>
      <c r="IW2275" s="103"/>
    </row>
    <row r="2276" customFormat="false" ht="17.6" hidden="false" customHeight="false" outlineLevel="0" collapsed="false">
      <c r="A2276" s="91" t="s">
        <v>2495</v>
      </c>
      <c r="B2276" s="90" t="s">
        <v>1164</v>
      </c>
      <c r="C2276" s="90" t="n">
        <v>120</v>
      </c>
      <c r="D2276" s="103" t="s">
        <v>1165</v>
      </c>
      <c r="E2276" s="103"/>
      <c r="F2276" s="103"/>
      <c r="G2276" s="103"/>
      <c r="H2276" s="103"/>
      <c r="I2276" s="103"/>
      <c r="J2276" s="103"/>
      <c r="K2276" s="103"/>
      <c r="L2276" s="103"/>
      <c r="M2276" s="103"/>
      <c r="N2276" s="103"/>
      <c r="O2276" s="104"/>
      <c r="P2276" s="103"/>
      <c r="Q2276" s="103"/>
      <c r="R2276" s="103"/>
      <c r="S2276" s="103"/>
      <c r="T2276" s="103"/>
      <c r="U2276" s="103"/>
      <c r="V2276" s="103"/>
      <c r="W2276" s="103"/>
      <c r="X2276" s="103"/>
      <c r="Y2276" s="103"/>
      <c r="Z2276" s="103"/>
      <c r="AA2276" s="103"/>
      <c r="AB2276" s="103"/>
      <c r="AC2276" s="103"/>
      <c r="AD2276" s="103"/>
      <c r="AE2276" s="103"/>
      <c r="AF2276" s="103"/>
      <c r="AG2276" s="103"/>
      <c r="AH2276" s="103"/>
      <c r="AI2276" s="103"/>
      <c r="AJ2276" s="103"/>
      <c r="AK2276" s="103"/>
      <c r="AL2276" s="103"/>
      <c r="AM2276" s="103"/>
      <c r="AN2276" s="103"/>
      <c r="AO2276" s="103"/>
      <c r="AP2276" s="103"/>
      <c r="AQ2276" s="103"/>
      <c r="AR2276" s="103"/>
      <c r="AS2276" s="103"/>
      <c r="AT2276" s="103"/>
      <c r="AU2276" s="103"/>
      <c r="AV2276" s="103"/>
      <c r="AW2276" s="103"/>
      <c r="AX2276" s="103"/>
      <c r="AY2276" s="103"/>
      <c r="AZ2276" s="103"/>
      <c r="BA2276" s="103"/>
      <c r="BB2276" s="103"/>
      <c r="BC2276" s="103"/>
      <c r="BD2276" s="103"/>
      <c r="BE2276" s="103"/>
      <c r="BF2276" s="103"/>
      <c r="BG2276" s="103"/>
      <c r="BH2276" s="103"/>
      <c r="BI2276" s="103"/>
      <c r="BJ2276" s="103"/>
      <c r="BK2276" s="103"/>
      <c r="BL2276" s="103"/>
      <c r="BM2276" s="103"/>
      <c r="BN2276" s="103"/>
      <c r="BO2276" s="103"/>
      <c r="BP2276" s="103"/>
      <c r="BQ2276" s="103"/>
      <c r="BR2276" s="103"/>
      <c r="BS2276" s="103"/>
      <c r="BT2276" s="103"/>
      <c r="BU2276" s="103"/>
      <c r="BV2276" s="103"/>
      <c r="BW2276" s="103"/>
      <c r="BX2276" s="103"/>
      <c r="BY2276" s="103"/>
      <c r="BZ2276" s="103"/>
      <c r="CA2276" s="103"/>
      <c r="CB2276" s="103"/>
      <c r="CC2276" s="103"/>
      <c r="CD2276" s="103"/>
      <c r="CE2276" s="103"/>
      <c r="CF2276" s="103"/>
      <c r="CG2276" s="103"/>
      <c r="CH2276" s="103"/>
      <c r="CI2276" s="103"/>
      <c r="CJ2276" s="103"/>
      <c r="CK2276" s="103"/>
      <c r="CL2276" s="103"/>
      <c r="CM2276" s="103"/>
      <c r="CN2276" s="103"/>
      <c r="CO2276" s="103"/>
      <c r="CP2276" s="103"/>
      <c r="CQ2276" s="103"/>
      <c r="CR2276" s="103"/>
      <c r="CS2276" s="103"/>
      <c r="CT2276" s="103"/>
      <c r="CU2276" s="103"/>
      <c r="CV2276" s="103"/>
      <c r="CW2276" s="103"/>
      <c r="CX2276" s="103"/>
      <c r="CY2276" s="103"/>
      <c r="CZ2276" s="103"/>
      <c r="DA2276" s="103"/>
      <c r="DB2276" s="103"/>
      <c r="DC2276" s="103"/>
      <c r="DD2276" s="103"/>
      <c r="DE2276" s="103"/>
      <c r="DF2276" s="103"/>
      <c r="DG2276" s="103"/>
      <c r="DH2276" s="103"/>
      <c r="DI2276" s="103"/>
      <c r="DJ2276" s="103"/>
      <c r="DK2276" s="103"/>
      <c r="DL2276" s="103"/>
      <c r="DM2276" s="103"/>
      <c r="DN2276" s="103"/>
      <c r="DO2276" s="103"/>
      <c r="DP2276" s="103"/>
      <c r="DQ2276" s="103"/>
      <c r="DR2276" s="103"/>
      <c r="DS2276" s="103"/>
      <c r="DT2276" s="103"/>
      <c r="DU2276" s="103"/>
      <c r="DV2276" s="103"/>
      <c r="DW2276" s="103"/>
      <c r="DX2276" s="103"/>
      <c r="DY2276" s="103"/>
      <c r="DZ2276" s="103"/>
      <c r="EA2276" s="103"/>
      <c r="EB2276" s="103"/>
      <c r="EC2276" s="103"/>
      <c r="ED2276" s="103"/>
      <c r="EE2276" s="103"/>
      <c r="EF2276" s="103"/>
      <c r="EG2276" s="103"/>
      <c r="EH2276" s="103"/>
      <c r="EI2276" s="103"/>
      <c r="EJ2276" s="103"/>
      <c r="EK2276" s="103"/>
      <c r="EL2276" s="103"/>
      <c r="EM2276" s="103"/>
      <c r="EN2276" s="103"/>
      <c r="EO2276" s="103"/>
      <c r="EP2276" s="103"/>
      <c r="EQ2276" s="103"/>
      <c r="ER2276" s="103"/>
      <c r="ES2276" s="103"/>
      <c r="ET2276" s="103"/>
      <c r="EU2276" s="103"/>
      <c r="EV2276" s="103"/>
      <c r="EW2276" s="103"/>
      <c r="EX2276" s="103"/>
      <c r="EY2276" s="103"/>
      <c r="EZ2276" s="103"/>
      <c r="FA2276" s="103"/>
      <c r="FB2276" s="103"/>
      <c r="FC2276" s="103"/>
      <c r="FD2276" s="103"/>
      <c r="FE2276" s="103"/>
      <c r="FF2276" s="103"/>
      <c r="FG2276" s="103"/>
      <c r="FH2276" s="103"/>
      <c r="FI2276" s="103"/>
      <c r="FJ2276" s="103"/>
      <c r="FK2276" s="103"/>
      <c r="FL2276" s="103"/>
      <c r="FM2276" s="103"/>
      <c r="FN2276" s="103"/>
      <c r="FO2276" s="103"/>
      <c r="FP2276" s="103"/>
      <c r="FQ2276" s="103"/>
      <c r="FR2276" s="103"/>
      <c r="FS2276" s="103"/>
      <c r="FT2276" s="103"/>
      <c r="FU2276" s="103"/>
      <c r="FV2276" s="103"/>
      <c r="FW2276" s="103"/>
      <c r="FX2276" s="103"/>
      <c r="FY2276" s="103"/>
      <c r="FZ2276" s="103"/>
      <c r="GA2276" s="103"/>
      <c r="GB2276" s="103"/>
      <c r="GC2276" s="103"/>
      <c r="GD2276" s="103"/>
      <c r="GE2276" s="103"/>
      <c r="GF2276" s="103"/>
      <c r="GG2276" s="103"/>
      <c r="GH2276" s="103"/>
      <c r="GI2276" s="103"/>
      <c r="GJ2276" s="103"/>
      <c r="GK2276" s="103"/>
      <c r="GL2276" s="103"/>
      <c r="GM2276" s="103"/>
      <c r="GN2276" s="103"/>
      <c r="GO2276" s="103"/>
      <c r="GP2276" s="103"/>
      <c r="GQ2276" s="103"/>
      <c r="GR2276" s="103"/>
      <c r="GS2276" s="103"/>
      <c r="GT2276" s="103"/>
      <c r="GU2276" s="103"/>
      <c r="GV2276" s="103"/>
      <c r="GW2276" s="103"/>
      <c r="GX2276" s="103"/>
      <c r="GY2276" s="103"/>
      <c r="GZ2276" s="103"/>
      <c r="HA2276" s="103"/>
      <c r="HB2276" s="103"/>
      <c r="HC2276" s="103"/>
      <c r="HD2276" s="103"/>
      <c r="HE2276" s="103"/>
      <c r="HF2276" s="103"/>
      <c r="HG2276" s="103"/>
      <c r="HH2276" s="103"/>
      <c r="HI2276" s="103"/>
      <c r="HJ2276" s="103"/>
      <c r="HK2276" s="103"/>
      <c r="HL2276" s="103"/>
      <c r="HM2276" s="103"/>
      <c r="HN2276" s="103"/>
      <c r="HO2276" s="103"/>
      <c r="HP2276" s="103"/>
      <c r="HQ2276" s="103"/>
      <c r="HR2276" s="103"/>
      <c r="HS2276" s="103"/>
      <c r="HT2276" s="103"/>
      <c r="HU2276" s="103"/>
      <c r="HV2276" s="103"/>
      <c r="HW2276" s="103"/>
      <c r="HX2276" s="103"/>
      <c r="HY2276" s="103"/>
      <c r="HZ2276" s="103"/>
      <c r="IA2276" s="103"/>
      <c r="IB2276" s="103"/>
      <c r="IC2276" s="103"/>
      <c r="ID2276" s="103"/>
      <c r="IE2276" s="103"/>
      <c r="IF2276" s="103"/>
      <c r="IG2276" s="103"/>
      <c r="IH2276" s="103"/>
      <c r="II2276" s="103"/>
      <c r="IJ2276" s="103"/>
      <c r="IK2276" s="103"/>
      <c r="IL2276" s="103"/>
      <c r="IM2276" s="103"/>
      <c r="IN2276" s="103"/>
      <c r="IO2276" s="103"/>
      <c r="IP2276" s="103"/>
      <c r="IQ2276" s="103"/>
      <c r="IR2276" s="103"/>
      <c r="IS2276" s="103"/>
      <c r="IT2276" s="103"/>
      <c r="IU2276" s="103"/>
      <c r="IV2276" s="103"/>
      <c r="IW2276" s="103"/>
    </row>
    <row r="2277" customFormat="false" ht="17.6" hidden="false" customHeight="false" outlineLevel="0" collapsed="false">
      <c r="A2277" s="91"/>
    </row>
    <row r="2278" customFormat="false" ht="17.6" hidden="false" customHeight="false" outlineLevel="0" collapsed="false">
      <c r="A2278" s="91" t="s">
        <v>2496</v>
      </c>
      <c r="B2278" s="90" t="s">
        <v>1164</v>
      </c>
      <c r="C2278" s="90" t="n">
        <v>900</v>
      </c>
      <c r="D2278" s="103" t="s">
        <v>1121</v>
      </c>
    </row>
    <row r="2279" customFormat="false" ht="17.6" hidden="false" customHeight="false" outlineLevel="0" collapsed="false">
      <c r="A2279" s="91" t="s">
        <v>2497</v>
      </c>
      <c r="B2279" s="90" t="s">
        <v>1164</v>
      </c>
      <c r="C2279" s="90" t="n">
        <v>1200</v>
      </c>
      <c r="D2279" s="103" t="s">
        <v>1121</v>
      </c>
    </row>
    <row r="2280" customFormat="false" ht="17.6" hidden="false" customHeight="false" outlineLevel="0" collapsed="false">
      <c r="A2280" s="91" t="s">
        <v>2498</v>
      </c>
      <c r="B2280" s="90" t="s">
        <v>1120</v>
      </c>
      <c r="C2280" s="90" t="n">
        <v>1500</v>
      </c>
      <c r="D2280" s="103" t="s">
        <v>1121</v>
      </c>
    </row>
    <row r="2281" customFormat="false" ht="17.6" hidden="false" customHeight="false" outlineLevel="0" collapsed="false">
      <c r="A2281" s="91" t="s">
        <v>2499</v>
      </c>
      <c r="B2281" s="90" t="s">
        <v>1120</v>
      </c>
      <c r="C2281" s="90" t="n">
        <v>1200</v>
      </c>
      <c r="D2281" s="103" t="s">
        <v>1121</v>
      </c>
    </row>
    <row r="2282" customFormat="false" ht="17.6" hidden="false" customHeight="false" outlineLevel="0" collapsed="false">
      <c r="A2282" s="91"/>
    </row>
    <row r="2283" customFormat="false" ht="17.6" hidden="false" customHeight="false" outlineLevel="0" collapsed="false">
      <c r="A2283" s="91" t="s">
        <v>2500</v>
      </c>
      <c r="B2283" s="90" t="s">
        <v>1164</v>
      </c>
      <c r="C2283" s="90" t="n">
        <v>95</v>
      </c>
      <c r="D2283" s="103" t="s">
        <v>1165</v>
      </c>
      <c r="E2283" s="103"/>
      <c r="F2283" s="103"/>
      <c r="G2283" s="103"/>
      <c r="H2283" s="103"/>
      <c r="I2283" s="103"/>
      <c r="J2283" s="103"/>
      <c r="K2283" s="103"/>
      <c r="L2283" s="103"/>
      <c r="M2283" s="103"/>
      <c r="N2283" s="103"/>
      <c r="O2283" s="104"/>
      <c r="P2283" s="104"/>
      <c r="Q2283" s="104"/>
      <c r="R2283" s="104"/>
      <c r="S2283" s="104"/>
      <c r="T2283" s="104"/>
      <c r="U2283" s="104"/>
      <c r="V2283" s="104"/>
      <c r="W2283" s="104"/>
      <c r="X2283" s="104"/>
      <c r="Y2283" s="104"/>
      <c r="Z2283" s="104"/>
      <c r="AA2283" s="104"/>
      <c r="AB2283" s="104"/>
      <c r="AC2283" s="104"/>
      <c r="AD2283" s="104"/>
      <c r="AE2283" s="104"/>
      <c r="AF2283" s="104"/>
      <c r="AG2283" s="104"/>
      <c r="AH2283" s="104"/>
      <c r="AI2283" s="104"/>
      <c r="AJ2283" s="104"/>
      <c r="AK2283" s="104"/>
      <c r="AL2283" s="104"/>
      <c r="AM2283" s="104"/>
      <c r="AN2283" s="104"/>
      <c r="AO2283" s="104"/>
      <c r="AP2283" s="104"/>
      <c r="AQ2283" s="104"/>
      <c r="AR2283" s="104"/>
      <c r="AS2283" s="104"/>
      <c r="AT2283" s="104"/>
      <c r="AU2283" s="104"/>
      <c r="AV2283" s="104"/>
      <c r="AW2283" s="104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  <c r="BH2283" s="104"/>
      <c r="BI2283" s="104"/>
      <c r="BJ2283" s="104"/>
      <c r="BK2283" s="104"/>
      <c r="BL2283" s="104"/>
      <c r="BM2283" s="104"/>
      <c r="BN2283" s="104"/>
      <c r="BO2283" s="104"/>
      <c r="BP2283" s="104"/>
      <c r="BQ2283" s="104"/>
      <c r="BR2283" s="104"/>
      <c r="BS2283" s="104"/>
      <c r="BT2283" s="104"/>
      <c r="BU2283" s="104"/>
      <c r="BV2283" s="104"/>
      <c r="BW2283" s="104"/>
      <c r="BX2283" s="104"/>
      <c r="BY2283" s="104"/>
      <c r="BZ2283" s="104"/>
      <c r="CA2283" s="104"/>
      <c r="CB2283" s="104"/>
      <c r="CC2283" s="104"/>
      <c r="CD2283" s="104"/>
      <c r="CE2283" s="104"/>
      <c r="CF2283" s="104"/>
      <c r="CG2283" s="104"/>
      <c r="CH2283" s="104"/>
      <c r="CI2283" s="104"/>
      <c r="CJ2283" s="104"/>
      <c r="CK2283" s="104"/>
      <c r="CL2283" s="104"/>
      <c r="CM2283" s="104"/>
      <c r="CN2283" s="104"/>
      <c r="CO2283" s="104"/>
      <c r="CP2283" s="104"/>
      <c r="CQ2283" s="104"/>
      <c r="CR2283" s="104"/>
      <c r="CS2283" s="104"/>
      <c r="CT2283" s="104"/>
      <c r="CU2283" s="104"/>
      <c r="CV2283" s="104"/>
      <c r="CW2283" s="104"/>
      <c r="CX2283" s="104"/>
      <c r="CY2283" s="104"/>
      <c r="CZ2283" s="104"/>
      <c r="DA2283" s="104"/>
      <c r="DB2283" s="104"/>
      <c r="DC2283" s="104"/>
      <c r="DD2283" s="104"/>
      <c r="DE2283" s="104"/>
      <c r="DF2283" s="104"/>
      <c r="DG2283" s="104"/>
      <c r="DH2283" s="104"/>
      <c r="DI2283" s="104"/>
      <c r="DJ2283" s="104"/>
      <c r="DK2283" s="104"/>
      <c r="DL2283" s="104"/>
      <c r="DM2283" s="104"/>
      <c r="DN2283" s="104"/>
      <c r="DO2283" s="104"/>
      <c r="DP2283" s="104"/>
      <c r="DQ2283" s="104"/>
      <c r="DR2283" s="104"/>
      <c r="DS2283" s="104"/>
      <c r="DT2283" s="104"/>
      <c r="DU2283" s="104"/>
      <c r="DV2283" s="104"/>
      <c r="DW2283" s="104"/>
      <c r="DX2283" s="104"/>
      <c r="DY2283" s="104"/>
      <c r="DZ2283" s="104"/>
      <c r="EA2283" s="104"/>
      <c r="EB2283" s="104"/>
      <c r="EC2283" s="104"/>
      <c r="ED2283" s="104"/>
      <c r="EE2283" s="104"/>
      <c r="EF2283" s="104"/>
      <c r="EG2283" s="104"/>
      <c r="EH2283" s="104"/>
      <c r="EI2283" s="104"/>
      <c r="EJ2283" s="104"/>
      <c r="EK2283" s="104"/>
      <c r="EL2283" s="104"/>
      <c r="EM2283" s="104"/>
      <c r="EN2283" s="104"/>
      <c r="EO2283" s="104"/>
      <c r="EP2283" s="104"/>
      <c r="EQ2283" s="104"/>
      <c r="ER2283" s="104"/>
      <c r="ES2283" s="104"/>
      <c r="ET2283" s="104"/>
      <c r="EU2283" s="104"/>
      <c r="EV2283" s="104"/>
      <c r="EW2283" s="104"/>
      <c r="EX2283" s="104"/>
      <c r="EY2283" s="104"/>
      <c r="EZ2283" s="104"/>
      <c r="FA2283" s="104"/>
      <c r="FB2283" s="104"/>
      <c r="FC2283" s="104"/>
      <c r="FD2283" s="104"/>
      <c r="FE2283" s="104"/>
      <c r="FF2283" s="104"/>
      <c r="FG2283" s="104"/>
      <c r="FH2283" s="104"/>
      <c r="FI2283" s="104"/>
      <c r="FJ2283" s="104"/>
      <c r="FK2283" s="104"/>
      <c r="FL2283" s="104"/>
      <c r="FM2283" s="104"/>
      <c r="FN2283" s="104"/>
      <c r="FO2283" s="104"/>
      <c r="FP2283" s="104"/>
      <c r="FQ2283" s="104"/>
      <c r="FR2283" s="104"/>
      <c r="FS2283" s="104"/>
      <c r="FT2283" s="104"/>
      <c r="FU2283" s="104"/>
      <c r="FV2283" s="104"/>
      <c r="FW2283" s="104"/>
      <c r="FX2283" s="104"/>
      <c r="FY2283" s="104"/>
      <c r="FZ2283" s="104"/>
      <c r="GA2283" s="104"/>
      <c r="GB2283" s="104"/>
      <c r="GC2283" s="104"/>
      <c r="GD2283" s="104"/>
      <c r="GE2283" s="104"/>
      <c r="GF2283" s="104"/>
      <c r="GG2283" s="104"/>
      <c r="GH2283" s="104"/>
      <c r="GI2283" s="104"/>
      <c r="GJ2283" s="104"/>
      <c r="GK2283" s="104"/>
      <c r="GL2283" s="104"/>
      <c r="GM2283" s="104"/>
      <c r="GN2283" s="104"/>
      <c r="GO2283" s="104"/>
      <c r="GP2283" s="104"/>
      <c r="GQ2283" s="104"/>
      <c r="GR2283" s="104"/>
      <c r="GS2283" s="104"/>
      <c r="GT2283" s="104"/>
      <c r="GU2283" s="104"/>
      <c r="GV2283" s="104"/>
      <c r="GW2283" s="104"/>
      <c r="GX2283" s="104"/>
      <c r="GY2283" s="104"/>
      <c r="GZ2283" s="104"/>
      <c r="HA2283" s="104"/>
      <c r="HB2283" s="104"/>
      <c r="HC2283" s="104"/>
      <c r="HD2283" s="104"/>
      <c r="HE2283" s="104"/>
      <c r="HF2283" s="104"/>
      <c r="HG2283" s="104"/>
      <c r="HH2283" s="104"/>
      <c r="HI2283" s="104"/>
      <c r="HJ2283" s="104"/>
      <c r="HK2283" s="104"/>
      <c r="HL2283" s="104"/>
      <c r="HM2283" s="104"/>
      <c r="HN2283" s="104"/>
      <c r="HO2283" s="104"/>
      <c r="HP2283" s="104"/>
      <c r="HQ2283" s="104"/>
      <c r="HR2283" s="104"/>
      <c r="HS2283" s="104"/>
      <c r="HT2283" s="104"/>
      <c r="HU2283" s="104"/>
      <c r="HV2283" s="104"/>
      <c r="HW2283" s="104"/>
      <c r="HX2283" s="104"/>
      <c r="HY2283" s="104"/>
      <c r="HZ2283" s="104"/>
      <c r="IA2283" s="104"/>
      <c r="IB2283" s="104"/>
      <c r="IC2283" s="104"/>
      <c r="ID2283" s="104"/>
      <c r="IE2283" s="104"/>
      <c r="IF2283" s="104"/>
      <c r="IG2283" s="104"/>
      <c r="IH2283" s="104"/>
      <c r="II2283" s="104"/>
      <c r="IJ2283" s="104"/>
      <c r="IK2283" s="104"/>
      <c r="IL2283" s="104"/>
      <c r="IM2283" s="104"/>
      <c r="IN2283" s="104"/>
      <c r="IO2283" s="104"/>
      <c r="IP2283" s="104"/>
      <c r="IQ2283" s="104"/>
      <c r="IR2283" s="104"/>
      <c r="IS2283" s="104"/>
      <c r="IT2283" s="104"/>
      <c r="IU2283" s="104"/>
      <c r="IV2283" s="104"/>
      <c r="IW2283" s="11"/>
    </row>
    <row r="2284" customFormat="false" ht="17.6" hidden="false" customHeight="false" outlineLevel="0" collapsed="false">
      <c r="A2284" s="91" t="s">
        <v>2501</v>
      </c>
      <c r="B2284" s="90" t="s">
        <v>1164</v>
      </c>
      <c r="C2284" s="90" t="n">
        <v>28</v>
      </c>
      <c r="D2284" s="103" t="s">
        <v>1165</v>
      </c>
      <c r="E2284" s="103"/>
      <c r="F2284" s="103"/>
      <c r="G2284" s="103"/>
      <c r="H2284" s="103"/>
      <c r="I2284" s="103"/>
      <c r="J2284" s="103"/>
      <c r="K2284" s="103"/>
      <c r="L2284" s="103"/>
      <c r="M2284" s="103"/>
      <c r="N2284" s="103"/>
      <c r="O2284" s="104"/>
      <c r="P2284" s="104"/>
      <c r="Q2284" s="104"/>
      <c r="R2284" s="104"/>
      <c r="S2284" s="104"/>
      <c r="T2284" s="104"/>
      <c r="U2284" s="104"/>
      <c r="V2284" s="104"/>
      <c r="W2284" s="104"/>
      <c r="X2284" s="104"/>
      <c r="Y2284" s="104"/>
      <c r="Z2284" s="104"/>
      <c r="AA2284" s="104"/>
      <c r="AB2284" s="104"/>
      <c r="AC2284" s="104"/>
      <c r="AD2284" s="104"/>
      <c r="AE2284" s="104"/>
      <c r="AF2284" s="104"/>
      <c r="AG2284" s="104"/>
      <c r="AH2284" s="104"/>
      <c r="AI2284" s="104"/>
      <c r="AJ2284" s="104"/>
      <c r="AK2284" s="104"/>
      <c r="AL2284" s="104"/>
      <c r="AM2284" s="104"/>
      <c r="AN2284" s="104"/>
      <c r="AO2284" s="104"/>
      <c r="AP2284" s="104"/>
      <c r="AQ2284" s="104"/>
      <c r="AR2284" s="104"/>
      <c r="AS2284" s="104"/>
      <c r="AT2284" s="104"/>
      <c r="AU2284" s="104"/>
      <c r="AV2284" s="104"/>
      <c r="AW2284" s="104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  <c r="BH2284" s="104"/>
      <c r="BI2284" s="104"/>
      <c r="BJ2284" s="104"/>
      <c r="BK2284" s="104"/>
      <c r="BL2284" s="104"/>
      <c r="BM2284" s="104"/>
      <c r="BN2284" s="104"/>
      <c r="BO2284" s="104"/>
      <c r="BP2284" s="104"/>
      <c r="BQ2284" s="104"/>
      <c r="BR2284" s="104"/>
      <c r="BS2284" s="104"/>
      <c r="BT2284" s="104"/>
      <c r="BU2284" s="104"/>
      <c r="BV2284" s="104"/>
      <c r="BW2284" s="104"/>
      <c r="BX2284" s="104"/>
      <c r="BY2284" s="104"/>
      <c r="BZ2284" s="104"/>
      <c r="CA2284" s="104"/>
      <c r="CB2284" s="104"/>
      <c r="CC2284" s="104"/>
      <c r="CD2284" s="104"/>
      <c r="CE2284" s="104"/>
      <c r="CF2284" s="104"/>
      <c r="CG2284" s="104"/>
      <c r="CH2284" s="104"/>
      <c r="CI2284" s="104"/>
      <c r="CJ2284" s="104"/>
      <c r="CK2284" s="104"/>
      <c r="CL2284" s="104"/>
      <c r="CM2284" s="104"/>
      <c r="CN2284" s="104"/>
      <c r="CO2284" s="104"/>
      <c r="CP2284" s="104"/>
      <c r="CQ2284" s="104"/>
      <c r="CR2284" s="104"/>
      <c r="CS2284" s="104"/>
      <c r="CT2284" s="104"/>
      <c r="CU2284" s="104"/>
      <c r="CV2284" s="104"/>
      <c r="CW2284" s="104"/>
      <c r="CX2284" s="104"/>
      <c r="CY2284" s="104"/>
      <c r="CZ2284" s="104"/>
      <c r="DA2284" s="104"/>
      <c r="DB2284" s="104"/>
      <c r="DC2284" s="104"/>
      <c r="DD2284" s="104"/>
      <c r="DE2284" s="104"/>
      <c r="DF2284" s="104"/>
      <c r="DG2284" s="104"/>
      <c r="DH2284" s="104"/>
      <c r="DI2284" s="104"/>
      <c r="DJ2284" s="104"/>
      <c r="DK2284" s="104"/>
      <c r="DL2284" s="104"/>
      <c r="DM2284" s="104"/>
      <c r="DN2284" s="104"/>
      <c r="DO2284" s="104"/>
      <c r="DP2284" s="104"/>
      <c r="DQ2284" s="104"/>
      <c r="DR2284" s="104"/>
      <c r="DS2284" s="104"/>
      <c r="DT2284" s="104"/>
      <c r="DU2284" s="104"/>
      <c r="DV2284" s="104"/>
      <c r="DW2284" s="104"/>
      <c r="DX2284" s="104"/>
      <c r="DY2284" s="104"/>
      <c r="DZ2284" s="104"/>
      <c r="EA2284" s="104"/>
      <c r="EB2284" s="104"/>
      <c r="EC2284" s="104"/>
      <c r="ED2284" s="104"/>
      <c r="EE2284" s="104"/>
      <c r="EF2284" s="104"/>
      <c r="EG2284" s="104"/>
      <c r="EH2284" s="104"/>
      <c r="EI2284" s="104"/>
      <c r="EJ2284" s="104"/>
      <c r="EK2284" s="104"/>
      <c r="EL2284" s="104"/>
      <c r="EM2284" s="104"/>
      <c r="EN2284" s="104"/>
      <c r="EO2284" s="104"/>
      <c r="EP2284" s="104"/>
      <c r="EQ2284" s="104"/>
      <c r="ER2284" s="104"/>
      <c r="ES2284" s="104"/>
      <c r="ET2284" s="104"/>
      <c r="EU2284" s="104"/>
      <c r="EV2284" s="104"/>
      <c r="EW2284" s="104"/>
      <c r="EX2284" s="104"/>
      <c r="EY2284" s="104"/>
      <c r="EZ2284" s="104"/>
      <c r="FA2284" s="104"/>
      <c r="FB2284" s="104"/>
      <c r="FC2284" s="104"/>
      <c r="FD2284" s="104"/>
      <c r="FE2284" s="104"/>
      <c r="FF2284" s="104"/>
      <c r="FG2284" s="104"/>
      <c r="FH2284" s="104"/>
      <c r="FI2284" s="104"/>
      <c r="FJ2284" s="104"/>
      <c r="FK2284" s="104"/>
      <c r="FL2284" s="104"/>
      <c r="FM2284" s="104"/>
      <c r="FN2284" s="104"/>
      <c r="FO2284" s="104"/>
      <c r="FP2284" s="104"/>
      <c r="FQ2284" s="104"/>
      <c r="FR2284" s="104"/>
      <c r="FS2284" s="104"/>
      <c r="FT2284" s="104"/>
      <c r="FU2284" s="104"/>
      <c r="FV2284" s="104"/>
      <c r="FW2284" s="104"/>
      <c r="FX2284" s="104"/>
      <c r="FY2284" s="104"/>
      <c r="FZ2284" s="104"/>
      <c r="GA2284" s="104"/>
      <c r="GB2284" s="104"/>
      <c r="GC2284" s="104"/>
      <c r="GD2284" s="104"/>
      <c r="GE2284" s="104"/>
      <c r="GF2284" s="104"/>
      <c r="GG2284" s="104"/>
      <c r="GH2284" s="104"/>
      <c r="GI2284" s="104"/>
      <c r="GJ2284" s="104"/>
      <c r="GK2284" s="104"/>
      <c r="GL2284" s="104"/>
      <c r="GM2284" s="104"/>
      <c r="GN2284" s="104"/>
      <c r="GO2284" s="104"/>
      <c r="GP2284" s="104"/>
      <c r="GQ2284" s="104"/>
      <c r="GR2284" s="104"/>
      <c r="GS2284" s="104"/>
      <c r="GT2284" s="104"/>
      <c r="GU2284" s="104"/>
      <c r="GV2284" s="104"/>
      <c r="GW2284" s="104"/>
      <c r="GX2284" s="104"/>
      <c r="GY2284" s="104"/>
      <c r="GZ2284" s="104"/>
      <c r="HA2284" s="104"/>
      <c r="HB2284" s="104"/>
      <c r="HC2284" s="104"/>
      <c r="HD2284" s="104"/>
      <c r="HE2284" s="104"/>
      <c r="HF2284" s="104"/>
      <c r="HG2284" s="104"/>
      <c r="HH2284" s="104"/>
      <c r="HI2284" s="104"/>
      <c r="HJ2284" s="104"/>
      <c r="HK2284" s="104"/>
      <c r="HL2284" s="104"/>
      <c r="HM2284" s="104"/>
      <c r="HN2284" s="104"/>
      <c r="HO2284" s="104"/>
      <c r="HP2284" s="104"/>
      <c r="HQ2284" s="104"/>
      <c r="HR2284" s="104"/>
      <c r="HS2284" s="104"/>
      <c r="HT2284" s="104"/>
      <c r="HU2284" s="104"/>
      <c r="HV2284" s="104"/>
      <c r="HW2284" s="104"/>
      <c r="HX2284" s="104"/>
      <c r="HY2284" s="104"/>
      <c r="HZ2284" s="104"/>
      <c r="IA2284" s="104"/>
      <c r="IB2284" s="104"/>
      <c r="IC2284" s="104"/>
      <c r="ID2284" s="104"/>
      <c r="IE2284" s="104"/>
      <c r="IF2284" s="104"/>
      <c r="IG2284" s="104"/>
      <c r="IH2284" s="104"/>
      <c r="II2284" s="104"/>
      <c r="IJ2284" s="104"/>
      <c r="IK2284" s="104"/>
      <c r="IL2284" s="104"/>
      <c r="IM2284" s="104"/>
      <c r="IN2284" s="104"/>
      <c r="IO2284" s="104"/>
      <c r="IP2284" s="104"/>
      <c r="IQ2284" s="104"/>
      <c r="IR2284" s="104"/>
      <c r="IS2284" s="104"/>
      <c r="IT2284" s="104"/>
      <c r="IU2284" s="104"/>
      <c r="IV2284" s="104"/>
      <c r="IW2284" s="11"/>
    </row>
    <row r="2285" customFormat="false" ht="17.6" hidden="false" customHeight="false" outlineLevel="0" collapsed="false">
      <c r="A2285" s="91" t="s">
        <v>2502</v>
      </c>
      <c r="B2285" s="90" t="s">
        <v>1164</v>
      </c>
      <c r="C2285" s="90" t="n">
        <v>32</v>
      </c>
      <c r="D2285" s="103" t="s">
        <v>1165</v>
      </c>
      <c r="E2285" s="103"/>
      <c r="F2285" s="103"/>
      <c r="G2285" s="103"/>
      <c r="H2285" s="103"/>
      <c r="I2285" s="103"/>
      <c r="J2285" s="103"/>
      <c r="K2285" s="103"/>
      <c r="L2285" s="103"/>
      <c r="M2285" s="103"/>
      <c r="N2285" s="103"/>
      <c r="O2285" s="104"/>
      <c r="P2285" s="104"/>
      <c r="Q2285" s="104"/>
      <c r="R2285" s="104"/>
      <c r="S2285" s="104"/>
      <c r="T2285" s="104"/>
      <c r="U2285" s="104"/>
      <c r="V2285" s="104"/>
      <c r="W2285" s="104"/>
      <c r="X2285" s="104"/>
      <c r="Y2285" s="104"/>
      <c r="Z2285" s="104"/>
      <c r="AA2285" s="104"/>
      <c r="AB2285" s="104"/>
      <c r="AC2285" s="104"/>
      <c r="AD2285" s="104"/>
      <c r="AE2285" s="104"/>
      <c r="AF2285" s="104"/>
      <c r="AG2285" s="104"/>
      <c r="AH2285" s="104"/>
      <c r="AI2285" s="104"/>
      <c r="AJ2285" s="104"/>
      <c r="AK2285" s="104"/>
      <c r="AL2285" s="104"/>
      <c r="AM2285" s="104"/>
      <c r="AN2285" s="104"/>
      <c r="AO2285" s="104"/>
      <c r="AP2285" s="104"/>
      <c r="AQ2285" s="104"/>
      <c r="AR2285" s="104"/>
      <c r="AS2285" s="104"/>
      <c r="AT2285" s="104"/>
      <c r="AU2285" s="104"/>
      <c r="AV2285" s="104"/>
      <c r="AW2285" s="104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  <c r="BH2285" s="104"/>
      <c r="BI2285" s="104"/>
      <c r="BJ2285" s="104"/>
      <c r="BK2285" s="104"/>
      <c r="BL2285" s="104"/>
      <c r="BM2285" s="104"/>
      <c r="BN2285" s="104"/>
      <c r="BO2285" s="104"/>
      <c r="BP2285" s="104"/>
      <c r="BQ2285" s="104"/>
      <c r="BR2285" s="104"/>
      <c r="BS2285" s="104"/>
      <c r="BT2285" s="104"/>
      <c r="BU2285" s="104"/>
      <c r="BV2285" s="104"/>
      <c r="BW2285" s="104"/>
      <c r="BX2285" s="104"/>
      <c r="BY2285" s="104"/>
      <c r="BZ2285" s="104"/>
      <c r="CA2285" s="104"/>
      <c r="CB2285" s="104"/>
      <c r="CC2285" s="104"/>
      <c r="CD2285" s="104"/>
      <c r="CE2285" s="104"/>
      <c r="CF2285" s="104"/>
      <c r="CG2285" s="104"/>
      <c r="CH2285" s="104"/>
      <c r="CI2285" s="104"/>
      <c r="CJ2285" s="104"/>
      <c r="CK2285" s="104"/>
      <c r="CL2285" s="104"/>
      <c r="CM2285" s="104"/>
      <c r="CN2285" s="104"/>
      <c r="CO2285" s="104"/>
      <c r="CP2285" s="104"/>
      <c r="CQ2285" s="104"/>
      <c r="CR2285" s="104"/>
      <c r="CS2285" s="104"/>
      <c r="CT2285" s="104"/>
      <c r="CU2285" s="104"/>
      <c r="CV2285" s="104"/>
      <c r="CW2285" s="104"/>
      <c r="CX2285" s="104"/>
      <c r="CY2285" s="104"/>
      <c r="CZ2285" s="104"/>
      <c r="DA2285" s="104"/>
      <c r="DB2285" s="104"/>
      <c r="DC2285" s="104"/>
      <c r="DD2285" s="104"/>
      <c r="DE2285" s="104"/>
      <c r="DF2285" s="104"/>
      <c r="DG2285" s="104"/>
      <c r="DH2285" s="104"/>
      <c r="DI2285" s="104"/>
      <c r="DJ2285" s="104"/>
      <c r="DK2285" s="104"/>
      <c r="DL2285" s="104"/>
      <c r="DM2285" s="104"/>
      <c r="DN2285" s="104"/>
      <c r="DO2285" s="104"/>
      <c r="DP2285" s="104"/>
      <c r="DQ2285" s="104"/>
      <c r="DR2285" s="104"/>
      <c r="DS2285" s="104"/>
      <c r="DT2285" s="104"/>
      <c r="DU2285" s="104"/>
      <c r="DV2285" s="104"/>
      <c r="DW2285" s="104"/>
      <c r="DX2285" s="104"/>
      <c r="DY2285" s="104"/>
      <c r="DZ2285" s="104"/>
      <c r="EA2285" s="104"/>
      <c r="EB2285" s="104"/>
      <c r="EC2285" s="104"/>
      <c r="ED2285" s="104"/>
      <c r="EE2285" s="104"/>
      <c r="EF2285" s="104"/>
      <c r="EG2285" s="104"/>
      <c r="EH2285" s="104"/>
      <c r="EI2285" s="104"/>
      <c r="EJ2285" s="104"/>
      <c r="EK2285" s="104"/>
      <c r="EL2285" s="104"/>
      <c r="EM2285" s="104"/>
      <c r="EN2285" s="104"/>
      <c r="EO2285" s="104"/>
      <c r="EP2285" s="104"/>
      <c r="EQ2285" s="104"/>
      <c r="ER2285" s="104"/>
      <c r="ES2285" s="104"/>
      <c r="ET2285" s="104"/>
      <c r="EU2285" s="104"/>
      <c r="EV2285" s="104"/>
      <c r="EW2285" s="104"/>
      <c r="EX2285" s="104"/>
      <c r="EY2285" s="104"/>
      <c r="EZ2285" s="104"/>
      <c r="FA2285" s="104"/>
      <c r="FB2285" s="104"/>
      <c r="FC2285" s="104"/>
      <c r="FD2285" s="104"/>
      <c r="FE2285" s="104"/>
      <c r="FF2285" s="104"/>
      <c r="FG2285" s="104"/>
      <c r="FH2285" s="104"/>
      <c r="FI2285" s="104"/>
      <c r="FJ2285" s="104"/>
      <c r="FK2285" s="104"/>
      <c r="FL2285" s="104"/>
      <c r="FM2285" s="104"/>
      <c r="FN2285" s="104"/>
      <c r="FO2285" s="104"/>
      <c r="FP2285" s="104"/>
      <c r="FQ2285" s="104"/>
      <c r="FR2285" s="104"/>
      <c r="FS2285" s="104"/>
      <c r="FT2285" s="104"/>
      <c r="FU2285" s="104"/>
      <c r="FV2285" s="104"/>
      <c r="FW2285" s="104"/>
      <c r="FX2285" s="104"/>
      <c r="FY2285" s="104"/>
      <c r="FZ2285" s="104"/>
      <c r="GA2285" s="104"/>
      <c r="GB2285" s="104"/>
      <c r="GC2285" s="104"/>
      <c r="GD2285" s="104"/>
      <c r="GE2285" s="104"/>
      <c r="GF2285" s="104"/>
      <c r="GG2285" s="104"/>
      <c r="GH2285" s="104"/>
      <c r="GI2285" s="104"/>
      <c r="GJ2285" s="104"/>
      <c r="GK2285" s="104"/>
      <c r="GL2285" s="104"/>
      <c r="GM2285" s="104"/>
      <c r="GN2285" s="104"/>
      <c r="GO2285" s="104"/>
      <c r="GP2285" s="104"/>
      <c r="GQ2285" s="104"/>
      <c r="GR2285" s="104"/>
      <c r="GS2285" s="104"/>
      <c r="GT2285" s="104"/>
      <c r="GU2285" s="104"/>
      <c r="GV2285" s="104"/>
      <c r="GW2285" s="104"/>
      <c r="GX2285" s="104"/>
      <c r="GY2285" s="104"/>
      <c r="GZ2285" s="104"/>
      <c r="HA2285" s="104"/>
      <c r="HB2285" s="104"/>
      <c r="HC2285" s="104"/>
      <c r="HD2285" s="104"/>
      <c r="HE2285" s="104"/>
      <c r="HF2285" s="104"/>
      <c r="HG2285" s="104"/>
      <c r="HH2285" s="104"/>
      <c r="HI2285" s="104"/>
      <c r="HJ2285" s="104"/>
      <c r="HK2285" s="104"/>
      <c r="HL2285" s="104"/>
      <c r="HM2285" s="104"/>
      <c r="HN2285" s="104"/>
      <c r="HO2285" s="104"/>
      <c r="HP2285" s="104"/>
      <c r="HQ2285" s="104"/>
      <c r="HR2285" s="104"/>
      <c r="HS2285" s="104"/>
      <c r="HT2285" s="104"/>
      <c r="HU2285" s="104"/>
      <c r="HV2285" s="104"/>
      <c r="HW2285" s="104"/>
      <c r="HX2285" s="104"/>
      <c r="HY2285" s="104"/>
      <c r="HZ2285" s="104"/>
      <c r="IA2285" s="104"/>
      <c r="IB2285" s="104"/>
      <c r="IC2285" s="104"/>
      <c r="ID2285" s="104"/>
      <c r="IE2285" s="104"/>
      <c r="IF2285" s="104"/>
      <c r="IG2285" s="104"/>
      <c r="IH2285" s="104"/>
      <c r="II2285" s="104"/>
      <c r="IJ2285" s="104"/>
      <c r="IK2285" s="104"/>
      <c r="IL2285" s="104"/>
      <c r="IM2285" s="104"/>
      <c r="IN2285" s="104"/>
      <c r="IO2285" s="104"/>
      <c r="IP2285" s="104"/>
      <c r="IQ2285" s="104"/>
      <c r="IR2285" s="104"/>
      <c r="IS2285" s="104"/>
      <c r="IT2285" s="104"/>
      <c r="IU2285" s="104"/>
      <c r="IV2285" s="104"/>
      <c r="IW2285" s="11"/>
    </row>
    <row r="2286" customFormat="false" ht="17.6" hidden="false" customHeight="false" outlineLevel="0" collapsed="false">
      <c r="A2286" s="91" t="s">
        <v>2503</v>
      </c>
      <c r="B2286" s="90" t="s">
        <v>1164</v>
      </c>
      <c r="C2286" s="90" t="n">
        <v>45</v>
      </c>
      <c r="D2286" s="103" t="s">
        <v>1165</v>
      </c>
      <c r="E2286" s="103"/>
      <c r="F2286" s="103"/>
      <c r="G2286" s="103"/>
      <c r="H2286" s="103"/>
      <c r="I2286" s="103"/>
      <c r="J2286" s="103"/>
      <c r="K2286" s="103"/>
      <c r="L2286" s="103"/>
      <c r="M2286" s="103"/>
      <c r="N2286" s="103"/>
      <c r="O2286" s="104"/>
      <c r="P2286" s="104"/>
      <c r="Q2286" s="104"/>
      <c r="R2286" s="104"/>
      <c r="S2286" s="104"/>
      <c r="T2286" s="104"/>
      <c r="U2286" s="104"/>
      <c r="V2286" s="104"/>
      <c r="W2286" s="104"/>
      <c r="X2286" s="104"/>
      <c r="Y2286" s="104"/>
      <c r="Z2286" s="104"/>
      <c r="AA2286" s="104"/>
      <c r="AB2286" s="104"/>
      <c r="AC2286" s="104"/>
      <c r="AD2286" s="104"/>
      <c r="AE2286" s="104"/>
      <c r="AF2286" s="104"/>
      <c r="AG2286" s="104"/>
      <c r="AH2286" s="104"/>
      <c r="AI2286" s="104"/>
      <c r="AJ2286" s="104"/>
      <c r="AK2286" s="104"/>
      <c r="AL2286" s="104"/>
      <c r="AM2286" s="104"/>
      <c r="AN2286" s="104"/>
      <c r="AO2286" s="104"/>
      <c r="AP2286" s="104"/>
      <c r="AQ2286" s="104"/>
      <c r="AR2286" s="104"/>
      <c r="AS2286" s="104"/>
      <c r="AT2286" s="104"/>
      <c r="AU2286" s="104"/>
      <c r="AV2286" s="104"/>
      <c r="AW2286" s="104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  <c r="BH2286" s="104"/>
      <c r="BI2286" s="104"/>
      <c r="BJ2286" s="104"/>
      <c r="BK2286" s="104"/>
      <c r="BL2286" s="104"/>
      <c r="BM2286" s="104"/>
      <c r="BN2286" s="104"/>
      <c r="BO2286" s="104"/>
      <c r="BP2286" s="104"/>
      <c r="BQ2286" s="104"/>
      <c r="BR2286" s="104"/>
      <c r="BS2286" s="104"/>
      <c r="BT2286" s="104"/>
      <c r="BU2286" s="104"/>
      <c r="BV2286" s="104"/>
      <c r="BW2286" s="104"/>
      <c r="BX2286" s="104"/>
      <c r="BY2286" s="104"/>
      <c r="BZ2286" s="104"/>
      <c r="CA2286" s="104"/>
      <c r="CB2286" s="104"/>
      <c r="CC2286" s="104"/>
      <c r="CD2286" s="104"/>
      <c r="CE2286" s="104"/>
      <c r="CF2286" s="104"/>
      <c r="CG2286" s="104"/>
      <c r="CH2286" s="104"/>
      <c r="CI2286" s="104"/>
      <c r="CJ2286" s="104"/>
      <c r="CK2286" s="104"/>
      <c r="CL2286" s="104"/>
      <c r="CM2286" s="104"/>
      <c r="CN2286" s="104"/>
      <c r="CO2286" s="104"/>
      <c r="CP2286" s="104"/>
      <c r="CQ2286" s="104"/>
      <c r="CR2286" s="104"/>
      <c r="CS2286" s="104"/>
      <c r="CT2286" s="104"/>
      <c r="CU2286" s="104"/>
      <c r="CV2286" s="104"/>
      <c r="CW2286" s="104"/>
      <c r="CX2286" s="104"/>
      <c r="CY2286" s="104"/>
      <c r="CZ2286" s="104"/>
      <c r="DA2286" s="104"/>
      <c r="DB2286" s="104"/>
      <c r="DC2286" s="104"/>
      <c r="DD2286" s="104"/>
      <c r="DE2286" s="104"/>
      <c r="DF2286" s="104"/>
      <c r="DG2286" s="104"/>
      <c r="DH2286" s="104"/>
      <c r="DI2286" s="104"/>
      <c r="DJ2286" s="104"/>
      <c r="DK2286" s="104"/>
      <c r="DL2286" s="104"/>
      <c r="DM2286" s="104"/>
      <c r="DN2286" s="104"/>
      <c r="DO2286" s="104"/>
      <c r="DP2286" s="104"/>
      <c r="DQ2286" s="104"/>
      <c r="DR2286" s="104"/>
      <c r="DS2286" s="104"/>
      <c r="DT2286" s="104"/>
      <c r="DU2286" s="104"/>
      <c r="DV2286" s="104"/>
      <c r="DW2286" s="104"/>
      <c r="DX2286" s="104"/>
      <c r="DY2286" s="104"/>
      <c r="DZ2286" s="104"/>
      <c r="EA2286" s="104"/>
      <c r="EB2286" s="104"/>
      <c r="EC2286" s="104"/>
      <c r="ED2286" s="104"/>
      <c r="EE2286" s="104"/>
      <c r="EF2286" s="104"/>
      <c r="EG2286" s="104"/>
      <c r="EH2286" s="104"/>
      <c r="EI2286" s="104"/>
      <c r="EJ2286" s="104"/>
      <c r="EK2286" s="104"/>
      <c r="EL2286" s="104"/>
      <c r="EM2286" s="104"/>
      <c r="EN2286" s="104"/>
      <c r="EO2286" s="104"/>
      <c r="EP2286" s="104"/>
      <c r="EQ2286" s="104"/>
      <c r="ER2286" s="104"/>
      <c r="ES2286" s="104"/>
      <c r="ET2286" s="104"/>
      <c r="EU2286" s="104"/>
      <c r="EV2286" s="104"/>
      <c r="EW2286" s="104"/>
      <c r="EX2286" s="104"/>
      <c r="EY2286" s="104"/>
      <c r="EZ2286" s="104"/>
      <c r="FA2286" s="104"/>
      <c r="FB2286" s="104"/>
      <c r="FC2286" s="104"/>
      <c r="FD2286" s="104"/>
      <c r="FE2286" s="104"/>
      <c r="FF2286" s="104"/>
      <c r="FG2286" s="104"/>
      <c r="FH2286" s="104"/>
      <c r="FI2286" s="104"/>
      <c r="FJ2286" s="104"/>
      <c r="FK2286" s="104"/>
      <c r="FL2286" s="104"/>
      <c r="FM2286" s="104"/>
      <c r="FN2286" s="104"/>
      <c r="FO2286" s="104"/>
      <c r="FP2286" s="104"/>
      <c r="FQ2286" s="104"/>
      <c r="FR2286" s="104"/>
      <c r="FS2286" s="104"/>
      <c r="FT2286" s="104"/>
      <c r="FU2286" s="104"/>
      <c r="FV2286" s="104"/>
      <c r="FW2286" s="104"/>
      <c r="FX2286" s="104"/>
      <c r="FY2286" s="104"/>
      <c r="FZ2286" s="104"/>
      <c r="GA2286" s="104"/>
      <c r="GB2286" s="104"/>
      <c r="GC2286" s="104"/>
      <c r="GD2286" s="104"/>
      <c r="GE2286" s="104"/>
      <c r="GF2286" s="104"/>
      <c r="GG2286" s="104"/>
      <c r="GH2286" s="104"/>
      <c r="GI2286" s="104"/>
      <c r="GJ2286" s="104"/>
      <c r="GK2286" s="104"/>
      <c r="GL2286" s="104"/>
      <c r="GM2286" s="104"/>
      <c r="GN2286" s="104"/>
      <c r="GO2286" s="104"/>
      <c r="GP2286" s="104"/>
      <c r="GQ2286" s="104"/>
      <c r="GR2286" s="104"/>
      <c r="GS2286" s="104"/>
      <c r="GT2286" s="104"/>
      <c r="GU2286" s="104"/>
      <c r="GV2286" s="104"/>
      <c r="GW2286" s="104"/>
      <c r="GX2286" s="104"/>
      <c r="GY2286" s="104"/>
      <c r="GZ2286" s="104"/>
      <c r="HA2286" s="104"/>
      <c r="HB2286" s="104"/>
      <c r="HC2286" s="104"/>
      <c r="HD2286" s="104"/>
      <c r="HE2286" s="104"/>
      <c r="HF2286" s="104"/>
      <c r="HG2286" s="104"/>
      <c r="HH2286" s="104"/>
      <c r="HI2286" s="104"/>
      <c r="HJ2286" s="104"/>
      <c r="HK2286" s="104"/>
      <c r="HL2286" s="104"/>
      <c r="HM2286" s="104"/>
      <c r="HN2286" s="104"/>
      <c r="HO2286" s="104"/>
      <c r="HP2286" s="104"/>
      <c r="HQ2286" s="104"/>
      <c r="HR2286" s="104"/>
      <c r="HS2286" s="104"/>
      <c r="HT2286" s="104"/>
      <c r="HU2286" s="104"/>
      <c r="HV2286" s="104"/>
      <c r="HW2286" s="104"/>
      <c r="HX2286" s="104"/>
      <c r="HY2286" s="104"/>
      <c r="HZ2286" s="104"/>
      <c r="IA2286" s="104"/>
      <c r="IB2286" s="104"/>
      <c r="IC2286" s="104"/>
      <c r="ID2286" s="104"/>
      <c r="IE2286" s="104"/>
      <c r="IF2286" s="104"/>
      <c r="IG2286" s="104"/>
      <c r="IH2286" s="104"/>
      <c r="II2286" s="104"/>
      <c r="IJ2286" s="104"/>
      <c r="IK2286" s="104"/>
      <c r="IL2286" s="104"/>
      <c r="IM2286" s="104"/>
      <c r="IN2286" s="104"/>
      <c r="IO2286" s="104"/>
      <c r="IP2286" s="104"/>
      <c r="IQ2286" s="104"/>
      <c r="IR2286" s="104"/>
      <c r="IS2286" s="104"/>
      <c r="IT2286" s="104"/>
      <c r="IU2286" s="104"/>
      <c r="IV2286" s="104"/>
      <c r="IW2286" s="11"/>
    </row>
    <row r="2287" customFormat="false" ht="17.6" hidden="false" customHeight="false" outlineLevel="0" collapsed="false">
      <c r="A2287" s="91" t="s">
        <v>2504</v>
      </c>
      <c r="B2287" s="90" t="s">
        <v>1164</v>
      </c>
      <c r="C2287" s="90" t="n">
        <v>70</v>
      </c>
      <c r="D2287" s="103" t="s">
        <v>1165</v>
      </c>
      <c r="E2287" s="103"/>
      <c r="F2287" s="103"/>
      <c r="G2287" s="103"/>
      <c r="H2287" s="103"/>
      <c r="I2287" s="103"/>
      <c r="J2287" s="103"/>
      <c r="K2287" s="103"/>
      <c r="L2287" s="103"/>
      <c r="M2287" s="103"/>
      <c r="N2287" s="103"/>
      <c r="O2287" s="104"/>
      <c r="P2287" s="103"/>
      <c r="Q2287" s="103"/>
      <c r="R2287" s="103"/>
      <c r="S2287" s="103"/>
      <c r="T2287" s="103"/>
      <c r="U2287" s="103"/>
      <c r="V2287" s="103"/>
      <c r="W2287" s="103"/>
      <c r="X2287" s="103"/>
      <c r="Y2287" s="103"/>
      <c r="Z2287" s="103"/>
      <c r="AA2287" s="103"/>
      <c r="AB2287" s="103"/>
      <c r="AC2287" s="103"/>
      <c r="AD2287" s="103"/>
      <c r="AE2287" s="103"/>
      <c r="AF2287" s="103"/>
      <c r="AG2287" s="103"/>
      <c r="AH2287" s="103"/>
      <c r="AI2287" s="103"/>
      <c r="AJ2287" s="103"/>
      <c r="AK2287" s="103"/>
      <c r="AL2287" s="103"/>
      <c r="AM2287" s="103"/>
      <c r="AN2287" s="103"/>
      <c r="AO2287" s="103"/>
      <c r="AP2287" s="103"/>
      <c r="AQ2287" s="103"/>
      <c r="AR2287" s="103"/>
      <c r="AS2287" s="103"/>
      <c r="AT2287" s="103"/>
      <c r="AU2287" s="103"/>
      <c r="AV2287" s="103"/>
      <c r="AW2287" s="103"/>
      <c r="AX2287" s="103"/>
      <c r="AY2287" s="103"/>
      <c r="AZ2287" s="103"/>
      <c r="BA2287" s="103"/>
      <c r="BB2287" s="103"/>
      <c r="BC2287" s="103"/>
      <c r="BD2287" s="103"/>
      <c r="BE2287" s="103"/>
      <c r="BF2287" s="103"/>
      <c r="BG2287" s="103"/>
      <c r="BH2287" s="103"/>
      <c r="BI2287" s="103"/>
      <c r="BJ2287" s="103"/>
      <c r="BK2287" s="103"/>
      <c r="BL2287" s="103"/>
      <c r="BM2287" s="103"/>
      <c r="BN2287" s="103"/>
      <c r="BO2287" s="103"/>
      <c r="BP2287" s="103"/>
      <c r="BQ2287" s="103"/>
      <c r="BR2287" s="103"/>
      <c r="BS2287" s="103"/>
      <c r="BT2287" s="103"/>
      <c r="BU2287" s="103"/>
      <c r="BV2287" s="103"/>
      <c r="BW2287" s="103"/>
      <c r="BX2287" s="103"/>
      <c r="BY2287" s="103"/>
      <c r="BZ2287" s="103"/>
      <c r="CA2287" s="103"/>
      <c r="CB2287" s="103"/>
      <c r="CC2287" s="103"/>
      <c r="CD2287" s="103"/>
      <c r="CE2287" s="103"/>
      <c r="CF2287" s="103"/>
      <c r="CG2287" s="103"/>
      <c r="CH2287" s="103"/>
      <c r="CI2287" s="103"/>
      <c r="CJ2287" s="103"/>
      <c r="CK2287" s="103"/>
      <c r="CL2287" s="103"/>
      <c r="CM2287" s="103"/>
      <c r="CN2287" s="103"/>
      <c r="CO2287" s="103"/>
      <c r="CP2287" s="103"/>
      <c r="CQ2287" s="103"/>
      <c r="CR2287" s="103"/>
      <c r="CS2287" s="103"/>
      <c r="CT2287" s="103"/>
      <c r="CU2287" s="103"/>
      <c r="CV2287" s="103"/>
      <c r="CW2287" s="103"/>
      <c r="CX2287" s="103"/>
      <c r="CY2287" s="103"/>
      <c r="CZ2287" s="103"/>
      <c r="DA2287" s="103"/>
      <c r="DB2287" s="103"/>
      <c r="DC2287" s="103"/>
      <c r="DD2287" s="103"/>
      <c r="DE2287" s="103"/>
      <c r="DF2287" s="103"/>
      <c r="DG2287" s="103"/>
      <c r="DH2287" s="103"/>
      <c r="DI2287" s="103"/>
      <c r="DJ2287" s="103"/>
      <c r="DK2287" s="103"/>
      <c r="DL2287" s="103"/>
      <c r="DM2287" s="103"/>
      <c r="DN2287" s="103"/>
      <c r="DO2287" s="103"/>
      <c r="DP2287" s="103"/>
      <c r="DQ2287" s="103"/>
      <c r="DR2287" s="103"/>
      <c r="DS2287" s="103"/>
      <c r="DT2287" s="103"/>
      <c r="DU2287" s="103"/>
      <c r="DV2287" s="103"/>
      <c r="DW2287" s="103"/>
      <c r="DX2287" s="103"/>
      <c r="DY2287" s="103"/>
      <c r="DZ2287" s="103"/>
      <c r="EA2287" s="103"/>
      <c r="EB2287" s="103"/>
      <c r="EC2287" s="103"/>
      <c r="ED2287" s="103"/>
      <c r="EE2287" s="103"/>
      <c r="EF2287" s="103"/>
      <c r="EG2287" s="103"/>
      <c r="EH2287" s="103"/>
      <c r="EI2287" s="103"/>
      <c r="EJ2287" s="103"/>
      <c r="EK2287" s="103"/>
      <c r="EL2287" s="103"/>
      <c r="EM2287" s="103"/>
      <c r="EN2287" s="103"/>
      <c r="EO2287" s="103"/>
      <c r="EP2287" s="103"/>
      <c r="EQ2287" s="103"/>
      <c r="ER2287" s="103"/>
      <c r="ES2287" s="103"/>
      <c r="ET2287" s="103"/>
      <c r="EU2287" s="103"/>
      <c r="EV2287" s="103"/>
      <c r="EW2287" s="103"/>
      <c r="EX2287" s="103"/>
      <c r="EY2287" s="103"/>
      <c r="EZ2287" s="103"/>
      <c r="FA2287" s="103"/>
      <c r="FB2287" s="103"/>
      <c r="FC2287" s="103"/>
      <c r="FD2287" s="103"/>
      <c r="FE2287" s="103"/>
      <c r="FF2287" s="103"/>
      <c r="FG2287" s="103"/>
      <c r="FH2287" s="103"/>
      <c r="FI2287" s="103"/>
      <c r="FJ2287" s="103"/>
      <c r="FK2287" s="103"/>
      <c r="FL2287" s="103"/>
      <c r="FM2287" s="103"/>
      <c r="FN2287" s="103"/>
      <c r="FO2287" s="103"/>
      <c r="FP2287" s="103"/>
      <c r="FQ2287" s="103"/>
      <c r="FR2287" s="103"/>
      <c r="FS2287" s="103"/>
      <c r="FT2287" s="103"/>
      <c r="FU2287" s="103"/>
      <c r="FV2287" s="103"/>
      <c r="FW2287" s="103"/>
      <c r="FX2287" s="103"/>
      <c r="FY2287" s="103"/>
      <c r="FZ2287" s="103"/>
      <c r="GA2287" s="103"/>
      <c r="GB2287" s="103"/>
      <c r="GC2287" s="103"/>
      <c r="GD2287" s="103"/>
      <c r="GE2287" s="103"/>
      <c r="GF2287" s="103"/>
      <c r="GG2287" s="103"/>
      <c r="GH2287" s="103"/>
      <c r="GI2287" s="103"/>
      <c r="GJ2287" s="103"/>
      <c r="GK2287" s="103"/>
      <c r="GL2287" s="103"/>
      <c r="GM2287" s="103"/>
      <c r="GN2287" s="103"/>
      <c r="GO2287" s="103"/>
      <c r="GP2287" s="103"/>
      <c r="GQ2287" s="103"/>
      <c r="GR2287" s="103"/>
      <c r="GS2287" s="103"/>
      <c r="GT2287" s="103"/>
      <c r="GU2287" s="103"/>
      <c r="GV2287" s="103"/>
      <c r="GW2287" s="103"/>
      <c r="GX2287" s="103"/>
      <c r="GY2287" s="103"/>
      <c r="GZ2287" s="103"/>
      <c r="HA2287" s="103"/>
      <c r="HB2287" s="103"/>
      <c r="HC2287" s="103"/>
      <c r="HD2287" s="103"/>
      <c r="HE2287" s="103"/>
      <c r="HF2287" s="103"/>
      <c r="HG2287" s="103"/>
      <c r="HH2287" s="103"/>
      <c r="HI2287" s="103"/>
      <c r="HJ2287" s="103"/>
      <c r="HK2287" s="103"/>
      <c r="HL2287" s="103"/>
      <c r="HM2287" s="103"/>
      <c r="HN2287" s="103"/>
      <c r="HO2287" s="103"/>
      <c r="HP2287" s="103"/>
      <c r="HQ2287" s="103"/>
      <c r="HR2287" s="103"/>
      <c r="HS2287" s="103"/>
      <c r="HT2287" s="103"/>
      <c r="HU2287" s="103"/>
      <c r="HV2287" s="103"/>
      <c r="HW2287" s="103"/>
      <c r="HX2287" s="103"/>
      <c r="HY2287" s="103"/>
      <c r="HZ2287" s="103"/>
      <c r="IA2287" s="103"/>
      <c r="IB2287" s="103"/>
      <c r="IC2287" s="103"/>
      <c r="ID2287" s="103"/>
      <c r="IE2287" s="103"/>
      <c r="IF2287" s="103"/>
      <c r="IG2287" s="103"/>
      <c r="IH2287" s="103"/>
      <c r="II2287" s="103"/>
      <c r="IJ2287" s="103"/>
      <c r="IK2287" s="103"/>
      <c r="IL2287" s="103"/>
      <c r="IM2287" s="103"/>
      <c r="IN2287" s="103"/>
      <c r="IO2287" s="103"/>
      <c r="IP2287" s="103"/>
      <c r="IQ2287" s="103"/>
      <c r="IR2287" s="103"/>
      <c r="IS2287" s="103"/>
      <c r="IT2287" s="103"/>
      <c r="IU2287" s="103"/>
      <c r="IV2287" s="103"/>
      <c r="IW2287" s="103"/>
    </row>
    <row r="2288" customFormat="false" ht="17.6" hidden="false" customHeight="false" outlineLevel="0" collapsed="false">
      <c r="A2288" s="91" t="s">
        <v>2505</v>
      </c>
      <c r="B2288" s="90" t="s">
        <v>1164</v>
      </c>
      <c r="C2288" s="90" t="n">
        <v>120</v>
      </c>
      <c r="D2288" s="103" t="s">
        <v>1165</v>
      </c>
      <c r="E2288" s="103"/>
      <c r="F2288" s="103"/>
      <c r="G2288" s="103"/>
      <c r="H2288" s="103"/>
      <c r="I2288" s="103"/>
      <c r="J2288" s="103"/>
      <c r="K2288" s="103"/>
      <c r="L2288" s="103"/>
      <c r="M2288" s="103"/>
      <c r="N2288" s="103"/>
      <c r="O2288" s="104"/>
      <c r="P2288" s="103"/>
      <c r="Q2288" s="103"/>
      <c r="R2288" s="103"/>
      <c r="S2288" s="103"/>
      <c r="T2288" s="103"/>
      <c r="U2288" s="103"/>
      <c r="V2288" s="103"/>
      <c r="W2288" s="103"/>
      <c r="X2288" s="103"/>
      <c r="Y2288" s="103"/>
      <c r="Z2288" s="103"/>
      <c r="AA2288" s="103"/>
      <c r="AB2288" s="103"/>
      <c r="AC2288" s="103"/>
      <c r="AD2288" s="103"/>
      <c r="AE2288" s="103"/>
      <c r="AF2288" s="103"/>
      <c r="AG2288" s="103"/>
      <c r="AH2288" s="103"/>
      <c r="AI2288" s="103"/>
      <c r="AJ2288" s="103"/>
      <c r="AK2288" s="103"/>
      <c r="AL2288" s="103"/>
      <c r="AM2288" s="103"/>
      <c r="AN2288" s="103"/>
      <c r="AO2288" s="103"/>
      <c r="AP2288" s="103"/>
      <c r="AQ2288" s="103"/>
      <c r="AR2288" s="103"/>
      <c r="AS2288" s="103"/>
      <c r="AT2288" s="103"/>
      <c r="AU2288" s="103"/>
      <c r="AV2288" s="103"/>
      <c r="AW2288" s="103"/>
      <c r="AX2288" s="103"/>
      <c r="AY2288" s="103"/>
      <c r="AZ2288" s="103"/>
      <c r="BA2288" s="103"/>
      <c r="BB2288" s="103"/>
      <c r="BC2288" s="103"/>
      <c r="BD2288" s="103"/>
      <c r="BE2288" s="103"/>
      <c r="BF2288" s="103"/>
      <c r="BG2288" s="103"/>
      <c r="BH2288" s="103"/>
      <c r="BI2288" s="103"/>
      <c r="BJ2288" s="103"/>
      <c r="BK2288" s="103"/>
      <c r="BL2288" s="103"/>
      <c r="BM2288" s="103"/>
      <c r="BN2288" s="103"/>
      <c r="BO2288" s="103"/>
      <c r="BP2288" s="103"/>
      <c r="BQ2288" s="103"/>
      <c r="BR2288" s="103"/>
      <c r="BS2288" s="103"/>
      <c r="BT2288" s="103"/>
      <c r="BU2288" s="103"/>
      <c r="BV2288" s="103"/>
      <c r="BW2288" s="103"/>
      <c r="BX2288" s="103"/>
      <c r="BY2288" s="103"/>
      <c r="BZ2288" s="103"/>
      <c r="CA2288" s="103"/>
      <c r="CB2288" s="103"/>
      <c r="CC2288" s="103"/>
      <c r="CD2288" s="103"/>
      <c r="CE2288" s="103"/>
      <c r="CF2288" s="103"/>
      <c r="CG2288" s="103"/>
      <c r="CH2288" s="103"/>
      <c r="CI2288" s="103"/>
      <c r="CJ2288" s="103"/>
      <c r="CK2288" s="103"/>
      <c r="CL2288" s="103"/>
      <c r="CM2288" s="103"/>
      <c r="CN2288" s="103"/>
      <c r="CO2288" s="103"/>
      <c r="CP2288" s="103"/>
      <c r="CQ2288" s="103"/>
      <c r="CR2288" s="103"/>
      <c r="CS2288" s="103"/>
      <c r="CT2288" s="103"/>
      <c r="CU2288" s="103"/>
      <c r="CV2288" s="103"/>
      <c r="CW2288" s="103"/>
      <c r="CX2288" s="103"/>
      <c r="CY2288" s="103"/>
      <c r="CZ2288" s="103"/>
      <c r="DA2288" s="103"/>
      <c r="DB2288" s="103"/>
      <c r="DC2288" s="103"/>
      <c r="DD2288" s="103"/>
      <c r="DE2288" s="103"/>
      <c r="DF2288" s="103"/>
      <c r="DG2288" s="103"/>
      <c r="DH2288" s="103"/>
      <c r="DI2288" s="103"/>
      <c r="DJ2288" s="103"/>
      <c r="DK2288" s="103"/>
      <c r="DL2288" s="103"/>
      <c r="DM2288" s="103"/>
      <c r="DN2288" s="103"/>
      <c r="DO2288" s="103"/>
      <c r="DP2288" s="103"/>
      <c r="DQ2288" s="103"/>
      <c r="DR2288" s="103"/>
      <c r="DS2288" s="103"/>
      <c r="DT2288" s="103"/>
      <c r="DU2288" s="103"/>
      <c r="DV2288" s="103"/>
      <c r="DW2288" s="103"/>
      <c r="DX2288" s="103"/>
      <c r="DY2288" s="103"/>
      <c r="DZ2288" s="103"/>
      <c r="EA2288" s="103"/>
      <c r="EB2288" s="103"/>
      <c r="EC2288" s="103"/>
      <c r="ED2288" s="103"/>
      <c r="EE2288" s="103"/>
      <c r="EF2288" s="103"/>
      <c r="EG2288" s="103"/>
      <c r="EH2288" s="103"/>
      <c r="EI2288" s="103"/>
      <c r="EJ2288" s="103"/>
      <c r="EK2288" s="103"/>
      <c r="EL2288" s="103"/>
      <c r="EM2288" s="103"/>
      <c r="EN2288" s="103"/>
      <c r="EO2288" s="103"/>
      <c r="EP2288" s="103"/>
      <c r="EQ2288" s="103"/>
      <c r="ER2288" s="103"/>
      <c r="ES2288" s="103"/>
      <c r="ET2288" s="103"/>
      <c r="EU2288" s="103"/>
      <c r="EV2288" s="103"/>
      <c r="EW2288" s="103"/>
      <c r="EX2288" s="103"/>
      <c r="EY2288" s="103"/>
      <c r="EZ2288" s="103"/>
      <c r="FA2288" s="103"/>
      <c r="FB2288" s="103"/>
      <c r="FC2288" s="103"/>
      <c r="FD2288" s="103"/>
      <c r="FE2288" s="103"/>
      <c r="FF2288" s="103"/>
      <c r="FG2288" s="103"/>
      <c r="FH2288" s="103"/>
      <c r="FI2288" s="103"/>
      <c r="FJ2288" s="103"/>
      <c r="FK2288" s="103"/>
      <c r="FL2288" s="103"/>
      <c r="FM2288" s="103"/>
      <c r="FN2288" s="103"/>
      <c r="FO2288" s="103"/>
      <c r="FP2288" s="103"/>
      <c r="FQ2288" s="103"/>
      <c r="FR2288" s="103"/>
      <c r="FS2288" s="103"/>
      <c r="FT2288" s="103"/>
      <c r="FU2288" s="103"/>
      <c r="FV2288" s="103"/>
      <c r="FW2288" s="103"/>
      <c r="FX2288" s="103"/>
      <c r="FY2288" s="103"/>
      <c r="FZ2288" s="103"/>
      <c r="GA2288" s="103"/>
      <c r="GB2288" s="103"/>
      <c r="GC2288" s="103"/>
      <c r="GD2288" s="103"/>
      <c r="GE2288" s="103"/>
      <c r="GF2288" s="103"/>
      <c r="GG2288" s="103"/>
      <c r="GH2288" s="103"/>
      <c r="GI2288" s="103"/>
      <c r="GJ2288" s="103"/>
      <c r="GK2288" s="103"/>
      <c r="GL2288" s="103"/>
      <c r="GM2288" s="103"/>
      <c r="GN2288" s="103"/>
      <c r="GO2288" s="103"/>
      <c r="GP2288" s="103"/>
      <c r="GQ2288" s="103"/>
      <c r="GR2288" s="103"/>
      <c r="GS2288" s="103"/>
      <c r="GT2288" s="103"/>
      <c r="GU2288" s="103"/>
      <c r="GV2288" s="103"/>
      <c r="GW2288" s="103"/>
      <c r="GX2288" s="103"/>
      <c r="GY2288" s="103"/>
      <c r="GZ2288" s="103"/>
      <c r="HA2288" s="103"/>
      <c r="HB2288" s="103"/>
      <c r="HC2288" s="103"/>
      <c r="HD2288" s="103"/>
      <c r="HE2288" s="103"/>
      <c r="HF2288" s="103"/>
      <c r="HG2288" s="103"/>
      <c r="HH2288" s="103"/>
      <c r="HI2288" s="103"/>
      <c r="HJ2288" s="103"/>
      <c r="HK2288" s="103"/>
      <c r="HL2288" s="103"/>
      <c r="HM2288" s="103"/>
      <c r="HN2288" s="103"/>
      <c r="HO2288" s="103"/>
      <c r="HP2288" s="103"/>
      <c r="HQ2288" s="103"/>
      <c r="HR2288" s="103"/>
      <c r="HS2288" s="103"/>
      <c r="HT2288" s="103"/>
      <c r="HU2288" s="103"/>
      <c r="HV2288" s="103"/>
      <c r="HW2288" s="103"/>
      <c r="HX2288" s="103"/>
      <c r="HY2288" s="103"/>
      <c r="HZ2288" s="103"/>
      <c r="IA2288" s="103"/>
      <c r="IB2288" s="103"/>
      <c r="IC2288" s="103"/>
      <c r="ID2288" s="103"/>
      <c r="IE2288" s="103"/>
      <c r="IF2288" s="103"/>
      <c r="IG2288" s="103"/>
      <c r="IH2288" s="103"/>
      <c r="II2288" s="103"/>
      <c r="IJ2288" s="103"/>
      <c r="IK2288" s="103"/>
      <c r="IL2288" s="103"/>
      <c r="IM2288" s="103"/>
      <c r="IN2288" s="103"/>
      <c r="IO2288" s="103"/>
      <c r="IP2288" s="103"/>
      <c r="IQ2288" s="103"/>
      <c r="IR2288" s="103"/>
      <c r="IS2288" s="103"/>
      <c r="IT2288" s="103"/>
      <c r="IU2288" s="103"/>
      <c r="IV2288" s="103"/>
      <c r="IW2288" s="103"/>
    </row>
    <row r="2289" customFormat="false" ht="17.6" hidden="false" customHeight="false" outlineLevel="0" collapsed="false">
      <c r="A2289" s="91"/>
    </row>
    <row r="2290" customFormat="false" ht="17.6" hidden="false" customHeight="false" outlineLevel="0" collapsed="false">
      <c r="A2290" s="91"/>
    </row>
    <row r="2291" customFormat="false" ht="17.6" hidden="false" customHeight="false" outlineLevel="0" collapsed="false">
      <c r="A2291" s="91"/>
    </row>
    <row r="2292" customFormat="false" ht="17.6" hidden="false" customHeight="false" outlineLevel="0" collapsed="false">
      <c r="A2292" s="91"/>
    </row>
    <row r="2293" customFormat="false" ht="17.6" hidden="false" customHeight="false" outlineLevel="0" collapsed="false">
      <c r="A2293" s="91" t="s">
        <v>2506</v>
      </c>
      <c r="B2293" s="90" t="s">
        <v>57</v>
      </c>
      <c r="C2293" s="90" t="n">
        <f aca="false">1429*0.7</f>
        <v>1000.3</v>
      </c>
      <c r="D2293" s="90" t="s">
        <v>951</v>
      </c>
      <c r="E2293" s="91"/>
      <c r="F2293" s="91"/>
      <c r="G2293" s="91"/>
      <c r="H2293" s="91"/>
      <c r="I2293" s="91"/>
      <c r="J2293" s="91"/>
      <c r="K2293" s="91"/>
      <c r="L2293" s="91"/>
      <c r="M2293" s="91"/>
    </row>
    <row r="2294" customFormat="false" ht="17.6" hidden="false" customHeight="false" outlineLevel="0" collapsed="false">
      <c r="A2294" s="91" t="s">
        <v>2507</v>
      </c>
      <c r="B2294" s="90" t="s">
        <v>57</v>
      </c>
      <c r="C2294" s="90" t="n">
        <f aca="false">1000*0.7</f>
        <v>700</v>
      </c>
      <c r="D2294" s="90" t="s">
        <v>951</v>
      </c>
      <c r="E2294" s="91"/>
      <c r="F2294" s="91"/>
      <c r="G2294" s="91"/>
      <c r="H2294" s="91"/>
      <c r="I2294" s="91"/>
      <c r="J2294" s="91"/>
      <c r="K2294" s="91"/>
      <c r="L2294" s="91"/>
      <c r="M2294" s="91"/>
    </row>
    <row r="2295" customFormat="false" ht="17.6" hidden="false" customHeight="false" outlineLevel="0" collapsed="false">
      <c r="A2295" s="91"/>
    </row>
    <row r="2296" customFormat="false" ht="17.6" hidden="false" customHeight="false" outlineLevel="0" collapsed="false">
      <c r="A2296" s="91"/>
    </row>
    <row r="2297" customFormat="false" ht="17.6" hidden="false" customHeight="false" outlineLevel="0" collapsed="false">
      <c r="A2297" s="91"/>
    </row>
    <row r="2298" customFormat="false" ht="17.6" hidden="false" customHeight="false" outlineLevel="0" collapsed="false">
      <c r="A2298" s="91"/>
    </row>
    <row r="2299" customFormat="false" ht="17.6" hidden="false" customHeight="false" outlineLevel="0" collapsed="false">
      <c r="A2299" s="91"/>
    </row>
    <row r="2300" customFormat="false" ht="17.6" hidden="false" customHeight="false" outlineLevel="0" collapsed="false">
      <c r="A2300" s="91" t="s">
        <v>2508</v>
      </c>
      <c r="B2300" s="90" t="s">
        <v>49</v>
      </c>
      <c r="C2300" s="90" t="n">
        <f aca="false">(80998+1373+434)*0.44</f>
        <v>36434.2</v>
      </c>
      <c r="D2300" s="90" t="s">
        <v>159</v>
      </c>
    </row>
    <row r="2301" customFormat="false" ht="17.6" hidden="false" customHeight="false" outlineLevel="0" collapsed="false">
      <c r="A2301" s="91" t="s">
        <v>2509</v>
      </c>
      <c r="B2301" s="90" t="s">
        <v>49</v>
      </c>
      <c r="C2301" s="90" t="n">
        <f aca="false">(80998+1373+434)*0.44</f>
        <v>36434.2</v>
      </c>
      <c r="D2301" s="90" t="s">
        <v>159</v>
      </c>
      <c r="P2301" s="90"/>
      <c r="Q2301" s="90"/>
      <c r="R2301" s="90"/>
      <c r="S2301" s="90"/>
      <c r="T2301" s="90"/>
      <c r="U2301" s="90"/>
      <c r="V2301" s="90"/>
      <c r="W2301" s="90"/>
      <c r="X2301" s="90"/>
      <c r="Y2301" s="90"/>
      <c r="Z2301" s="90"/>
      <c r="AA2301" s="90"/>
      <c r="AB2301" s="90"/>
      <c r="AC2301" s="90"/>
      <c r="AD2301" s="90"/>
      <c r="AE2301" s="90"/>
      <c r="AF2301" s="90"/>
      <c r="AG2301" s="90"/>
      <c r="AH2301" s="90"/>
      <c r="AI2301" s="90"/>
      <c r="AJ2301" s="90"/>
      <c r="AK2301" s="90"/>
      <c r="AL2301" s="90"/>
      <c r="AM2301" s="90"/>
      <c r="AN2301" s="90"/>
      <c r="AO2301" s="90"/>
      <c r="AP2301" s="90"/>
      <c r="AQ2301" s="90"/>
      <c r="AR2301" s="90"/>
      <c r="AS2301" s="90"/>
      <c r="AT2301" s="90"/>
      <c r="AU2301" s="90"/>
      <c r="AV2301" s="90"/>
      <c r="AW2301" s="90"/>
      <c r="AX2301" s="90"/>
      <c r="AY2301" s="90"/>
      <c r="AZ2301" s="90"/>
      <c r="BA2301" s="90"/>
      <c r="BB2301" s="90"/>
      <c r="BC2301" s="90"/>
      <c r="BD2301" s="90"/>
      <c r="BE2301" s="90"/>
      <c r="BF2301" s="90"/>
      <c r="BG2301" s="90"/>
      <c r="BH2301" s="90"/>
      <c r="BI2301" s="90"/>
      <c r="BJ2301" s="90"/>
      <c r="BK2301" s="90"/>
      <c r="BL2301" s="90"/>
      <c r="BM2301" s="90"/>
      <c r="BN2301" s="90"/>
      <c r="BO2301" s="90"/>
      <c r="BP2301" s="90"/>
      <c r="BQ2301" s="90"/>
      <c r="BR2301" s="90"/>
      <c r="BS2301" s="90"/>
      <c r="BT2301" s="90"/>
      <c r="BU2301" s="90"/>
      <c r="BV2301" s="90"/>
      <c r="BW2301" s="90"/>
      <c r="BX2301" s="90"/>
      <c r="BY2301" s="90"/>
      <c r="BZ2301" s="90"/>
      <c r="CA2301" s="90"/>
      <c r="CB2301" s="90"/>
      <c r="CC2301" s="90"/>
      <c r="CD2301" s="90"/>
      <c r="CE2301" s="90"/>
      <c r="CF2301" s="90"/>
      <c r="CG2301" s="90"/>
      <c r="CH2301" s="90"/>
      <c r="CI2301" s="90"/>
      <c r="CJ2301" s="90"/>
      <c r="CK2301" s="90"/>
      <c r="CL2301" s="90"/>
      <c r="CM2301" s="90"/>
      <c r="CN2301" s="90"/>
      <c r="CO2301" s="90"/>
      <c r="CP2301" s="90"/>
      <c r="CQ2301" s="90"/>
      <c r="CR2301" s="90"/>
      <c r="CS2301" s="90"/>
      <c r="CT2301" s="90"/>
      <c r="CU2301" s="90"/>
      <c r="CV2301" s="90"/>
      <c r="CW2301" s="90"/>
      <c r="CX2301" s="90"/>
      <c r="CY2301" s="90"/>
      <c r="CZ2301" s="90"/>
      <c r="DA2301" s="90"/>
      <c r="DB2301" s="90"/>
      <c r="DC2301" s="90"/>
      <c r="DD2301" s="90"/>
      <c r="DE2301" s="90"/>
      <c r="DF2301" s="90"/>
      <c r="DG2301" s="90"/>
      <c r="DH2301" s="90"/>
      <c r="DI2301" s="90"/>
      <c r="DJ2301" s="90"/>
      <c r="DK2301" s="90"/>
      <c r="DL2301" s="90"/>
      <c r="DM2301" s="90"/>
      <c r="DN2301" s="90"/>
      <c r="DO2301" s="90"/>
      <c r="DP2301" s="90"/>
      <c r="DQ2301" s="90"/>
      <c r="DR2301" s="90"/>
      <c r="DS2301" s="90"/>
      <c r="DT2301" s="90"/>
      <c r="DU2301" s="90"/>
      <c r="DV2301" s="90"/>
      <c r="DW2301" s="90"/>
      <c r="DX2301" s="90"/>
      <c r="DY2301" s="90"/>
      <c r="DZ2301" s="90"/>
      <c r="EA2301" s="90"/>
      <c r="EB2301" s="90"/>
      <c r="EC2301" s="90"/>
      <c r="ED2301" s="90"/>
      <c r="EE2301" s="90"/>
      <c r="EF2301" s="90"/>
      <c r="EG2301" s="90"/>
      <c r="EH2301" s="90"/>
      <c r="EI2301" s="90"/>
      <c r="EJ2301" s="90"/>
      <c r="EK2301" s="90"/>
      <c r="EL2301" s="90"/>
      <c r="EM2301" s="90"/>
      <c r="EN2301" s="90"/>
      <c r="EO2301" s="90"/>
      <c r="EP2301" s="90"/>
      <c r="EQ2301" s="90"/>
      <c r="ER2301" s="90"/>
      <c r="ES2301" s="90"/>
      <c r="ET2301" s="90"/>
      <c r="EU2301" s="90"/>
      <c r="EV2301" s="90"/>
      <c r="EW2301" s="90"/>
      <c r="EX2301" s="90"/>
      <c r="EY2301" s="90"/>
      <c r="EZ2301" s="90"/>
      <c r="FA2301" s="90"/>
      <c r="FB2301" s="90"/>
      <c r="FC2301" s="90"/>
      <c r="FD2301" s="90"/>
      <c r="FE2301" s="90"/>
      <c r="FF2301" s="90"/>
      <c r="FG2301" s="90"/>
      <c r="FH2301" s="90"/>
      <c r="FI2301" s="90"/>
      <c r="FJ2301" s="90"/>
      <c r="FK2301" s="90"/>
      <c r="FL2301" s="90"/>
      <c r="FM2301" s="90"/>
      <c r="FN2301" s="90"/>
      <c r="FO2301" s="90"/>
      <c r="FP2301" s="90"/>
      <c r="FQ2301" s="90"/>
      <c r="FR2301" s="90"/>
      <c r="FS2301" s="90"/>
      <c r="FT2301" s="90"/>
      <c r="FU2301" s="90"/>
      <c r="FV2301" s="90"/>
      <c r="FW2301" s="90"/>
      <c r="FX2301" s="90"/>
      <c r="FY2301" s="90"/>
      <c r="FZ2301" s="90"/>
      <c r="GA2301" s="90"/>
      <c r="GB2301" s="90"/>
      <c r="GC2301" s="90"/>
      <c r="GD2301" s="90"/>
      <c r="GE2301" s="90"/>
      <c r="GF2301" s="90"/>
      <c r="GG2301" s="90"/>
      <c r="GH2301" s="90"/>
      <c r="GI2301" s="90"/>
      <c r="GJ2301" s="90"/>
      <c r="GK2301" s="90"/>
      <c r="GL2301" s="90"/>
      <c r="GM2301" s="90"/>
      <c r="GN2301" s="90"/>
      <c r="GO2301" s="90"/>
      <c r="GP2301" s="90"/>
      <c r="GQ2301" s="90"/>
      <c r="GR2301" s="90"/>
      <c r="GS2301" s="90"/>
      <c r="GT2301" s="90"/>
      <c r="GU2301" s="90"/>
      <c r="GV2301" s="90"/>
      <c r="GW2301" s="90"/>
      <c r="GX2301" s="90"/>
      <c r="GY2301" s="90"/>
      <c r="GZ2301" s="90"/>
      <c r="HA2301" s="90"/>
      <c r="HB2301" s="90"/>
      <c r="HC2301" s="90"/>
      <c r="HD2301" s="90"/>
      <c r="HE2301" s="90"/>
      <c r="HF2301" s="90"/>
      <c r="HG2301" s="90"/>
      <c r="HH2301" s="90"/>
      <c r="HI2301" s="90"/>
      <c r="HJ2301" s="90"/>
      <c r="HK2301" s="90"/>
      <c r="HL2301" s="90"/>
      <c r="HM2301" s="90"/>
      <c r="HN2301" s="90"/>
      <c r="HO2301" s="90"/>
      <c r="HP2301" s="90"/>
      <c r="HQ2301" s="90"/>
      <c r="HR2301" s="90"/>
      <c r="HS2301" s="90"/>
      <c r="HT2301" s="90"/>
      <c r="HU2301" s="90"/>
      <c r="HV2301" s="90"/>
      <c r="HW2301" s="90"/>
      <c r="HX2301" s="90"/>
      <c r="HY2301" s="90"/>
      <c r="HZ2301" s="90"/>
      <c r="IA2301" s="90"/>
      <c r="IB2301" s="90"/>
      <c r="IC2301" s="90"/>
      <c r="ID2301" s="90"/>
      <c r="IE2301" s="90"/>
      <c r="IF2301" s="90"/>
      <c r="IG2301" s="90"/>
      <c r="IH2301" s="90"/>
      <c r="II2301" s="90"/>
      <c r="IJ2301" s="90"/>
      <c r="IK2301" s="90"/>
      <c r="IL2301" s="90"/>
      <c r="IM2301" s="90"/>
      <c r="IN2301" s="90"/>
      <c r="IO2301" s="90"/>
      <c r="IP2301" s="90"/>
      <c r="IQ2301" s="90"/>
      <c r="IR2301" s="90"/>
      <c r="IS2301" s="90"/>
      <c r="IT2301" s="90"/>
      <c r="IU2301" s="90"/>
      <c r="IV2301" s="90"/>
      <c r="IW2301" s="90"/>
    </row>
    <row r="2302" customFormat="false" ht="17.6" hidden="false" customHeight="false" outlineLevel="0" collapsed="false">
      <c r="A2302" s="91" t="s">
        <v>2510</v>
      </c>
      <c r="B2302" s="90" t="s">
        <v>49</v>
      </c>
      <c r="C2302" s="90" t="n">
        <f aca="false">(75553+1373+434)*0.44</f>
        <v>34038.4</v>
      </c>
      <c r="D2302" s="90" t="s">
        <v>159</v>
      </c>
    </row>
    <row r="2303" customFormat="false" ht="17.6" hidden="false" customHeight="false" outlineLevel="0" collapsed="false">
      <c r="A2303" s="91"/>
    </row>
    <row r="2304" customFormat="false" ht="17.6" hidden="false" customHeight="false" outlineLevel="0" collapsed="false">
      <c r="A2304" s="91"/>
      <c r="E2304" s="91"/>
      <c r="F2304" s="91"/>
      <c r="G2304" s="91"/>
      <c r="H2304" s="91"/>
      <c r="I2304" s="91"/>
      <c r="J2304" s="91"/>
      <c r="K2304" s="91"/>
      <c r="L2304" s="91"/>
      <c r="M2304" s="91"/>
    </row>
    <row r="2305" customFormat="false" ht="17.6" hidden="false" customHeight="false" outlineLevel="0" collapsed="false">
      <c r="A2305" s="91"/>
    </row>
    <row r="2306" customFormat="false" ht="17.6" hidden="false" customHeight="false" outlineLevel="0" collapsed="false">
      <c r="A2306" s="91"/>
    </row>
    <row r="2307" customFormat="false" ht="17.6" hidden="false" customHeight="false" outlineLevel="0" collapsed="false">
      <c r="A2307" s="91"/>
    </row>
    <row r="2308" customFormat="false" ht="17.6" hidden="false" customHeight="false" outlineLevel="0" collapsed="false">
      <c r="A2308" s="91"/>
    </row>
    <row r="2309" customFormat="false" ht="17.6" hidden="false" customHeight="false" outlineLevel="0" collapsed="false">
      <c r="A2309" s="91"/>
    </row>
    <row r="2310" customFormat="false" ht="17.6" hidden="false" customHeight="false" outlineLevel="0" collapsed="false">
      <c r="A2310" s="91"/>
    </row>
    <row r="2311" customFormat="false" ht="17.6" hidden="false" customHeight="false" outlineLevel="0" collapsed="false">
      <c r="A2311" s="91"/>
    </row>
    <row r="2312" customFormat="false" ht="17.6" hidden="false" customHeight="false" outlineLevel="0" collapsed="false">
      <c r="A2312" s="91"/>
    </row>
    <row r="2313" customFormat="false" ht="17.6" hidden="false" customHeight="false" outlineLevel="0" collapsed="false">
      <c r="A2313" s="91"/>
    </row>
    <row r="2314" customFormat="false" ht="17.6" hidden="false" customHeight="false" outlineLevel="0" collapsed="false">
      <c r="A2314" s="91"/>
    </row>
    <row r="2315" customFormat="false" ht="17.6" hidden="false" customHeight="false" outlineLevel="0" collapsed="false">
      <c r="A2315" s="91"/>
    </row>
    <row r="2316" customFormat="false" ht="17.6" hidden="false" customHeight="false" outlineLevel="0" collapsed="false">
      <c r="A2316" s="91"/>
    </row>
    <row r="2317" customFormat="false" ht="17.6" hidden="false" customHeight="false" outlineLevel="0" collapsed="false">
      <c r="A2317" s="91" t="s">
        <v>2511</v>
      </c>
      <c r="B2317" s="90" t="s">
        <v>49</v>
      </c>
      <c r="C2317" s="90" t="n">
        <f aca="false">E2317*G2317</f>
        <v>37668.16</v>
      </c>
      <c r="D2317" s="103" t="s">
        <v>2512</v>
      </c>
      <c r="E2317" s="103" t="n">
        <f aca="false">69368+1195+509</f>
        <v>71072</v>
      </c>
      <c r="F2317" s="103"/>
      <c r="G2317" s="103" t="n">
        <v>0.53</v>
      </c>
    </row>
    <row r="2318" customFormat="false" ht="17.6" hidden="false" customHeight="false" outlineLevel="0" collapsed="false">
      <c r="A2318" s="91" t="s">
        <v>2513</v>
      </c>
      <c r="B2318" s="90" t="s">
        <v>49</v>
      </c>
      <c r="C2318" s="90" t="n">
        <f aca="false">E2318*G2318</f>
        <v>23743.47</v>
      </c>
      <c r="D2318" s="103" t="s">
        <v>2512</v>
      </c>
      <c r="E2318" s="103" t="n">
        <f aca="false">44799</f>
        <v>44799</v>
      </c>
      <c r="F2318" s="103"/>
      <c r="G2318" s="103" t="n">
        <v>0.53</v>
      </c>
      <c r="P2318" s="90"/>
      <c r="Q2318" s="90"/>
      <c r="R2318" s="90"/>
      <c r="S2318" s="90"/>
      <c r="T2318" s="90"/>
      <c r="U2318" s="90"/>
      <c r="V2318" s="90"/>
      <c r="W2318" s="90"/>
      <c r="X2318" s="90"/>
      <c r="Y2318" s="90"/>
      <c r="Z2318" s="90"/>
      <c r="AA2318" s="90"/>
      <c r="AB2318" s="90"/>
      <c r="AC2318" s="90"/>
      <c r="AD2318" s="90"/>
      <c r="AE2318" s="90"/>
      <c r="AF2318" s="90"/>
      <c r="AG2318" s="90"/>
      <c r="AH2318" s="90"/>
      <c r="AI2318" s="90"/>
      <c r="AJ2318" s="90"/>
      <c r="AK2318" s="90"/>
      <c r="AL2318" s="90"/>
      <c r="AM2318" s="90"/>
      <c r="AN2318" s="90"/>
      <c r="AO2318" s="90"/>
      <c r="AP2318" s="90"/>
      <c r="AQ2318" s="90"/>
      <c r="AR2318" s="90"/>
      <c r="AS2318" s="90"/>
      <c r="AT2318" s="90"/>
      <c r="AU2318" s="90"/>
      <c r="AV2318" s="90"/>
      <c r="AW2318" s="90"/>
      <c r="AX2318" s="90"/>
      <c r="AY2318" s="90"/>
      <c r="AZ2318" s="90"/>
      <c r="BA2318" s="90"/>
      <c r="BB2318" s="90"/>
      <c r="BC2318" s="90"/>
      <c r="BD2318" s="90"/>
      <c r="BE2318" s="90"/>
      <c r="BF2318" s="90"/>
      <c r="BG2318" s="90"/>
      <c r="BH2318" s="90"/>
      <c r="BI2318" s="90"/>
      <c r="BJ2318" s="90"/>
      <c r="BK2318" s="90"/>
      <c r="BL2318" s="90"/>
      <c r="BM2318" s="90"/>
      <c r="BN2318" s="90"/>
      <c r="BO2318" s="90"/>
      <c r="BP2318" s="90"/>
      <c r="BQ2318" s="90"/>
      <c r="BR2318" s="90"/>
      <c r="BS2318" s="90"/>
      <c r="BT2318" s="90"/>
      <c r="BU2318" s="90"/>
      <c r="BV2318" s="90"/>
      <c r="BW2318" s="90"/>
      <c r="BX2318" s="90"/>
      <c r="BY2318" s="90"/>
      <c r="BZ2318" s="90"/>
      <c r="CA2318" s="90"/>
      <c r="CB2318" s="90"/>
      <c r="CC2318" s="90"/>
      <c r="CD2318" s="90"/>
      <c r="CE2318" s="90"/>
      <c r="CF2318" s="90"/>
      <c r="CG2318" s="90"/>
      <c r="CH2318" s="90"/>
      <c r="CI2318" s="90"/>
      <c r="CJ2318" s="90"/>
      <c r="CK2318" s="90"/>
      <c r="CL2318" s="90"/>
      <c r="CM2318" s="90"/>
      <c r="CN2318" s="90"/>
      <c r="CO2318" s="90"/>
      <c r="CP2318" s="90"/>
      <c r="CQ2318" s="90"/>
      <c r="CR2318" s="90"/>
      <c r="CS2318" s="90"/>
      <c r="CT2318" s="90"/>
      <c r="CU2318" s="90"/>
      <c r="CV2318" s="90"/>
      <c r="CW2318" s="90"/>
      <c r="CX2318" s="90"/>
      <c r="CY2318" s="90"/>
      <c r="CZ2318" s="90"/>
      <c r="DA2318" s="90"/>
      <c r="DB2318" s="90"/>
      <c r="DC2318" s="90"/>
      <c r="DD2318" s="90"/>
      <c r="DE2318" s="90"/>
      <c r="DF2318" s="90"/>
      <c r="DG2318" s="90"/>
      <c r="DH2318" s="90"/>
      <c r="DI2318" s="90"/>
      <c r="DJ2318" s="90"/>
      <c r="DK2318" s="90"/>
      <c r="DL2318" s="90"/>
      <c r="DM2318" s="90"/>
      <c r="DN2318" s="90"/>
      <c r="DO2318" s="90"/>
      <c r="DP2318" s="90"/>
      <c r="DQ2318" s="90"/>
      <c r="DR2318" s="90"/>
      <c r="DS2318" s="90"/>
      <c r="DT2318" s="90"/>
      <c r="DU2318" s="90"/>
      <c r="DV2318" s="90"/>
      <c r="DW2318" s="90"/>
      <c r="DX2318" s="90"/>
      <c r="DY2318" s="90"/>
      <c r="DZ2318" s="90"/>
      <c r="EA2318" s="90"/>
      <c r="EB2318" s="90"/>
      <c r="EC2318" s="90"/>
      <c r="ED2318" s="90"/>
      <c r="EE2318" s="90"/>
      <c r="EF2318" s="90"/>
      <c r="EG2318" s="90"/>
      <c r="EH2318" s="90"/>
      <c r="EI2318" s="90"/>
      <c r="EJ2318" s="90"/>
      <c r="EK2318" s="90"/>
      <c r="EL2318" s="90"/>
      <c r="EM2318" s="90"/>
      <c r="EN2318" s="90"/>
      <c r="EO2318" s="90"/>
      <c r="EP2318" s="90"/>
      <c r="EQ2318" s="90"/>
      <c r="ER2318" s="90"/>
      <c r="ES2318" s="90"/>
      <c r="ET2318" s="90"/>
      <c r="EU2318" s="90"/>
      <c r="EV2318" s="90"/>
      <c r="EW2318" s="90"/>
      <c r="EX2318" s="90"/>
      <c r="EY2318" s="90"/>
      <c r="EZ2318" s="90"/>
      <c r="FA2318" s="90"/>
      <c r="FB2318" s="90"/>
      <c r="FC2318" s="90"/>
      <c r="FD2318" s="90"/>
      <c r="FE2318" s="90"/>
      <c r="FF2318" s="90"/>
      <c r="FG2318" s="90"/>
      <c r="FH2318" s="90"/>
      <c r="FI2318" s="90"/>
      <c r="FJ2318" s="90"/>
      <c r="FK2318" s="90"/>
      <c r="FL2318" s="90"/>
      <c r="FM2318" s="90"/>
      <c r="FN2318" s="90"/>
      <c r="FO2318" s="90"/>
      <c r="FP2318" s="90"/>
      <c r="FQ2318" s="90"/>
      <c r="FR2318" s="90"/>
      <c r="FS2318" s="90"/>
      <c r="FT2318" s="90"/>
      <c r="FU2318" s="90"/>
      <c r="FV2318" s="90"/>
      <c r="FW2318" s="90"/>
      <c r="FX2318" s="90"/>
      <c r="FY2318" s="90"/>
      <c r="FZ2318" s="90"/>
      <c r="GA2318" s="90"/>
      <c r="GB2318" s="90"/>
      <c r="GC2318" s="90"/>
      <c r="GD2318" s="90"/>
      <c r="GE2318" s="90"/>
      <c r="GF2318" s="90"/>
      <c r="GG2318" s="90"/>
      <c r="GH2318" s="90"/>
      <c r="GI2318" s="90"/>
      <c r="GJ2318" s="90"/>
      <c r="GK2318" s="90"/>
      <c r="GL2318" s="90"/>
      <c r="GM2318" s="90"/>
      <c r="GN2318" s="90"/>
      <c r="GO2318" s="90"/>
      <c r="GP2318" s="90"/>
      <c r="GQ2318" s="90"/>
      <c r="GR2318" s="90"/>
      <c r="GS2318" s="90"/>
      <c r="GT2318" s="90"/>
      <c r="GU2318" s="90"/>
      <c r="GV2318" s="90"/>
      <c r="GW2318" s="90"/>
      <c r="GX2318" s="90"/>
      <c r="GY2318" s="90"/>
      <c r="GZ2318" s="90"/>
      <c r="HA2318" s="90"/>
      <c r="HB2318" s="90"/>
      <c r="HC2318" s="90"/>
      <c r="HD2318" s="90"/>
      <c r="HE2318" s="90"/>
      <c r="HF2318" s="90"/>
      <c r="HG2318" s="90"/>
      <c r="HH2318" s="90"/>
      <c r="HI2318" s="90"/>
      <c r="HJ2318" s="90"/>
      <c r="HK2318" s="90"/>
      <c r="HL2318" s="90"/>
      <c r="HM2318" s="90"/>
      <c r="HN2318" s="90"/>
      <c r="HO2318" s="90"/>
      <c r="HP2318" s="90"/>
      <c r="HQ2318" s="90"/>
      <c r="HR2318" s="90"/>
      <c r="HS2318" s="90"/>
      <c r="HT2318" s="90"/>
      <c r="HU2318" s="90"/>
      <c r="HV2318" s="90"/>
      <c r="HW2318" s="90"/>
      <c r="HX2318" s="90"/>
      <c r="HY2318" s="90"/>
      <c r="HZ2318" s="90"/>
      <c r="IA2318" s="90"/>
      <c r="IB2318" s="90"/>
      <c r="IC2318" s="90"/>
      <c r="ID2318" s="90"/>
      <c r="IE2318" s="90"/>
      <c r="IF2318" s="90"/>
      <c r="IG2318" s="90"/>
      <c r="IH2318" s="90"/>
      <c r="II2318" s="90"/>
      <c r="IJ2318" s="90"/>
      <c r="IK2318" s="90"/>
      <c r="IL2318" s="90"/>
      <c r="IM2318" s="90"/>
      <c r="IN2318" s="90"/>
      <c r="IO2318" s="90"/>
      <c r="IP2318" s="90"/>
      <c r="IQ2318" s="90"/>
      <c r="IR2318" s="90"/>
      <c r="IS2318" s="90"/>
      <c r="IT2318" s="90"/>
      <c r="IU2318" s="90"/>
      <c r="IV2318" s="90"/>
      <c r="IW2318" s="90"/>
    </row>
    <row r="2319" customFormat="false" ht="17.6" hidden="false" customHeight="false" outlineLevel="0" collapsed="false">
      <c r="A2319" s="91" t="s">
        <v>2514</v>
      </c>
      <c r="B2319" s="90" t="s">
        <v>49</v>
      </c>
      <c r="C2319" s="90" t="n">
        <f aca="false">E2319*G2319</f>
        <v>23743.47</v>
      </c>
      <c r="D2319" s="103" t="s">
        <v>2512</v>
      </c>
      <c r="E2319" s="103" t="n">
        <f aca="false">44799</f>
        <v>44799</v>
      </c>
      <c r="F2319" s="103"/>
      <c r="G2319" s="103" t="n">
        <v>0.53</v>
      </c>
    </row>
    <row r="2320" customFormat="false" ht="17.6" hidden="false" customHeight="false" outlineLevel="0" collapsed="false">
      <c r="A2320" s="91" t="s">
        <v>2515</v>
      </c>
      <c r="B2320" s="90" t="s">
        <v>49</v>
      </c>
      <c r="C2320" s="90" t="n">
        <f aca="false">E2320*G2320</f>
        <v>23743.47</v>
      </c>
      <c r="D2320" s="103" t="s">
        <v>2512</v>
      </c>
      <c r="E2320" s="103" t="n">
        <f aca="false">44799</f>
        <v>44799</v>
      </c>
      <c r="F2320" s="103"/>
      <c r="G2320" s="103" t="n">
        <v>0.53</v>
      </c>
    </row>
    <row r="2321" customFormat="false" ht="17.6" hidden="false" customHeight="false" outlineLevel="0" collapsed="false">
      <c r="A2321" s="91"/>
    </row>
    <row r="2322" customFormat="false" ht="17.6" hidden="false" customHeight="false" outlineLevel="0" collapsed="false">
      <c r="A2322" s="91"/>
    </row>
    <row r="2323" customFormat="false" ht="17.6" hidden="false" customHeight="false" outlineLevel="0" collapsed="false">
      <c r="A2323" s="91"/>
    </row>
    <row r="2324" customFormat="false" ht="17.6" hidden="false" customHeight="false" outlineLevel="0" collapsed="false">
      <c r="A2324" s="91" t="s">
        <v>2516</v>
      </c>
      <c r="B2324" s="90" t="s">
        <v>80</v>
      </c>
      <c r="C2324" s="90" t="n">
        <f aca="false">25*90</f>
        <v>2250</v>
      </c>
      <c r="D2324" s="90" t="s">
        <v>177</v>
      </c>
      <c r="E2324" s="90" t="n">
        <v>4014</v>
      </c>
      <c r="G2324" s="90" t="n">
        <v>0.7</v>
      </c>
    </row>
    <row r="2325" customFormat="false" ht="17.6" hidden="false" customHeight="false" outlineLevel="0" collapsed="false">
      <c r="A2325" s="91" t="s">
        <v>2517</v>
      </c>
      <c r="B2325" s="90" t="s">
        <v>80</v>
      </c>
      <c r="C2325" s="90" t="n">
        <f aca="false">ROUND(E2325*G2325,)</f>
        <v>4373</v>
      </c>
      <c r="D2325" s="90" t="s">
        <v>177</v>
      </c>
      <c r="E2325" s="90" t="n">
        <v>7289</v>
      </c>
      <c r="G2325" s="90" t="n">
        <v>0.6</v>
      </c>
    </row>
    <row r="2326" customFormat="false" ht="17.6" hidden="false" customHeight="false" outlineLevel="0" collapsed="false">
      <c r="A2326" s="91" t="s">
        <v>2518</v>
      </c>
      <c r="B2326" s="90" t="s">
        <v>80</v>
      </c>
      <c r="C2326" s="90" t="n">
        <f aca="false">ROUND(E2326*G2326,)</f>
        <v>4048</v>
      </c>
      <c r="D2326" s="90" t="s">
        <v>177</v>
      </c>
      <c r="E2326" s="90" t="n">
        <v>5783</v>
      </c>
      <c r="G2326" s="90" t="n">
        <v>0.7</v>
      </c>
    </row>
    <row r="2327" customFormat="false" ht="17.6" hidden="false" customHeight="false" outlineLevel="0" collapsed="false">
      <c r="A2327" s="91" t="s">
        <v>2519</v>
      </c>
      <c r="C2327" s="90" t="n">
        <v>15</v>
      </c>
      <c r="D2327" s="90" t="s">
        <v>1330</v>
      </c>
    </row>
    <row r="2328" customFormat="false" ht="17.6" hidden="false" customHeight="false" outlineLevel="0" collapsed="false">
      <c r="A2328" s="91" t="s">
        <v>2520</v>
      </c>
      <c r="B2328" s="90" t="s">
        <v>904</v>
      </c>
      <c r="C2328" s="90" t="n">
        <f aca="false">2732*0.75</f>
        <v>2049</v>
      </c>
      <c r="D2328" s="90" t="s">
        <v>177</v>
      </c>
    </row>
    <row r="2329" customFormat="false" ht="17.6" hidden="false" customHeight="false" outlineLevel="0" collapsed="false">
      <c r="A2329" s="91" t="s">
        <v>2521</v>
      </c>
      <c r="C2329" s="90" t="n">
        <f aca="false">2973/0.85*0.75</f>
        <v>2623.23529411765</v>
      </c>
      <c r="D2329" s="90" t="s">
        <v>177</v>
      </c>
    </row>
    <row r="2330" customFormat="false" ht="17.6" hidden="false" customHeight="false" outlineLevel="0" collapsed="false">
      <c r="A2330" s="91" t="s">
        <v>2522</v>
      </c>
      <c r="B2330" s="90" t="s">
        <v>49</v>
      </c>
      <c r="C2330" s="90" t="n">
        <f aca="false">26698*0.85+162+108+642+1080/3+108</f>
        <v>24073.3</v>
      </c>
      <c r="D2330" s="90" t="s">
        <v>2452</v>
      </c>
    </row>
    <row r="2331" customFormat="false" ht="17.6" hidden="false" customHeight="false" outlineLevel="0" collapsed="false">
      <c r="A2331" s="91"/>
    </row>
    <row r="2332" customFormat="false" ht="17.6" hidden="false" customHeight="false" outlineLevel="0" collapsed="false">
      <c r="A2332" s="91" t="s">
        <v>2523</v>
      </c>
      <c r="B2332" s="90" t="s">
        <v>40</v>
      </c>
      <c r="C2332" s="90" t="n">
        <f aca="false">705*0.75</f>
        <v>528.75</v>
      </c>
      <c r="D2332" s="90" t="s">
        <v>2452</v>
      </c>
    </row>
    <row r="2333" customFormat="false" ht="17.6" hidden="false" customHeight="false" outlineLevel="0" collapsed="false">
      <c r="A2333" s="91" t="s">
        <v>2524</v>
      </c>
      <c r="B2333" s="90" t="s">
        <v>40</v>
      </c>
      <c r="C2333" s="90" t="n">
        <f aca="false">1024*0.75</f>
        <v>768</v>
      </c>
      <c r="D2333" s="90" t="s">
        <v>2452</v>
      </c>
    </row>
    <row r="2334" customFormat="false" ht="17.6" hidden="false" customHeight="false" outlineLevel="0" collapsed="false">
      <c r="A2334" s="91" t="s">
        <v>2525</v>
      </c>
      <c r="B2334" s="90" t="s">
        <v>40</v>
      </c>
      <c r="C2334" s="90" t="n">
        <f aca="false">1024*0.75</f>
        <v>768</v>
      </c>
      <c r="D2334" s="90" t="s">
        <v>2452</v>
      </c>
    </row>
    <row r="2335" customFormat="false" ht="17.6" hidden="false" customHeight="false" outlineLevel="0" collapsed="false">
      <c r="A2335" s="91" t="s">
        <v>2526</v>
      </c>
      <c r="B2335" s="90" t="s">
        <v>40</v>
      </c>
      <c r="C2335" s="90" t="n">
        <f aca="false">1460*0.75</f>
        <v>1095</v>
      </c>
      <c r="D2335" s="90" t="s">
        <v>2452</v>
      </c>
    </row>
    <row r="2336" customFormat="false" ht="17.6" hidden="false" customHeight="false" outlineLevel="0" collapsed="false">
      <c r="A2336" s="91"/>
    </row>
    <row r="2337" customFormat="false" ht="17.6" hidden="false" customHeight="false" outlineLevel="0" collapsed="false">
      <c r="A2337" s="91" t="s">
        <v>2527</v>
      </c>
      <c r="B2337" s="90" t="s">
        <v>873</v>
      </c>
      <c r="C2337" s="90" t="n">
        <f aca="false">9900*0.8</f>
        <v>7920</v>
      </c>
      <c r="D2337" s="90" t="s">
        <v>2528</v>
      </c>
    </row>
    <row r="2338" customFormat="false" ht="17.6" hidden="false" customHeight="false" outlineLevel="0" collapsed="false">
      <c r="A2338" s="91" t="s">
        <v>2529</v>
      </c>
      <c r="B2338" s="90" t="s">
        <v>237</v>
      </c>
      <c r="C2338" s="90" t="n">
        <v>108</v>
      </c>
      <c r="D2338" s="90" t="s">
        <v>2528</v>
      </c>
    </row>
    <row r="2339" customFormat="false" ht="17.6" hidden="false" customHeight="false" outlineLevel="0" collapsed="false">
      <c r="A2339" s="91"/>
    </row>
    <row r="2340" customFormat="false" ht="17.6" hidden="false" customHeight="false" outlineLevel="0" collapsed="false">
      <c r="A2340" s="91" t="s">
        <v>2530</v>
      </c>
      <c r="B2340" s="90" t="s">
        <v>997</v>
      </c>
      <c r="C2340" s="90" t="n">
        <f aca="false">3455*0.6</f>
        <v>2073</v>
      </c>
      <c r="D2340" s="92" t="s">
        <v>2531</v>
      </c>
    </row>
    <row r="2341" customFormat="false" ht="17.6" hidden="false" customHeight="false" outlineLevel="0" collapsed="false">
      <c r="A2341" s="91" t="s">
        <v>2532</v>
      </c>
      <c r="C2341" s="90" t="n">
        <f aca="false">10573*0.6+195*3*0.75</f>
        <v>6782.55</v>
      </c>
      <c r="D2341" s="92" t="s">
        <v>2531</v>
      </c>
    </row>
    <row r="2342" customFormat="false" ht="17.6" hidden="false" customHeight="false" outlineLevel="0" collapsed="false">
      <c r="A2342" s="91" t="s">
        <v>2533</v>
      </c>
      <c r="B2342" s="90" t="s">
        <v>49</v>
      </c>
      <c r="C2342" s="90" t="n">
        <f aca="false">(66581+671)*0.38</f>
        <v>25555.76</v>
      </c>
      <c r="D2342" s="90" t="s">
        <v>1061</v>
      </c>
    </row>
    <row r="2343" customFormat="false" ht="17.6" hidden="false" customHeight="false" outlineLevel="0" collapsed="false">
      <c r="A2343" s="91"/>
    </row>
    <row r="2344" customFormat="false" ht="17.6" hidden="false" customHeight="false" outlineLevel="0" collapsed="false">
      <c r="A2344" s="91"/>
    </row>
    <row r="2345" customFormat="false" ht="17.6" hidden="false" customHeight="false" outlineLevel="0" collapsed="false">
      <c r="A2345" s="91" t="s">
        <v>2534</v>
      </c>
      <c r="B2345" s="90" t="s">
        <v>49</v>
      </c>
      <c r="C2345" s="90" t="n">
        <f aca="false">(45477)*0.38</f>
        <v>17281.26</v>
      </c>
      <c r="D2345" s="103" t="s">
        <v>1061</v>
      </c>
      <c r="E2345" s="103"/>
      <c r="F2345" s="103"/>
    </row>
    <row r="2346" customFormat="false" ht="17.6" hidden="false" customHeight="false" outlineLevel="0" collapsed="false">
      <c r="A2346" s="91" t="s">
        <v>2535</v>
      </c>
      <c r="B2346" s="90" t="s">
        <v>40</v>
      </c>
      <c r="C2346" s="90" t="n">
        <f aca="false">(3881+211+408+369+1151)*0.38</f>
        <v>2287.6</v>
      </c>
      <c r="D2346" s="103" t="s">
        <v>1061</v>
      </c>
      <c r="E2346" s="103"/>
      <c r="F2346" s="103"/>
    </row>
    <row r="2347" customFormat="false" ht="17.6" hidden="false" customHeight="false" outlineLevel="0" collapsed="false">
      <c r="A2347" s="91" t="s">
        <v>2536</v>
      </c>
      <c r="B2347" s="90" t="s">
        <v>40</v>
      </c>
      <c r="C2347" s="90" t="n">
        <f aca="false">1190*0.38</f>
        <v>452.2</v>
      </c>
      <c r="D2347" s="103" t="s">
        <v>1061</v>
      </c>
      <c r="E2347" s="103"/>
      <c r="F2347" s="103"/>
    </row>
    <row r="2348" customFormat="false" ht="17.6" hidden="false" customHeight="false" outlineLevel="0" collapsed="false">
      <c r="A2348" s="91"/>
      <c r="D2348" s="103"/>
      <c r="E2348" s="103"/>
      <c r="F2348" s="103"/>
    </row>
    <row r="2349" customFormat="false" ht="17.6" hidden="false" customHeight="false" outlineLevel="0" collapsed="false">
      <c r="A2349" s="91"/>
    </row>
    <row r="2350" customFormat="false" ht="17.6" hidden="false" customHeight="false" outlineLevel="0" collapsed="false">
      <c r="A2350" s="91" t="s">
        <v>2537</v>
      </c>
      <c r="B2350" s="90" t="s">
        <v>1164</v>
      </c>
      <c r="C2350" s="90" t="n">
        <v>150</v>
      </c>
      <c r="D2350" s="103" t="s">
        <v>1165</v>
      </c>
    </row>
    <row r="2351" customFormat="false" ht="17.6" hidden="false" customHeight="false" outlineLevel="0" collapsed="false">
      <c r="A2351" s="91"/>
    </row>
    <row r="2352" customFormat="false" ht="17.6" hidden="false" customHeight="false" outlineLevel="0" collapsed="false">
      <c r="A2352" s="91"/>
    </row>
    <row r="2353" customFormat="false" ht="17.6" hidden="false" customHeight="false" outlineLevel="0" collapsed="false">
      <c r="A2353" s="91"/>
    </row>
    <row r="2354" customFormat="false" ht="17.6" hidden="false" customHeight="false" outlineLevel="0" collapsed="false">
      <c r="A2354" s="91"/>
    </row>
    <row r="2355" customFormat="false" ht="17.6" hidden="false" customHeight="false" outlineLevel="0" collapsed="false">
      <c r="A2355" s="91"/>
    </row>
    <row r="2356" customFormat="false" ht="17.6" hidden="false" customHeight="false" outlineLevel="0" collapsed="false">
      <c r="A2356" s="91" t="s">
        <v>2538</v>
      </c>
      <c r="C2356" s="90" t="n">
        <v>15</v>
      </c>
      <c r="D2356" s="90" t="s">
        <v>1330</v>
      </c>
    </row>
    <row r="2357" customFormat="false" ht="17.6" hidden="false" customHeight="false" outlineLevel="0" collapsed="false">
      <c r="A2357" s="91" t="s">
        <v>2539</v>
      </c>
      <c r="C2357" s="90" t="n">
        <v>15</v>
      </c>
      <c r="D2357" s="90" t="s">
        <v>1330</v>
      </c>
    </row>
    <row r="2358" customFormat="false" ht="17.6" hidden="false" customHeight="false" outlineLevel="0" collapsed="false">
      <c r="A2358" s="91" t="s">
        <v>2540</v>
      </c>
      <c r="C2358" s="90" t="n">
        <v>35</v>
      </c>
      <c r="D2358" s="90" t="s">
        <v>1330</v>
      </c>
    </row>
    <row r="2359" customFormat="false" ht="17.6" hidden="false" customHeight="false" outlineLevel="0" collapsed="false">
      <c r="A2359" s="91"/>
    </row>
    <row r="2360" customFormat="false" ht="17.6" hidden="false" customHeight="false" outlineLevel="0" collapsed="false">
      <c r="A2360" s="91" t="s">
        <v>2541</v>
      </c>
      <c r="C2360" s="90" t="n">
        <f aca="false">858*0.7</f>
        <v>600.6</v>
      </c>
      <c r="D2360" s="90" t="s">
        <v>951</v>
      </c>
    </row>
    <row r="2361" customFormat="false" ht="17.6" hidden="false" customHeight="false" outlineLevel="0" collapsed="false">
      <c r="A2361" s="91" t="s">
        <v>2542</v>
      </c>
      <c r="C2361" s="90" t="n">
        <v>35</v>
      </c>
      <c r="D2361" s="90" t="s">
        <v>1330</v>
      </c>
    </row>
    <row r="2362" customFormat="false" ht="17.6" hidden="false" customHeight="false" outlineLevel="0" collapsed="false">
      <c r="A2362" s="91" t="s">
        <v>2543</v>
      </c>
    </row>
    <row r="2363" customFormat="false" ht="17.6" hidden="false" customHeight="false" outlineLevel="0" collapsed="false">
      <c r="A2363" s="91" t="s">
        <v>2544</v>
      </c>
      <c r="C2363" s="90" t="n">
        <f aca="false">529*0.6</f>
        <v>317.4</v>
      </c>
      <c r="D2363" s="90" t="s">
        <v>2545</v>
      </c>
    </row>
    <row r="2364" customFormat="false" ht="17.6" hidden="false" customHeight="false" outlineLevel="0" collapsed="false">
      <c r="A2364" s="91"/>
    </row>
    <row r="2365" customFormat="false" ht="17.6" hidden="false" customHeight="false" outlineLevel="0" collapsed="false">
      <c r="A2365" s="91" t="s">
        <v>2546</v>
      </c>
      <c r="C2365" s="90" t="n">
        <f aca="false">28200*0.65+400+80+500/3</f>
        <v>18976.6666666667</v>
      </c>
      <c r="D2365" s="90" t="s">
        <v>163</v>
      </c>
      <c r="F2365" s="90" t="n">
        <f aca="false">26100*0.5+900+320</f>
        <v>14270</v>
      </c>
    </row>
    <row r="2366" customFormat="false" ht="17.6" hidden="false" customHeight="false" outlineLevel="0" collapsed="false">
      <c r="A2366" s="91" t="s">
        <v>2547</v>
      </c>
      <c r="C2366" s="90" t="n">
        <f aca="false">430*0.65+70+32+175</f>
        <v>556.5</v>
      </c>
      <c r="D2366" s="90" t="s">
        <v>163</v>
      </c>
      <c r="F2366" s="90" t="n">
        <f aca="false">460*0.5+70+32+180</f>
        <v>512</v>
      </c>
    </row>
    <row r="2367" customFormat="false" ht="17.6" hidden="false" customHeight="false" outlineLevel="0" collapsed="false">
      <c r="A2367" s="91" t="s">
        <v>2548</v>
      </c>
      <c r="C2367" s="90" t="n">
        <f aca="false">430*0.65+70+32+175</f>
        <v>556.5</v>
      </c>
      <c r="D2367" s="90" t="s">
        <v>163</v>
      </c>
      <c r="F2367" s="90" t="n">
        <f aca="false">460*0.5+70+32+180</f>
        <v>512</v>
      </c>
    </row>
    <row r="2368" customFormat="false" ht="17.6" hidden="false" customHeight="false" outlineLevel="0" collapsed="false">
      <c r="A2368" s="91" t="s">
        <v>2549</v>
      </c>
      <c r="C2368" s="90" t="n">
        <f aca="false">630*0.65+80+36+196</f>
        <v>721.5</v>
      </c>
      <c r="D2368" s="90" t="s">
        <v>163</v>
      </c>
      <c r="F2368" s="90" t="n">
        <f aca="false">670*0.5+80+36+280</f>
        <v>731</v>
      </c>
    </row>
    <row r="2369" customFormat="false" ht="17.6" hidden="false" customHeight="false" outlineLevel="0" collapsed="false">
      <c r="A2369" s="91" t="s">
        <v>2550</v>
      </c>
      <c r="C2369" s="90" t="n">
        <f aca="false">630*0.65+80+36+196</f>
        <v>721.5</v>
      </c>
      <c r="D2369" s="90" t="s">
        <v>163</v>
      </c>
      <c r="F2369" s="90" t="n">
        <f aca="false">820*0.5+80+36+280</f>
        <v>806</v>
      </c>
    </row>
    <row r="2370" customFormat="false" ht="17.6" hidden="false" customHeight="false" outlineLevel="0" collapsed="false">
      <c r="A2370" s="91" t="s">
        <v>2551</v>
      </c>
      <c r="C2370" s="90" t="n">
        <f aca="false">765*0.65+80+36+196</f>
        <v>809.25</v>
      </c>
      <c r="D2370" s="90" t="s">
        <v>163</v>
      </c>
      <c r="F2370" s="90" t="n">
        <f aca="false">820*0.5+80+36+280</f>
        <v>806</v>
      </c>
    </row>
    <row r="2371" customFormat="false" ht="17.6" hidden="false" customHeight="false" outlineLevel="0" collapsed="false">
      <c r="A2371" s="91" t="s">
        <v>2552</v>
      </c>
      <c r="C2371" s="90" t="n">
        <f aca="false">765*0.65+80+36+196</f>
        <v>809.25</v>
      </c>
      <c r="D2371" s="90" t="s">
        <v>163</v>
      </c>
      <c r="F2371" s="90" t="n">
        <f aca="false">820*0.5+80+36+280</f>
        <v>806</v>
      </c>
    </row>
    <row r="2372" customFormat="false" ht="17.6" hidden="false" customHeight="false" outlineLevel="0" collapsed="false">
      <c r="A2372" s="91" t="s">
        <v>2553</v>
      </c>
      <c r="C2372" s="90" t="n">
        <f aca="false">765*0.65+80+36+196</f>
        <v>809.25</v>
      </c>
      <c r="D2372" s="90" t="s">
        <v>163</v>
      </c>
      <c r="F2372" s="90" t="n">
        <f aca="false">820*0.5+80+36+280</f>
        <v>806</v>
      </c>
    </row>
    <row r="2373" customFormat="false" ht="17.6" hidden="false" customHeight="false" outlineLevel="0" collapsed="false">
      <c r="A2373" s="91" t="s">
        <v>2554</v>
      </c>
      <c r="C2373" s="90" t="n">
        <f aca="false">940*0.65+130+50+400</f>
        <v>1191</v>
      </c>
      <c r="D2373" s="90" t="s">
        <v>163</v>
      </c>
      <c r="F2373" s="90" t="n">
        <f aca="false">1230*0.5+130+50+500</f>
        <v>1295</v>
      </c>
    </row>
    <row r="2374" customFormat="false" ht="17.6" hidden="false" customHeight="false" outlineLevel="0" collapsed="false">
      <c r="A2374" s="91" t="s">
        <v>2555</v>
      </c>
      <c r="C2374" s="90" t="n">
        <f aca="false">940*0.65+130+50+400</f>
        <v>1191</v>
      </c>
      <c r="D2374" s="90" t="s">
        <v>163</v>
      </c>
      <c r="F2374" s="90" t="n">
        <f aca="false">1230*0.5+130+50+500</f>
        <v>1295</v>
      </c>
    </row>
    <row r="2375" customFormat="false" ht="17.6" hidden="false" customHeight="false" outlineLevel="0" collapsed="false">
      <c r="A2375" s="91" t="s">
        <v>2556</v>
      </c>
      <c r="C2375" s="90" t="n">
        <f aca="false">940*0.65+130+50+400</f>
        <v>1191</v>
      </c>
      <c r="D2375" s="90" t="s">
        <v>163</v>
      </c>
      <c r="F2375" s="90" t="n">
        <f aca="false">1230*0.5+130+50+500</f>
        <v>1295</v>
      </c>
    </row>
    <row r="2376" customFormat="false" ht="17.6" hidden="false" customHeight="false" outlineLevel="0" collapsed="false">
      <c r="A2376" s="108" t="s">
        <v>2557</v>
      </c>
      <c r="C2376" s="90" t="n">
        <f aca="false">25*0.6</f>
        <v>15</v>
      </c>
      <c r="D2376" s="90" t="s">
        <v>163</v>
      </c>
    </row>
    <row r="2377" customFormat="false" ht="17.6" hidden="false" customHeight="false" outlineLevel="0" collapsed="false">
      <c r="A2377" s="108" t="s">
        <v>2558</v>
      </c>
      <c r="C2377" s="90" t="n">
        <f aca="false">53*0.6</f>
        <v>31.8</v>
      </c>
      <c r="D2377" s="90" t="s">
        <v>163</v>
      </c>
    </row>
    <row r="2378" customFormat="false" ht="17.6" hidden="false" customHeight="false" outlineLevel="0" collapsed="false">
      <c r="A2378" s="108" t="s">
        <v>2559</v>
      </c>
      <c r="C2378" s="90" t="n">
        <f aca="false">96</f>
        <v>96</v>
      </c>
      <c r="D2378" s="90" t="s">
        <v>163</v>
      </c>
    </row>
    <row r="2379" customFormat="false" ht="17.6" hidden="false" customHeight="false" outlineLevel="0" collapsed="false">
      <c r="A2379" s="108" t="s">
        <v>2560</v>
      </c>
      <c r="C2379" s="90" t="n">
        <f aca="false">151*0.6</f>
        <v>90.6</v>
      </c>
      <c r="D2379" s="90" t="s">
        <v>163</v>
      </c>
    </row>
    <row r="2380" customFormat="false" ht="17.6" hidden="false" customHeight="false" outlineLevel="0" collapsed="false">
      <c r="A2380" s="91"/>
    </row>
    <row r="2381" customFormat="false" ht="17.6" hidden="false" customHeight="false" outlineLevel="0" collapsed="false">
      <c r="A2381" s="91"/>
    </row>
    <row r="2382" customFormat="false" ht="17.6" hidden="false" customHeight="false" outlineLevel="0" collapsed="false">
      <c r="A2382" s="91" t="s">
        <v>2561</v>
      </c>
      <c r="C2382" s="90" t="n">
        <v>800</v>
      </c>
      <c r="D2382" s="90" t="s">
        <v>2562</v>
      </c>
    </row>
    <row r="2383" customFormat="false" ht="17.6" hidden="false" customHeight="false" outlineLevel="0" collapsed="false">
      <c r="A2383" s="91"/>
      <c r="E2383" s="91"/>
      <c r="F2383" s="91"/>
      <c r="G2383" s="91"/>
      <c r="H2383" s="91"/>
      <c r="I2383" s="91"/>
      <c r="J2383" s="91"/>
      <c r="K2383" s="91"/>
      <c r="L2383" s="91"/>
      <c r="M2383" s="91"/>
    </row>
    <row r="2384" customFormat="false" ht="17.6" hidden="false" customHeight="false" outlineLevel="0" collapsed="false">
      <c r="A2384" s="91"/>
      <c r="E2384" s="91"/>
      <c r="F2384" s="91"/>
      <c r="G2384" s="91"/>
      <c r="H2384" s="91"/>
      <c r="I2384" s="91"/>
      <c r="J2384" s="91"/>
      <c r="K2384" s="91"/>
      <c r="L2384" s="91"/>
      <c r="M2384" s="91"/>
    </row>
    <row r="2385" customFormat="false" ht="17.6" hidden="false" customHeight="false" outlineLevel="0" collapsed="false">
      <c r="A2385" s="91" t="s">
        <v>2563</v>
      </c>
      <c r="C2385" s="90" t="n">
        <f aca="false">1300*4*0.3</f>
        <v>1560</v>
      </c>
      <c r="D2385" s="90" t="s">
        <v>2564</v>
      </c>
    </row>
    <row r="2386" customFormat="false" ht="17.6" hidden="false" customHeight="false" outlineLevel="0" collapsed="false">
      <c r="A2386" s="91"/>
    </row>
    <row r="2387" customFormat="false" ht="17.6" hidden="false" customHeight="false" outlineLevel="0" collapsed="false">
      <c r="A2387" s="109" t="s">
        <v>2565</v>
      </c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1"/>
      <c r="AB2387" s="11"/>
      <c r="AC2387" s="11"/>
      <c r="AD2387" s="11"/>
      <c r="AE2387" s="11"/>
      <c r="AF2387" s="11"/>
      <c r="AG2387" s="11"/>
      <c r="AH2387" s="11"/>
      <c r="AI2387" s="11"/>
      <c r="AJ2387" s="11"/>
      <c r="AK2387" s="11"/>
      <c r="AL2387" s="11"/>
      <c r="AM2387" s="11"/>
      <c r="AN2387" s="11"/>
      <c r="AO2387" s="11"/>
      <c r="AP2387" s="11"/>
      <c r="AQ2387" s="11"/>
      <c r="AR2387" s="11"/>
      <c r="AS2387" s="11"/>
      <c r="AT2387" s="11"/>
      <c r="AU2387" s="11"/>
      <c r="AV2387" s="11"/>
      <c r="AW2387" s="11"/>
      <c r="AX2387" s="11"/>
      <c r="AY2387" s="11"/>
      <c r="AZ2387" s="11"/>
      <c r="BA2387" s="11"/>
      <c r="BB2387" s="11"/>
      <c r="BC2387" s="11"/>
      <c r="BD2387" s="11"/>
      <c r="BE2387" s="11"/>
      <c r="BF2387" s="11"/>
      <c r="BG2387" s="11"/>
      <c r="BH2387" s="11"/>
      <c r="BI2387" s="11"/>
      <c r="BJ2387" s="11"/>
      <c r="BK2387" s="11"/>
      <c r="BL2387" s="11"/>
      <c r="BM2387" s="11"/>
      <c r="BN2387" s="11"/>
      <c r="BO2387" s="11"/>
      <c r="BP2387" s="11"/>
      <c r="BQ2387" s="11"/>
      <c r="BR2387" s="11"/>
      <c r="BS2387" s="11"/>
      <c r="BT2387" s="11"/>
      <c r="BU2387" s="11"/>
      <c r="BV2387" s="11"/>
      <c r="BW2387" s="11"/>
      <c r="BX2387" s="11"/>
      <c r="BY2387" s="11"/>
      <c r="BZ2387" s="11"/>
      <c r="CA2387" s="11"/>
      <c r="CB2387" s="11"/>
      <c r="CC2387" s="11"/>
      <c r="CD2387" s="11"/>
      <c r="CE2387" s="11"/>
      <c r="CF2387" s="11"/>
      <c r="CG2387" s="11"/>
      <c r="CH2387" s="11"/>
      <c r="CI2387" s="11"/>
      <c r="CJ2387" s="11"/>
      <c r="CK2387" s="11"/>
      <c r="CL2387" s="11"/>
      <c r="CM2387" s="11"/>
      <c r="CN2387" s="11"/>
      <c r="CO2387" s="11"/>
      <c r="CP2387" s="11"/>
      <c r="CQ2387" s="11"/>
      <c r="CR2387" s="11"/>
      <c r="CS2387" s="11"/>
      <c r="CT2387" s="11"/>
      <c r="CU2387" s="11"/>
      <c r="CV2387" s="11"/>
      <c r="CW2387" s="11"/>
      <c r="CX2387" s="11"/>
      <c r="CY2387" s="11"/>
      <c r="CZ2387" s="11"/>
      <c r="DA2387" s="11"/>
      <c r="DB2387" s="11"/>
      <c r="DC2387" s="11"/>
      <c r="DD2387" s="11"/>
      <c r="DE2387" s="11"/>
      <c r="DF2387" s="11"/>
      <c r="DG2387" s="11"/>
      <c r="DH2387" s="11"/>
      <c r="DI2387" s="11"/>
      <c r="DJ2387" s="11"/>
      <c r="DK2387" s="11"/>
      <c r="DL2387" s="11"/>
      <c r="DM2387" s="11"/>
      <c r="DN2387" s="11"/>
      <c r="DO2387" s="11"/>
      <c r="DP2387" s="11"/>
      <c r="DQ2387" s="11"/>
      <c r="DR2387" s="11"/>
      <c r="DS2387" s="11"/>
      <c r="DT2387" s="11"/>
      <c r="DU2387" s="11"/>
      <c r="DV2387" s="11"/>
      <c r="DW2387" s="11"/>
      <c r="DX2387" s="11"/>
      <c r="DY2387" s="11"/>
      <c r="DZ2387" s="11"/>
      <c r="EA2387" s="11"/>
      <c r="EB2387" s="11"/>
      <c r="EC2387" s="11"/>
      <c r="ED2387" s="11"/>
      <c r="EE2387" s="11"/>
      <c r="EF2387" s="11"/>
      <c r="EG2387" s="11"/>
      <c r="EH2387" s="11"/>
      <c r="EI2387" s="11"/>
      <c r="EJ2387" s="11"/>
      <c r="EK2387" s="11"/>
      <c r="EL2387" s="11"/>
      <c r="EM2387" s="11"/>
      <c r="EN2387" s="11"/>
      <c r="EO2387" s="11"/>
      <c r="EP2387" s="11"/>
      <c r="EQ2387" s="11"/>
      <c r="ER2387" s="11"/>
      <c r="ES2387" s="11"/>
      <c r="ET2387" s="11"/>
      <c r="EU2387" s="11"/>
      <c r="EV2387" s="11"/>
      <c r="EW2387" s="11"/>
      <c r="EX2387" s="11"/>
      <c r="EY2387" s="11"/>
      <c r="EZ2387" s="11"/>
      <c r="FA2387" s="11"/>
      <c r="FB2387" s="11"/>
      <c r="FC2387" s="11"/>
      <c r="FD2387" s="11"/>
      <c r="FE2387" s="11"/>
      <c r="FF2387" s="11"/>
      <c r="FG2387" s="11"/>
      <c r="FH2387" s="11"/>
      <c r="FI2387" s="11"/>
      <c r="FJ2387" s="11"/>
      <c r="FK2387" s="11"/>
      <c r="FL2387" s="11"/>
      <c r="FM2387" s="11"/>
      <c r="FN2387" s="11"/>
      <c r="FO2387" s="11"/>
      <c r="FP2387" s="11"/>
      <c r="FQ2387" s="11"/>
      <c r="FR2387" s="11"/>
      <c r="FS2387" s="11"/>
      <c r="FT2387" s="11"/>
      <c r="FU2387" s="11"/>
      <c r="FV2387" s="11"/>
      <c r="FW2387" s="11"/>
      <c r="FX2387" s="11"/>
      <c r="FY2387" s="11"/>
      <c r="FZ2387" s="11"/>
      <c r="GA2387" s="11"/>
      <c r="GB2387" s="11"/>
      <c r="GC2387" s="11"/>
      <c r="GD2387" s="11"/>
      <c r="GE2387" s="11"/>
      <c r="GF2387" s="11"/>
      <c r="GG2387" s="11"/>
      <c r="GH2387" s="11"/>
      <c r="GI2387" s="11"/>
      <c r="GJ2387" s="11"/>
      <c r="GK2387" s="11"/>
      <c r="GL2387" s="11"/>
      <c r="GM2387" s="11"/>
      <c r="GN2387" s="11"/>
      <c r="GO2387" s="11"/>
      <c r="GP2387" s="11"/>
      <c r="GQ2387" s="11"/>
      <c r="GR2387" s="11"/>
      <c r="GS2387" s="11"/>
      <c r="GT2387" s="11"/>
      <c r="GU2387" s="11"/>
      <c r="GV2387" s="11"/>
      <c r="GW2387" s="11"/>
      <c r="GX2387" s="11"/>
      <c r="GY2387" s="11"/>
      <c r="GZ2387" s="11"/>
      <c r="HA2387" s="11"/>
      <c r="HB2387" s="11"/>
      <c r="HC2387" s="11"/>
      <c r="HD2387" s="11"/>
      <c r="HE2387" s="11"/>
      <c r="HF2387" s="11"/>
      <c r="HG2387" s="11"/>
      <c r="HH2387" s="11"/>
      <c r="HI2387" s="11"/>
      <c r="HJ2387" s="11"/>
      <c r="HK2387" s="11"/>
      <c r="HL2387" s="11"/>
      <c r="HM2387" s="11"/>
      <c r="HN2387" s="11"/>
      <c r="HO2387" s="11"/>
      <c r="HP2387" s="11"/>
      <c r="HQ2387" s="11"/>
      <c r="HR2387" s="11"/>
      <c r="HS2387" s="11"/>
      <c r="HT2387" s="11"/>
      <c r="HU2387" s="11"/>
      <c r="HV2387" s="11"/>
      <c r="HW2387" s="11"/>
      <c r="HX2387" s="11"/>
      <c r="HY2387" s="11"/>
      <c r="HZ2387" s="11"/>
      <c r="IA2387" s="11"/>
      <c r="IB2387" s="11"/>
      <c r="IC2387" s="11"/>
      <c r="ID2387" s="11"/>
      <c r="IE2387" s="11"/>
      <c r="IF2387" s="11"/>
      <c r="IG2387" s="11"/>
      <c r="IH2387" s="11"/>
      <c r="II2387" s="11"/>
      <c r="IJ2387" s="11"/>
      <c r="IK2387" s="11"/>
      <c r="IL2387" s="11"/>
      <c r="IM2387" s="11"/>
      <c r="IN2387" s="11"/>
      <c r="IO2387" s="11"/>
      <c r="IP2387" s="11"/>
      <c r="IQ2387" s="11"/>
      <c r="IR2387" s="11"/>
      <c r="IS2387" s="11"/>
      <c r="IT2387" s="11"/>
      <c r="IU2387" s="11"/>
      <c r="IV2387" s="11"/>
      <c r="IW2387" s="11"/>
    </row>
    <row r="2388" customFormat="false" ht="17.6" hidden="false" customHeight="false" outlineLevel="0" collapsed="false">
      <c r="A2388" s="91" t="s">
        <v>2566</v>
      </c>
      <c r="B2388" s="90" t="s">
        <v>2567</v>
      </c>
      <c r="C2388" s="90" t="n">
        <v>5000</v>
      </c>
      <c r="D2388" s="90" t="s">
        <v>2568</v>
      </c>
    </row>
    <row r="2389" customFormat="false" ht="17.6" hidden="false" customHeight="false" outlineLevel="0" collapsed="false">
      <c r="A2389" s="91" t="s">
        <v>2569</v>
      </c>
      <c r="B2389" s="90" t="s">
        <v>2567</v>
      </c>
      <c r="C2389" s="90" t="n">
        <v>4600</v>
      </c>
      <c r="D2389" s="90" t="s">
        <v>2568</v>
      </c>
    </row>
    <row r="2390" customFormat="false" ht="17.6" hidden="false" customHeight="false" outlineLevel="0" collapsed="false">
      <c r="A2390" s="91"/>
    </row>
    <row r="2391" customFormat="false" ht="17.6" hidden="false" customHeight="false" outlineLevel="0" collapsed="false">
      <c r="A2391" s="91"/>
    </row>
    <row r="2392" customFormat="false" ht="17.6" hidden="false" customHeight="false" outlineLevel="0" collapsed="false">
      <c r="A2392" s="91"/>
    </row>
    <row r="2393" customFormat="false" ht="17.6" hidden="false" customHeight="false" outlineLevel="0" collapsed="false">
      <c r="A2393" s="91"/>
    </row>
    <row r="2394" customFormat="false" ht="17.6" hidden="false" customHeight="false" outlineLevel="0" collapsed="false">
      <c r="A2394" s="91"/>
    </row>
    <row r="2395" customFormat="false" ht="17.6" hidden="false" customHeight="false" outlineLevel="0" collapsed="false">
      <c r="A2395" s="91"/>
    </row>
    <row r="2396" customFormat="false" ht="17.6" hidden="false" customHeight="false" outlineLevel="0" collapsed="false">
      <c r="A2396" s="91"/>
    </row>
    <row r="2397" customFormat="false" ht="17.6" hidden="false" customHeight="false" outlineLevel="0" collapsed="false">
      <c r="A2397" s="91"/>
    </row>
    <row r="2398" customFormat="false" ht="17.6" hidden="false" customHeight="false" outlineLevel="0" collapsed="false">
      <c r="A2398" s="91" t="s">
        <v>2570</v>
      </c>
      <c r="C2398" s="90" t="n">
        <f aca="false">22100*0.68+600+450/3</f>
        <v>15778</v>
      </c>
      <c r="D2398" s="90" t="s">
        <v>238</v>
      </c>
    </row>
    <row r="2399" customFormat="false" ht="17.6" hidden="false" customHeight="false" outlineLevel="0" collapsed="false">
      <c r="A2399" s="110" t="s">
        <v>2571</v>
      </c>
      <c r="C2399" s="90" t="n">
        <f aca="false">100*0.68</f>
        <v>68</v>
      </c>
      <c r="D2399" s="90" t="s">
        <v>238</v>
      </c>
    </row>
    <row r="2400" customFormat="false" ht="17.6" hidden="false" customHeight="false" outlineLevel="0" collapsed="false">
      <c r="A2400" s="110" t="s">
        <v>2572</v>
      </c>
      <c r="C2400" s="90" t="n">
        <f aca="false">92*0.68</f>
        <v>62.56</v>
      </c>
      <c r="D2400" s="90" t="s">
        <v>238</v>
      </c>
    </row>
    <row r="2401" customFormat="false" ht="17.6" hidden="false" customHeight="false" outlineLevel="0" collapsed="false">
      <c r="A2401" s="110" t="s">
        <v>2573</v>
      </c>
      <c r="C2401" s="90" t="n">
        <f aca="false">123*0.68</f>
        <v>83.64</v>
      </c>
      <c r="D2401" s="90" t="s">
        <v>238</v>
      </c>
    </row>
    <row r="2402" customFormat="false" ht="17.6" hidden="false" customHeight="false" outlineLevel="0" collapsed="false">
      <c r="A2402" s="110" t="s">
        <v>2574</v>
      </c>
      <c r="C2402" s="90" t="n">
        <f aca="false">83*0.68</f>
        <v>56.44</v>
      </c>
      <c r="D2402" s="90" t="s">
        <v>238</v>
      </c>
    </row>
    <row r="2403" customFormat="false" ht="17.6" hidden="false" customHeight="false" outlineLevel="0" collapsed="false">
      <c r="A2403" s="110" t="s">
        <v>2575</v>
      </c>
      <c r="C2403" s="90" t="n">
        <f aca="false">165*0.68</f>
        <v>112.2</v>
      </c>
      <c r="D2403" s="90" t="s">
        <v>238</v>
      </c>
    </row>
    <row r="2404" customFormat="false" ht="17.6" hidden="false" customHeight="false" outlineLevel="0" collapsed="false">
      <c r="A2404" s="91"/>
    </row>
    <row r="2405" customFormat="false" ht="17.6" hidden="false" customHeight="false" outlineLevel="0" collapsed="false">
      <c r="A2405" s="91"/>
    </row>
    <row r="2406" customFormat="false" ht="17.6" hidden="false" customHeight="false" outlineLevel="0" collapsed="false">
      <c r="A2406" s="91"/>
    </row>
    <row r="2407" customFormat="false" ht="17.6" hidden="false" customHeight="false" outlineLevel="0" collapsed="false">
      <c r="A2407" s="91" t="s">
        <v>2576</v>
      </c>
      <c r="B2407" s="90" t="s">
        <v>1156</v>
      </c>
      <c r="C2407" s="90" t="n">
        <v>8</v>
      </c>
      <c r="D2407" s="90" t="s">
        <v>2577</v>
      </c>
    </row>
    <row r="2408" customFormat="false" ht="17.6" hidden="false" customHeight="false" outlineLevel="0" collapsed="false">
      <c r="A2408" s="91" t="s">
        <v>2578</v>
      </c>
      <c r="B2408" s="90" t="s">
        <v>2491</v>
      </c>
      <c r="C2408" s="111" t="n">
        <v>12</v>
      </c>
      <c r="D2408" s="90" t="s">
        <v>2577</v>
      </c>
    </row>
    <row r="2409" customFormat="false" ht="17.6" hidden="false" customHeight="false" outlineLevel="0" collapsed="false">
      <c r="A2409" s="91"/>
    </row>
    <row r="2410" customFormat="false" ht="17.6" hidden="false" customHeight="false" outlineLevel="0" collapsed="false">
      <c r="A2410" s="91"/>
    </row>
    <row r="2411" customFormat="false" ht="17.6" hidden="false" customHeight="false" outlineLevel="0" collapsed="false">
      <c r="A2411" s="91" t="s">
        <v>2579</v>
      </c>
      <c r="C2411" s="90" t="n">
        <f aca="false">1826*0.65</f>
        <v>1186.9</v>
      </c>
      <c r="D2411" s="90" t="s">
        <v>1024</v>
      </c>
    </row>
    <row r="2412" customFormat="false" ht="17.6" hidden="false" customHeight="false" outlineLevel="0" collapsed="false">
      <c r="A2412" s="91"/>
    </row>
    <row r="2413" customFormat="false" ht="17.6" hidden="false" customHeight="false" outlineLevel="0" collapsed="false">
      <c r="A2413" s="91" t="s">
        <v>2580</v>
      </c>
      <c r="C2413" s="90" t="n">
        <f aca="false">92*0.65</f>
        <v>59.8</v>
      </c>
      <c r="D2413" s="90" t="s">
        <v>163</v>
      </c>
    </row>
    <row r="2414" customFormat="false" ht="17.6" hidden="false" customHeight="false" outlineLevel="0" collapsed="false">
      <c r="A2414" s="91" t="s">
        <v>2581</v>
      </c>
      <c r="C2414" s="90" t="n">
        <f aca="false">65*0.65</f>
        <v>42.25</v>
      </c>
      <c r="D2414" s="90" t="s">
        <v>163</v>
      </c>
    </row>
    <row r="2415" customFormat="false" ht="17.6" hidden="false" customHeight="false" outlineLevel="0" collapsed="false">
      <c r="A2415" s="91"/>
    </row>
    <row r="2416" customFormat="false" ht="17.6" hidden="false" customHeight="false" outlineLevel="0" collapsed="false">
      <c r="A2416" s="91"/>
    </row>
    <row r="2417" customFormat="false" ht="17.6" hidden="false" customHeight="false" outlineLevel="0" collapsed="false">
      <c r="A2417" s="91"/>
    </row>
    <row r="2418" customFormat="false" ht="17.6" hidden="false" customHeight="false" outlineLevel="0" collapsed="false">
      <c r="A2418" s="91" t="s">
        <v>2582</v>
      </c>
      <c r="C2418" s="90" t="n">
        <v>900</v>
      </c>
      <c r="D2418" s="90" t="s">
        <v>2583</v>
      </c>
    </row>
    <row r="2419" customFormat="false" ht="17.6" hidden="false" customHeight="false" outlineLevel="0" collapsed="false">
      <c r="A2419" s="91"/>
    </row>
    <row r="2420" customFormat="false" ht="17.6" hidden="false" customHeight="false" outlineLevel="0" collapsed="false">
      <c r="A2420" s="91"/>
    </row>
    <row r="2421" customFormat="false" ht="17.6" hidden="false" customHeight="false" outlineLevel="0" collapsed="false">
      <c r="A2421" s="91"/>
    </row>
    <row r="2422" customFormat="false" ht="17.6" hidden="false" customHeight="false" outlineLevel="0" collapsed="false">
      <c r="A2422" s="91"/>
    </row>
    <row r="2423" customFormat="false" ht="17.6" hidden="false" customHeight="false" outlineLevel="0" collapsed="false">
      <c r="A2423" s="91"/>
    </row>
    <row r="2424" customFormat="false" ht="17.6" hidden="false" customHeight="false" outlineLevel="0" collapsed="false">
      <c r="A2424" s="91"/>
    </row>
    <row r="2425" customFormat="false" ht="17.6" hidden="false" customHeight="false" outlineLevel="0" collapsed="false">
      <c r="A2425" s="91"/>
    </row>
    <row r="2426" customFormat="false" ht="17.6" hidden="false" customHeight="false" outlineLevel="0" collapsed="false">
      <c r="A2426" s="91"/>
      <c r="D2426" s="103"/>
    </row>
    <row r="2427" customFormat="false" ht="17.6" hidden="false" customHeight="false" outlineLevel="0" collapsed="false">
      <c r="A2427" s="91"/>
    </row>
    <row r="2428" customFormat="false" ht="17.6" hidden="false" customHeight="false" outlineLevel="0" collapsed="false">
      <c r="A2428" s="91"/>
    </row>
    <row r="2429" customFormat="false" ht="17.6" hidden="false" customHeight="false" outlineLevel="0" collapsed="false">
      <c r="A2429" s="91"/>
    </row>
    <row r="2430" customFormat="false" ht="17.6" hidden="false" customHeight="false" outlineLevel="0" collapsed="false">
      <c r="A2430" s="91"/>
    </row>
    <row r="2431" customFormat="false" ht="17.6" hidden="false" customHeight="false" outlineLevel="0" collapsed="false">
      <c r="A2431" s="91"/>
    </row>
    <row r="2432" customFormat="false" ht="17.6" hidden="false" customHeight="false" outlineLevel="0" collapsed="false">
      <c r="A2432" s="91"/>
    </row>
    <row r="2433" customFormat="false" ht="17.6" hidden="false" customHeight="false" outlineLevel="0" collapsed="false">
      <c r="A2433" s="91"/>
    </row>
    <row r="2434" customFormat="false" ht="17.6" hidden="false" customHeight="false" outlineLevel="0" collapsed="false">
      <c r="A2434" s="91"/>
    </row>
    <row r="2435" customFormat="false" ht="17.6" hidden="false" customHeight="false" outlineLevel="0" collapsed="false">
      <c r="A2435" s="89" t="s">
        <v>2584</v>
      </c>
      <c r="D2435" s="90" t="s">
        <v>1420</v>
      </c>
    </row>
    <row r="2436" customFormat="false" ht="17.6" hidden="false" customHeight="false" outlineLevel="0" collapsed="false">
      <c r="A2436" s="91"/>
      <c r="D2436" s="103"/>
    </row>
    <row r="2437" customFormat="false" ht="17.6" hidden="false" customHeight="false" outlineLevel="0" collapsed="false">
      <c r="A2437" s="91"/>
    </row>
    <row r="2438" customFormat="false" ht="17.6" hidden="false" customHeight="false" outlineLevel="0" collapsed="false">
      <c r="A2438" s="91"/>
    </row>
    <row r="2439" customFormat="false" ht="17.6" hidden="false" customHeight="false" outlineLevel="0" collapsed="false">
      <c r="A2439" s="91" t="s">
        <v>2585</v>
      </c>
      <c r="C2439" s="90" t="n">
        <v>750</v>
      </c>
      <c r="D2439" s="90" t="s">
        <v>2586</v>
      </c>
    </row>
    <row r="2440" customFormat="false" ht="17.6" hidden="false" customHeight="false" outlineLevel="0" collapsed="false">
      <c r="A2440" s="91" t="s">
        <v>2587</v>
      </c>
      <c r="C2440" s="90" t="n">
        <v>550</v>
      </c>
      <c r="D2440" s="90" t="s">
        <v>2586</v>
      </c>
    </row>
    <row r="2441" customFormat="false" ht="17.6" hidden="false" customHeight="false" outlineLevel="0" collapsed="false">
      <c r="A2441" s="91"/>
    </row>
    <row r="2442" customFormat="false" ht="17.6" hidden="false" customHeight="false" outlineLevel="0" collapsed="false">
      <c r="A2442" s="91"/>
    </row>
    <row r="2443" customFormat="false" ht="17.6" hidden="false" customHeight="false" outlineLevel="0" collapsed="false">
      <c r="A2443" s="91" t="s">
        <v>2588</v>
      </c>
      <c r="B2443" s="90" t="s">
        <v>86</v>
      </c>
      <c r="C2443" s="90" t="n">
        <f aca="false">31000*0.58</f>
        <v>17980</v>
      </c>
      <c r="D2443" s="90" t="s">
        <v>163</v>
      </c>
    </row>
    <row r="2444" customFormat="false" ht="17.6" hidden="false" customHeight="false" outlineLevel="0" collapsed="false">
      <c r="A2444" s="91" t="s">
        <v>2589</v>
      </c>
      <c r="B2444" s="90" t="s">
        <v>86</v>
      </c>
      <c r="C2444" s="90" t="n">
        <f aca="false">29000*0.58</f>
        <v>16820</v>
      </c>
      <c r="D2444" s="90" t="s">
        <v>163</v>
      </c>
    </row>
    <row r="2445" customFormat="false" ht="17.6" hidden="false" customHeight="false" outlineLevel="0" collapsed="false">
      <c r="A2445" s="91"/>
    </row>
    <row r="2446" customFormat="false" ht="17.6" hidden="false" customHeight="false" outlineLevel="0" collapsed="false">
      <c r="A2446" s="91" t="s">
        <v>2590</v>
      </c>
      <c r="B2446" s="90" t="s">
        <v>86</v>
      </c>
      <c r="C2446" s="90" t="n">
        <f aca="false">E2446*G2446</f>
        <v>12877.2</v>
      </c>
      <c r="D2446" s="90" t="s">
        <v>2591</v>
      </c>
      <c r="E2446" s="90" t="n">
        <v>30660</v>
      </c>
      <c r="G2446" s="90" t="n">
        <v>0.42</v>
      </c>
    </row>
    <row r="2447" customFormat="false" ht="17.6" hidden="false" customHeight="false" outlineLevel="0" collapsed="false">
      <c r="A2447" s="91" t="s">
        <v>2592</v>
      </c>
      <c r="B2447" s="90" t="s">
        <v>86</v>
      </c>
      <c r="C2447" s="90" t="n">
        <f aca="false">E2447*G2447</f>
        <v>12877.2</v>
      </c>
      <c r="D2447" s="90" t="s">
        <v>2591</v>
      </c>
      <c r="E2447" s="90" t="n">
        <v>30660</v>
      </c>
      <c r="G2447" s="90" t="n">
        <v>0.42</v>
      </c>
    </row>
    <row r="2448" customFormat="false" ht="17.6" hidden="false" customHeight="false" outlineLevel="0" collapsed="false">
      <c r="A2448" s="91"/>
    </row>
    <row r="2449" customFormat="false" ht="17.6" hidden="false" customHeight="false" outlineLevel="0" collapsed="false">
      <c r="A2449" s="91" t="s">
        <v>2593</v>
      </c>
      <c r="B2449" s="90" t="s">
        <v>86</v>
      </c>
      <c r="C2449" s="90" t="n">
        <v>10000</v>
      </c>
      <c r="D2449" s="90" t="s">
        <v>1241</v>
      </c>
      <c r="E2449" s="90" t="n">
        <v>19855</v>
      </c>
      <c r="G2449" s="90" t="n">
        <v>0.7</v>
      </c>
    </row>
    <row r="2450" customFormat="false" ht="17.6" hidden="false" customHeight="false" outlineLevel="0" collapsed="false">
      <c r="A2450" s="91" t="s">
        <v>2594</v>
      </c>
      <c r="B2450" s="90" t="s">
        <v>86</v>
      </c>
      <c r="C2450" s="90" t="n">
        <v>9500</v>
      </c>
      <c r="D2450" s="90" t="s">
        <v>1241</v>
      </c>
      <c r="E2450" s="90" t="n">
        <v>17931</v>
      </c>
      <c r="G2450" s="90" t="n">
        <v>0.7</v>
      </c>
    </row>
    <row r="2451" customFormat="false" ht="17.6" hidden="false" customHeight="false" outlineLevel="0" collapsed="false">
      <c r="A2451" s="91"/>
    </row>
    <row r="2452" customFormat="false" ht="17.6" hidden="false" customHeight="false" outlineLevel="0" collapsed="false">
      <c r="A2452" s="112" t="s">
        <v>2595</v>
      </c>
      <c r="C2452" s="90" t="n">
        <f aca="false">92*0.6</f>
        <v>55.2</v>
      </c>
      <c r="D2452" s="90" t="s">
        <v>163</v>
      </c>
    </row>
    <row r="2453" customFormat="false" ht="17.6" hidden="false" customHeight="false" outlineLevel="0" collapsed="false">
      <c r="A2453" s="112" t="s">
        <v>2596</v>
      </c>
      <c r="C2453" s="90" t="n">
        <f aca="false">65*0.6</f>
        <v>39</v>
      </c>
      <c r="D2453" s="90" t="s">
        <v>163</v>
      </c>
    </row>
    <row r="2454" customFormat="false" ht="17.6" hidden="false" customHeight="false" outlineLevel="0" collapsed="false">
      <c r="A2454" s="91" t="s">
        <v>2597</v>
      </c>
      <c r="B2454" s="90" t="s">
        <v>162</v>
      </c>
      <c r="C2454" s="90" t="n">
        <f aca="false">350*0.7</f>
        <v>245</v>
      </c>
      <c r="D2454" s="90" t="s">
        <v>163</v>
      </c>
    </row>
    <row r="2455" customFormat="false" ht="17.6" hidden="false" customHeight="false" outlineLevel="0" collapsed="false">
      <c r="A2455" s="91" t="s">
        <v>2598</v>
      </c>
      <c r="B2455" s="90" t="s">
        <v>162</v>
      </c>
      <c r="C2455" s="90" t="n">
        <f aca="false">320*0.7</f>
        <v>224</v>
      </c>
      <c r="D2455" s="90" t="s">
        <v>163</v>
      </c>
    </row>
    <row r="2456" customFormat="false" ht="17.6" hidden="false" customHeight="false" outlineLevel="0" collapsed="false">
      <c r="A2456" s="91" t="s">
        <v>2599</v>
      </c>
      <c r="B2456" s="90" t="s">
        <v>162</v>
      </c>
      <c r="C2456" s="90" t="n">
        <f aca="false">992*0.6</f>
        <v>595.2</v>
      </c>
      <c r="D2456" s="90" t="s">
        <v>1241</v>
      </c>
    </row>
    <row r="2457" customFormat="false" ht="17.6" hidden="false" customHeight="false" outlineLevel="0" collapsed="false">
      <c r="A2457" s="91" t="s">
        <v>2600</v>
      </c>
      <c r="B2457" s="90" t="s">
        <v>162</v>
      </c>
      <c r="C2457" s="90" t="n">
        <f aca="false">629*0.6</f>
        <v>377.4</v>
      </c>
      <c r="D2457" s="90" t="s">
        <v>1241</v>
      </c>
    </row>
    <row r="2458" customFormat="false" ht="17.6" hidden="false" customHeight="false" outlineLevel="0" collapsed="false">
      <c r="A2458" s="91" t="s">
        <v>2601</v>
      </c>
      <c r="B2458" s="90" t="s">
        <v>162</v>
      </c>
      <c r="C2458" s="90" t="n">
        <f aca="false">466*0.6</f>
        <v>279.6</v>
      </c>
      <c r="D2458" s="90" t="s">
        <v>1241</v>
      </c>
    </row>
    <row r="2459" customFormat="false" ht="17.6" hidden="false" customHeight="false" outlineLevel="0" collapsed="false">
      <c r="A2459" s="91" t="s">
        <v>2602</v>
      </c>
      <c r="B2459" s="90" t="s">
        <v>162</v>
      </c>
      <c r="C2459" s="90" t="n">
        <f aca="false">318*0.6</f>
        <v>190.8</v>
      </c>
      <c r="D2459" s="90" t="s">
        <v>1241</v>
      </c>
    </row>
    <row r="2460" customFormat="false" ht="17.6" hidden="false" customHeight="false" outlineLevel="0" collapsed="false">
      <c r="A2460" s="91" t="s">
        <v>2603</v>
      </c>
      <c r="B2460" s="90" t="s">
        <v>162</v>
      </c>
      <c r="C2460" s="90" t="n">
        <f aca="false">258*0.6</f>
        <v>154.8</v>
      </c>
      <c r="D2460" s="90" t="s">
        <v>1241</v>
      </c>
    </row>
    <row r="2461" customFormat="false" ht="17.6" hidden="false" customHeight="false" outlineLevel="0" collapsed="false">
      <c r="A2461" s="91" t="s">
        <v>2604</v>
      </c>
      <c r="B2461" s="90" t="s">
        <v>162</v>
      </c>
      <c r="C2461" s="90" t="n">
        <f aca="false">206*0.6</f>
        <v>123.6</v>
      </c>
      <c r="D2461" s="90" t="s">
        <v>1241</v>
      </c>
    </row>
    <row r="2462" customFormat="false" ht="17.6" hidden="false" customHeight="false" outlineLevel="0" collapsed="false">
      <c r="A2462" s="91" t="s">
        <v>2605</v>
      </c>
      <c r="B2462" s="90" t="s">
        <v>162</v>
      </c>
      <c r="C2462" s="90" t="n">
        <f aca="false">627*0.35</f>
        <v>219.45</v>
      </c>
      <c r="D2462" s="90" t="s">
        <v>2606</v>
      </c>
    </row>
    <row r="2463" customFormat="false" ht="17.6" hidden="false" customHeight="false" outlineLevel="0" collapsed="false">
      <c r="A2463" s="91" t="s">
        <v>2607</v>
      </c>
      <c r="B2463" s="90" t="s">
        <v>162</v>
      </c>
      <c r="C2463" s="90" t="n">
        <f aca="false">442*0.35</f>
        <v>154.7</v>
      </c>
      <c r="D2463" s="90" t="s">
        <v>2606</v>
      </c>
    </row>
    <row r="2464" customFormat="false" ht="17.6" hidden="false" customHeight="false" outlineLevel="0" collapsed="false">
      <c r="A2464" s="91" t="s">
        <v>2608</v>
      </c>
      <c r="B2464" s="90" t="s">
        <v>49</v>
      </c>
      <c r="C2464" s="90" t="n">
        <f aca="false">ROUND(E2464*G2464+F2464,0)</f>
        <v>14570</v>
      </c>
      <c r="D2464" s="90" t="s">
        <v>163</v>
      </c>
      <c r="E2464" s="90" t="n">
        <v>20800</v>
      </c>
      <c r="F2464" s="90" t="n">
        <f aca="false">600+150+300</f>
        <v>1050</v>
      </c>
      <c r="G2464" s="90" t="n">
        <v>0.65</v>
      </c>
      <c r="H2464" s="90" t="n">
        <f aca="false">240/0.75</f>
        <v>320</v>
      </c>
    </row>
    <row r="2465" customFormat="false" ht="17.6" hidden="false" customHeight="false" outlineLevel="0" collapsed="false">
      <c r="A2465" s="91" t="s">
        <v>2609</v>
      </c>
      <c r="B2465" s="90" t="s">
        <v>49</v>
      </c>
      <c r="C2465" s="90" t="n">
        <f aca="false">ROUND(E2465*G2465+F2465,0)</f>
        <v>27115</v>
      </c>
      <c r="D2465" s="90" t="s">
        <v>163</v>
      </c>
      <c r="E2465" s="90" t="n">
        <v>40100</v>
      </c>
      <c r="F2465" s="90" t="n">
        <f aca="false">600+150+300</f>
        <v>1050</v>
      </c>
      <c r="G2465" s="90" t="n">
        <v>0.65</v>
      </c>
      <c r="H2465" s="90" t="n">
        <f aca="false">240/0.75</f>
        <v>320</v>
      </c>
    </row>
    <row r="2466" customFormat="false" ht="17.6" hidden="false" customHeight="false" outlineLevel="0" collapsed="false">
      <c r="A2466" s="91"/>
    </row>
    <row r="2467" customFormat="false" ht="17.6" hidden="false" customHeight="false" outlineLevel="0" collapsed="false">
      <c r="A2467" s="91" t="s">
        <v>2610</v>
      </c>
      <c r="B2467" s="90" t="s">
        <v>49</v>
      </c>
      <c r="C2467" s="90" t="n">
        <f aca="false">ROUND(E2467*G2467+F2467,0)</f>
        <v>9658</v>
      </c>
      <c r="D2467" s="90" t="s">
        <v>2591</v>
      </c>
      <c r="E2467" s="90" t="n">
        <v>21720</v>
      </c>
      <c r="F2467" s="90" t="n">
        <f aca="false">702+178+524</f>
        <v>1404</v>
      </c>
      <c r="G2467" s="90" t="n">
        <v>0.38</v>
      </c>
    </row>
    <row r="2468" customFormat="false" ht="17.6" hidden="false" customHeight="false" outlineLevel="0" collapsed="false">
      <c r="A2468" s="91" t="s">
        <v>2611</v>
      </c>
      <c r="B2468" s="90" t="s">
        <v>49</v>
      </c>
      <c r="C2468" s="90" t="n">
        <f aca="false">ROUND(E2468*G2468+F2468,0)</f>
        <v>16548</v>
      </c>
      <c r="D2468" s="90" t="s">
        <v>2591</v>
      </c>
      <c r="E2468" s="90" t="n">
        <v>40320</v>
      </c>
      <c r="F2468" s="90" t="n">
        <f aca="false">702+524</f>
        <v>1226</v>
      </c>
      <c r="G2468" s="90" t="n">
        <v>0.38</v>
      </c>
    </row>
    <row r="2469" customFormat="false" ht="17.6" hidden="false" customHeight="false" outlineLevel="0" collapsed="false">
      <c r="A2469" s="91"/>
    </row>
    <row r="2470" customFormat="false" ht="17.6" hidden="false" customHeight="false" outlineLevel="0" collapsed="false">
      <c r="A2470" s="91" t="s">
        <v>2612</v>
      </c>
      <c r="B2470" s="90" t="s">
        <v>49</v>
      </c>
      <c r="C2470" s="90" t="n">
        <f aca="false">ROUND(E2470*G2470+F2470,0)</f>
        <v>8856</v>
      </c>
      <c r="D2470" s="90" t="s">
        <v>1241</v>
      </c>
      <c r="E2470" s="90" t="n">
        <v>20162</v>
      </c>
      <c r="F2470" s="90" t="n">
        <f aca="false">575+650/3</f>
        <v>791.666666666667</v>
      </c>
      <c r="G2470" s="90" t="n">
        <v>0.4</v>
      </c>
    </row>
    <row r="2471" customFormat="false" ht="17.6" hidden="false" customHeight="false" outlineLevel="0" collapsed="false">
      <c r="A2471" s="91" t="s">
        <v>2613</v>
      </c>
      <c r="B2471" s="90" t="s">
        <v>49</v>
      </c>
      <c r="C2471" s="90" t="n">
        <f aca="false">ROUND(E2471*G2471+F2471,0)</f>
        <v>9168</v>
      </c>
      <c r="D2471" s="90" t="s">
        <v>1241</v>
      </c>
      <c r="E2471" s="90" t="n">
        <v>20942</v>
      </c>
      <c r="F2471" s="90" t="n">
        <f aca="false">575+650/3</f>
        <v>791.666666666667</v>
      </c>
      <c r="G2471" s="90" t="n">
        <v>0.4</v>
      </c>
    </row>
    <row r="2472" customFormat="false" ht="17.6" hidden="false" customHeight="false" outlineLevel="0" collapsed="false">
      <c r="A2472" s="91" t="s">
        <v>2614</v>
      </c>
      <c r="B2472" s="90" t="s">
        <v>49</v>
      </c>
      <c r="C2472" s="90" t="n">
        <f aca="false">ROUND(E2472*G2472+F2472,0)</f>
        <v>16195</v>
      </c>
      <c r="D2472" s="90" t="s">
        <v>1241</v>
      </c>
      <c r="E2472" s="90" t="n">
        <v>38509</v>
      </c>
      <c r="F2472" s="90" t="n">
        <f aca="false">575+650/3</f>
        <v>791.666666666667</v>
      </c>
      <c r="G2472" s="90" t="n">
        <v>0.4</v>
      </c>
    </row>
    <row r="2473" customFormat="false" ht="17.6" hidden="false" customHeight="false" outlineLevel="0" collapsed="false">
      <c r="A2473" s="91"/>
    </row>
    <row r="2474" customFormat="false" ht="17.6" hidden="false" customHeight="false" outlineLevel="0" collapsed="false">
      <c r="A2474" s="91" t="s">
        <v>2615</v>
      </c>
      <c r="B2474" s="90" t="s">
        <v>49</v>
      </c>
      <c r="C2474" s="90" t="n">
        <f aca="false">ROUND(E2474*G2474+F2474,0)</f>
        <v>26618</v>
      </c>
      <c r="D2474" s="90" t="s">
        <v>1241</v>
      </c>
      <c r="E2474" s="90" t="n">
        <v>64567</v>
      </c>
      <c r="F2474" s="90" t="n">
        <f aca="false">575+650/3</f>
        <v>791.666666666667</v>
      </c>
      <c r="G2474" s="90" t="n">
        <v>0.4</v>
      </c>
    </row>
    <row r="2475" customFormat="false" ht="17.6" hidden="false" customHeight="false" outlineLevel="0" collapsed="false">
      <c r="A2475" s="91" t="s">
        <v>2616</v>
      </c>
      <c r="B2475" s="90" t="s">
        <v>49</v>
      </c>
      <c r="C2475" s="90" t="n">
        <f aca="false">ROUND(E2475*G2475+F2475,0)</f>
        <v>13827</v>
      </c>
      <c r="D2475" s="90" t="s">
        <v>1241</v>
      </c>
      <c r="E2475" s="90" t="n">
        <v>32588</v>
      </c>
      <c r="F2475" s="90" t="n">
        <f aca="false">575+650/3</f>
        <v>791.666666666667</v>
      </c>
      <c r="G2475" s="90" t="n">
        <v>0.4</v>
      </c>
    </row>
    <row r="2476" customFormat="false" ht="17.6" hidden="false" customHeight="false" outlineLevel="0" collapsed="false">
      <c r="A2476" s="91" t="s">
        <v>2617</v>
      </c>
      <c r="B2476" s="90" t="s">
        <v>49</v>
      </c>
      <c r="C2476" s="90" t="n">
        <f aca="false">ROUND(E2476*G2476+F2476,0)</f>
        <v>9168</v>
      </c>
      <c r="D2476" s="90" t="s">
        <v>1241</v>
      </c>
      <c r="E2476" s="90" t="n">
        <v>20942</v>
      </c>
      <c r="F2476" s="90" t="n">
        <f aca="false">575+650/3</f>
        <v>791.666666666667</v>
      </c>
      <c r="G2476" s="90" t="n">
        <v>0.4</v>
      </c>
    </row>
    <row r="2477" customFormat="false" ht="17.6" hidden="false" customHeight="false" outlineLevel="0" collapsed="false">
      <c r="A2477" s="91"/>
    </row>
    <row r="2478" customFormat="false" ht="17.6" hidden="false" customHeight="false" outlineLevel="0" collapsed="false">
      <c r="A2478" s="91"/>
    </row>
    <row r="2479" customFormat="false" ht="17.6" hidden="false" customHeight="false" outlineLevel="0" collapsed="false">
      <c r="A2479" s="91" t="s">
        <v>2618</v>
      </c>
      <c r="C2479" s="90" t="n">
        <f aca="false">ROUND(E2479*G2479+F2479,0)</f>
        <v>352</v>
      </c>
      <c r="D2479" s="90" t="s">
        <v>1241</v>
      </c>
      <c r="E2479" s="90" t="n">
        <v>508</v>
      </c>
      <c r="F2479" s="90" t="n">
        <f aca="false">71+78</f>
        <v>149</v>
      </c>
      <c r="G2479" s="90" t="n">
        <v>0.4</v>
      </c>
    </row>
    <row r="2480" customFormat="false" ht="17.6" hidden="false" customHeight="false" outlineLevel="0" collapsed="false">
      <c r="A2480" s="91" t="s">
        <v>2619</v>
      </c>
      <c r="C2480" s="90" t="n">
        <f aca="false">ROUND(E2480*G2480+F2480,0)</f>
        <v>352</v>
      </c>
      <c r="D2480" s="90" t="s">
        <v>1241</v>
      </c>
      <c r="E2480" s="90" t="n">
        <v>508</v>
      </c>
      <c r="F2480" s="90" t="n">
        <f aca="false">71+78</f>
        <v>149</v>
      </c>
      <c r="G2480" s="90" t="n">
        <v>0.4</v>
      </c>
    </row>
    <row r="2481" customFormat="false" ht="17.6" hidden="false" customHeight="false" outlineLevel="0" collapsed="false">
      <c r="A2481" s="91" t="s">
        <v>2620</v>
      </c>
      <c r="C2481" s="90" t="n">
        <f aca="false">ROUND(E2481*G2481+F2481,0)</f>
        <v>352</v>
      </c>
      <c r="D2481" s="90" t="s">
        <v>1241</v>
      </c>
      <c r="E2481" s="90" t="n">
        <v>508</v>
      </c>
      <c r="F2481" s="90" t="n">
        <f aca="false">71+78</f>
        <v>149</v>
      </c>
      <c r="G2481" s="90" t="n">
        <v>0.4</v>
      </c>
    </row>
    <row r="2482" customFormat="false" ht="17.6" hidden="false" customHeight="false" outlineLevel="0" collapsed="false">
      <c r="A2482" s="91" t="s">
        <v>2621</v>
      </c>
      <c r="C2482" s="90" t="n">
        <f aca="false">ROUND(E2482*G2482+F2482,0)</f>
        <v>352</v>
      </c>
      <c r="D2482" s="90" t="s">
        <v>1241</v>
      </c>
      <c r="E2482" s="90" t="n">
        <v>508</v>
      </c>
      <c r="F2482" s="90" t="n">
        <f aca="false">71+78</f>
        <v>149</v>
      </c>
      <c r="G2482" s="90" t="n">
        <v>0.4</v>
      </c>
    </row>
    <row r="2483" customFormat="false" ht="17.6" hidden="false" customHeight="false" outlineLevel="0" collapsed="false">
      <c r="A2483" s="91" t="s">
        <v>2622</v>
      </c>
      <c r="C2483" s="90" t="n">
        <f aca="false">ROUND(E2483*G2483+F2483,0)</f>
        <v>352</v>
      </c>
      <c r="D2483" s="90" t="s">
        <v>1241</v>
      </c>
      <c r="E2483" s="90" t="n">
        <v>508</v>
      </c>
      <c r="F2483" s="90" t="n">
        <f aca="false">71+78</f>
        <v>149</v>
      </c>
      <c r="G2483" s="90" t="n">
        <v>0.4</v>
      </c>
    </row>
    <row r="2484" customFormat="false" ht="17.6" hidden="false" customHeight="false" outlineLevel="0" collapsed="false">
      <c r="A2484" s="91" t="s">
        <v>2623</v>
      </c>
      <c r="C2484" s="90" t="n">
        <f aca="false">ROUND(E2484*G2484+F2484,0)</f>
        <v>423</v>
      </c>
      <c r="D2484" s="90" t="s">
        <v>1241</v>
      </c>
      <c r="E2484" s="90" t="n">
        <v>636</v>
      </c>
      <c r="F2484" s="90" t="n">
        <f aca="false">80+89</f>
        <v>169</v>
      </c>
      <c r="G2484" s="90" t="n">
        <v>0.4</v>
      </c>
    </row>
    <row r="2485" customFormat="false" ht="17.6" hidden="false" customHeight="false" outlineLevel="0" collapsed="false">
      <c r="A2485" s="91" t="s">
        <v>2624</v>
      </c>
      <c r="C2485" s="90" t="n">
        <f aca="false">ROUND(E2485*G2485+F2485,0)</f>
        <v>423</v>
      </c>
      <c r="D2485" s="90" t="s">
        <v>1241</v>
      </c>
      <c r="E2485" s="90" t="n">
        <v>636</v>
      </c>
      <c r="F2485" s="90" t="n">
        <f aca="false">80+89</f>
        <v>169</v>
      </c>
      <c r="G2485" s="90" t="n">
        <v>0.4</v>
      </c>
    </row>
    <row r="2486" customFormat="false" ht="17.6" hidden="false" customHeight="false" outlineLevel="0" collapsed="false">
      <c r="A2486" s="91" t="s">
        <v>2625</v>
      </c>
      <c r="C2486" s="90" t="n">
        <f aca="false">ROUND(E2486*G2486+F2486,0)</f>
        <v>423</v>
      </c>
      <c r="D2486" s="90" t="s">
        <v>1241</v>
      </c>
      <c r="E2486" s="90" t="n">
        <v>636</v>
      </c>
      <c r="F2486" s="90" t="n">
        <f aca="false">80+89</f>
        <v>169</v>
      </c>
      <c r="G2486" s="90" t="n">
        <v>0.4</v>
      </c>
    </row>
    <row r="2487" customFormat="false" ht="17.6" hidden="false" customHeight="false" outlineLevel="0" collapsed="false">
      <c r="A2487" s="91" t="s">
        <v>2626</v>
      </c>
      <c r="C2487" s="90" t="n">
        <f aca="false">ROUND(E2487*G2487+F2487,0)</f>
        <v>423</v>
      </c>
      <c r="D2487" s="90" t="s">
        <v>1241</v>
      </c>
      <c r="E2487" s="90" t="n">
        <v>636</v>
      </c>
      <c r="F2487" s="90" t="n">
        <f aca="false">80+89</f>
        <v>169</v>
      </c>
      <c r="G2487" s="90" t="n">
        <v>0.4</v>
      </c>
    </row>
    <row r="2488" customFormat="false" ht="17.6" hidden="false" customHeight="false" outlineLevel="0" collapsed="false">
      <c r="A2488" s="91" t="s">
        <v>2627</v>
      </c>
      <c r="C2488" s="90" t="n">
        <f aca="false">ROUND(E2488*G2488+F2488,0)</f>
        <v>487</v>
      </c>
      <c r="D2488" s="90" t="s">
        <v>1241</v>
      </c>
      <c r="E2488" s="90" t="n">
        <v>795</v>
      </c>
      <c r="F2488" s="90" t="n">
        <f aca="false">80+89</f>
        <v>169</v>
      </c>
      <c r="G2488" s="90" t="n">
        <v>0.4</v>
      </c>
    </row>
    <row r="2489" customFormat="false" ht="17.6" hidden="false" customHeight="false" outlineLevel="0" collapsed="false">
      <c r="A2489" s="91" t="s">
        <v>2628</v>
      </c>
      <c r="C2489" s="90" t="n">
        <f aca="false">ROUND(E2489*G2489+F2489,0)</f>
        <v>676</v>
      </c>
      <c r="D2489" s="90" t="s">
        <v>1241</v>
      </c>
      <c r="E2489" s="90" t="n">
        <v>1051</v>
      </c>
      <c r="F2489" s="90" t="n">
        <f aca="false">111+145</f>
        <v>256</v>
      </c>
      <c r="G2489" s="90" t="n">
        <v>0.4</v>
      </c>
    </row>
    <row r="2490" customFormat="false" ht="17.6" hidden="false" customHeight="false" outlineLevel="0" collapsed="false">
      <c r="A2490" s="91" t="s">
        <v>2629</v>
      </c>
      <c r="C2490" s="90" t="n">
        <f aca="false">ROUND(E2490*G2490+F2490,0)</f>
        <v>676</v>
      </c>
      <c r="D2490" s="90" t="s">
        <v>1241</v>
      </c>
      <c r="E2490" s="90" t="n">
        <v>1051</v>
      </c>
      <c r="F2490" s="90" t="n">
        <f aca="false">111+145</f>
        <v>256</v>
      </c>
      <c r="G2490" s="90" t="n">
        <v>0.4</v>
      </c>
    </row>
    <row r="2491" customFormat="false" ht="17.6" hidden="false" customHeight="false" outlineLevel="0" collapsed="false">
      <c r="A2491" s="91" t="s">
        <v>2630</v>
      </c>
      <c r="C2491" s="90" t="n">
        <f aca="false">ROUND(E2491*G2491+F2491,0)</f>
        <v>676</v>
      </c>
      <c r="D2491" s="90" t="s">
        <v>1241</v>
      </c>
      <c r="E2491" s="90" t="n">
        <v>1051</v>
      </c>
      <c r="F2491" s="90" t="n">
        <f aca="false">111+145</f>
        <v>256</v>
      </c>
      <c r="G2491" s="90" t="n">
        <v>0.4</v>
      </c>
    </row>
    <row r="2492" customFormat="false" ht="17.6" hidden="false" customHeight="false" outlineLevel="0" collapsed="false">
      <c r="A2492" s="91" t="s">
        <v>2631</v>
      </c>
      <c r="C2492" s="90" t="n">
        <f aca="false">ROUND(E2492*G2492+F2492,0)</f>
        <v>1739</v>
      </c>
      <c r="D2492" s="90" t="s">
        <v>1241</v>
      </c>
      <c r="E2492" s="90" t="n">
        <v>1409</v>
      </c>
      <c r="F2492" s="90" t="n">
        <f aca="false">111+145+919</f>
        <v>1175</v>
      </c>
      <c r="G2492" s="90" t="n">
        <v>0.4</v>
      </c>
    </row>
    <row r="2493" customFormat="false" ht="17.6" hidden="false" customHeight="false" outlineLevel="0" collapsed="false">
      <c r="A2493" s="91" t="s">
        <v>2632</v>
      </c>
      <c r="C2493" s="90" t="n">
        <f aca="false">ROUND(E2493*G2493+F2493,0)</f>
        <v>1739</v>
      </c>
      <c r="D2493" s="90" t="s">
        <v>1241</v>
      </c>
      <c r="E2493" s="90" t="n">
        <v>1409</v>
      </c>
      <c r="F2493" s="90" t="n">
        <f aca="false">111+145+919</f>
        <v>1175</v>
      </c>
      <c r="G2493" s="90" t="n">
        <v>0.4</v>
      </c>
    </row>
    <row r="2494" customFormat="false" ht="17.6" hidden="false" customHeight="false" outlineLevel="0" collapsed="false">
      <c r="A2494" s="91"/>
    </row>
    <row r="2495" customFormat="false" ht="17.6" hidden="false" customHeight="false" outlineLevel="0" collapsed="false">
      <c r="A2495" s="91" t="s">
        <v>2633</v>
      </c>
      <c r="C2495" s="90" t="n">
        <f aca="false">ROUND(E2495*G2495+F2495,0)</f>
        <v>242</v>
      </c>
      <c r="D2495" s="90" t="s">
        <v>2591</v>
      </c>
      <c r="E2495" s="90" t="n">
        <v>317</v>
      </c>
      <c r="F2495" s="90" t="n">
        <f aca="false">39+83</f>
        <v>122</v>
      </c>
      <c r="G2495" s="90" t="n">
        <v>0.38</v>
      </c>
    </row>
    <row r="2496" customFormat="false" ht="17.6" hidden="false" customHeight="false" outlineLevel="0" collapsed="false">
      <c r="A2496" s="91" t="s">
        <v>2634</v>
      </c>
      <c r="C2496" s="90" t="n">
        <f aca="false">ROUND(E2496*G2496+F2496,0)</f>
        <v>242</v>
      </c>
      <c r="D2496" s="90" t="s">
        <v>2591</v>
      </c>
      <c r="E2496" s="90" t="n">
        <v>317</v>
      </c>
      <c r="F2496" s="90" t="n">
        <f aca="false">39+83</f>
        <v>122</v>
      </c>
      <c r="G2496" s="90" t="n">
        <v>0.38</v>
      </c>
    </row>
    <row r="2497" customFormat="false" ht="17.6" hidden="false" customHeight="false" outlineLevel="0" collapsed="false">
      <c r="A2497" s="91" t="s">
        <v>2635</v>
      </c>
      <c r="C2497" s="90" t="n">
        <f aca="false">ROUND(E2497*G2497+F2497,0)</f>
        <v>242</v>
      </c>
      <c r="D2497" s="90" t="s">
        <v>2591</v>
      </c>
      <c r="E2497" s="90" t="n">
        <v>317</v>
      </c>
      <c r="F2497" s="90" t="n">
        <f aca="false">39+83</f>
        <v>122</v>
      </c>
      <c r="G2497" s="90" t="n">
        <v>0.38</v>
      </c>
    </row>
    <row r="2498" customFormat="false" ht="17.6" hidden="false" customHeight="false" outlineLevel="0" collapsed="false">
      <c r="A2498" s="91" t="s">
        <v>2636</v>
      </c>
      <c r="C2498" s="90" t="n">
        <f aca="false">ROUND(E2498*G2498+F2498,0)</f>
        <v>242</v>
      </c>
      <c r="D2498" s="90" t="s">
        <v>2591</v>
      </c>
      <c r="E2498" s="90" t="n">
        <v>317</v>
      </c>
      <c r="F2498" s="90" t="n">
        <f aca="false">39+83</f>
        <v>122</v>
      </c>
      <c r="G2498" s="90" t="n">
        <v>0.38</v>
      </c>
    </row>
    <row r="2499" customFormat="false" ht="17.6" hidden="false" customHeight="false" outlineLevel="0" collapsed="false">
      <c r="A2499" s="91" t="s">
        <v>2637</v>
      </c>
      <c r="C2499" s="90" t="n">
        <f aca="false">ROUND(E2499*G2499+F2499,0)</f>
        <v>267</v>
      </c>
      <c r="D2499" s="90" t="s">
        <v>2591</v>
      </c>
      <c r="E2499" s="90" t="n">
        <v>368</v>
      </c>
      <c r="F2499" s="90" t="n">
        <f aca="false">40+87</f>
        <v>127</v>
      </c>
      <c r="G2499" s="90" t="n">
        <v>0.38</v>
      </c>
    </row>
    <row r="2500" customFormat="false" ht="17.6" hidden="false" customHeight="false" outlineLevel="0" collapsed="false">
      <c r="A2500" s="91" t="s">
        <v>2638</v>
      </c>
      <c r="C2500" s="90" t="n">
        <f aca="false">ROUND(E2500*G2500+F2500,0)</f>
        <v>387</v>
      </c>
      <c r="D2500" s="90" t="s">
        <v>2591</v>
      </c>
      <c r="E2500" s="90" t="n">
        <v>646</v>
      </c>
      <c r="F2500" s="90" t="n">
        <f aca="false">44+98</f>
        <v>142</v>
      </c>
      <c r="G2500" s="90" t="n">
        <v>0.38</v>
      </c>
    </row>
    <row r="2501" customFormat="false" ht="17.6" hidden="false" customHeight="false" outlineLevel="0" collapsed="false">
      <c r="A2501" s="91" t="s">
        <v>2639</v>
      </c>
      <c r="C2501" s="90" t="n">
        <f aca="false">ROUND(E2501*G2501+F2501,0)</f>
        <v>387</v>
      </c>
      <c r="D2501" s="90" t="s">
        <v>2591</v>
      </c>
      <c r="E2501" s="90" t="n">
        <v>646</v>
      </c>
      <c r="F2501" s="90" t="n">
        <f aca="false">44+98</f>
        <v>142</v>
      </c>
      <c r="G2501" s="90" t="n">
        <v>0.38</v>
      </c>
    </row>
    <row r="2502" customFormat="false" ht="17.6" hidden="false" customHeight="false" outlineLevel="0" collapsed="false">
      <c r="A2502" s="91" t="s">
        <v>2640</v>
      </c>
      <c r="C2502" s="90" t="n">
        <f aca="false">ROUND(E2502*G2502+F2502,0)</f>
        <v>432</v>
      </c>
      <c r="D2502" s="90" t="s">
        <v>2591</v>
      </c>
      <c r="E2502" s="90" t="n">
        <v>763</v>
      </c>
      <c r="F2502" s="90" t="n">
        <f aca="false">44+98</f>
        <v>142</v>
      </c>
      <c r="G2502" s="90" t="n">
        <v>0.38</v>
      </c>
    </row>
    <row r="2503" customFormat="false" ht="17.6" hidden="false" customHeight="false" outlineLevel="0" collapsed="false">
      <c r="A2503" s="91" t="s">
        <v>2641</v>
      </c>
      <c r="C2503" s="90" t="n">
        <f aca="false">ROUND(E2503*G2503+F2503,0)</f>
        <v>432</v>
      </c>
      <c r="D2503" s="90" t="s">
        <v>2591</v>
      </c>
      <c r="E2503" s="90" t="n">
        <v>763</v>
      </c>
      <c r="F2503" s="90" t="n">
        <f aca="false">44+98</f>
        <v>142</v>
      </c>
      <c r="G2503" s="90" t="n">
        <v>0.38</v>
      </c>
    </row>
    <row r="2504" customFormat="false" ht="17.6" hidden="false" customHeight="false" outlineLevel="0" collapsed="false">
      <c r="A2504" s="91" t="s">
        <v>2642</v>
      </c>
      <c r="C2504" s="90" t="n">
        <f aca="false">ROUND(E2504*G2504+F2504,0)</f>
        <v>635</v>
      </c>
      <c r="D2504" s="90" t="s">
        <v>2591</v>
      </c>
      <c r="E2504" s="90" t="n">
        <v>1114</v>
      </c>
      <c r="F2504" s="90" t="n">
        <f aca="false">60+152</f>
        <v>212</v>
      </c>
      <c r="G2504" s="90" t="n">
        <v>0.38</v>
      </c>
    </row>
    <row r="2505" customFormat="false" ht="17.6" hidden="false" customHeight="false" outlineLevel="0" collapsed="false">
      <c r="A2505" s="91" t="s">
        <v>2643</v>
      </c>
      <c r="C2505" s="90" t="n">
        <f aca="false">ROUND(E2505*G2505+F2505,0)</f>
        <v>635</v>
      </c>
      <c r="D2505" s="90" t="s">
        <v>2591</v>
      </c>
      <c r="E2505" s="90" t="n">
        <v>1114</v>
      </c>
      <c r="F2505" s="90" t="n">
        <f aca="false">60+152</f>
        <v>212</v>
      </c>
      <c r="G2505" s="90" t="n">
        <v>0.38</v>
      </c>
    </row>
    <row r="2506" customFormat="false" ht="17.6" hidden="false" customHeight="false" outlineLevel="0" collapsed="false">
      <c r="A2506" s="91" t="s">
        <v>2644</v>
      </c>
      <c r="C2506" s="90" t="n">
        <f aca="false">ROUND(E2506*G2506+F2506,0)</f>
        <v>635</v>
      </c>
      <c r="D2506" s="90" t="s">
        <v>2591</v>
      </c>
      <c r="E2506" s="90" t="n">
        <v>1114</v>
      </c>
      <c r="F2506" s="90" t="n">
        <f aca="false">60+152</f>
        <v>212</v>
      </c>
      <c r="G2506" s="90" t="n">
        <v>0.38</v>
      </c>
    </row>
    <row r="2507" customFormat="false" ht="17.6" hidden="false" customHeight="false" outlineLevel="0" collapsed="false">
      <c r="A2507" s="91" t="s">
        <v>2645</v>
      </c>
      <c r="C2507" s="90" t="n">
        <f aca="false">ROUND(E2507*G2507+F2507,0)</f>
        <v>1529</v>
      </c>
      <c r="D2507" s="90" t="s">
        <v>2591</v>
      </c>
      <c r="E2507" s="90" t="n">
        <v>1526</v>
      </c>
      <c r="F2507" s="90" t="n">
        <f aca="false">60+152+737</f>
        <v>949</v>
      </c>
      <c r="G2507" s="90" t="n">
        <v>0.38</v>
      </c>
    </row>
    <row r="2508" customFormat="false" ht="17.6" hidden="false" customHeight="false" outlineLevel="0" collapsed="false">
      <c r="A2508" s="91" t="s">
        <v>2646</v>
      </c>
      <c r="C2508" s="90" t="n">
        <f aca="false">ROUND(E2508*G2508+F2508,0)</f>
        <v>1529</v>
      </c>
      <c r="D2508" s="90" t="s">
        <v>2591</v>
      </c>
      <c r="E2508" s="90" t="n">
        <v>1526</v>
      </c>
      <c r="F2508" s="90" t="n">
        <f aca="false">60+152+737</f>
        <v>949</v>
      </c>
      <c r="G2508" s="90" t="n">
        <v>0.38</v>
      </c>
    </row>
    <row r="2509" customFormat="false" ht="17.6" hidden="false" customHeight="false" outlineLevel="0" collapsed="false">
      <c r="A2509" s="91"/>
    </row>
    <row r="2510" customFormat="false" ht="17.6" hidden="false" customHeight="false" outlineLevel="0" collapsed="false">
      <c r="A2510" s="91"/>
    </row>
    <row r="2511" customFormat="false" ht="17.6" hidden="false" customHeight="false" outlineLevel="0" collapsed="false">
      <c r="A2511" s="91"/>
    </row>
    <row r="2512" customFormat="false" ht="17.6" hidden="false" customHeight="false" outlineLevel="0" collapsed="false">
      <c r="A2512" s="91"/>
    </row>
    <row r="2513" customFormat="false" ht="17.6" hidden="false" customHeight="false" outlineLevel="0" collapsed="false">
      <c r="A2513" s="91"/>
    </row>
    <row r="2514" customFormat="false" ht="17.6" hidden="false" customHeight="false" outlineLevel="0" collapsed="false">
      <c r="A2514" s="91"/>
    </row>
    <row r="2515" customFormat="false" ht="17.6" hidden="false" customHeight="false" outlineLevel="0" collapsed="false">
      <c r="A2515" s="91"/>
    </row>
    <row r="2516" customFormat="false" ht="17.6" hidden="false" customHeight="false" outlineLevel="0" collapsed="false">
      <c r="A2516" s="91" t="s">
        <v>2647</v>
      </c>
      <c r="B2516" s="90" t="s">
        <v>145</v>
      </c>
      <c r="C2516" s="90" t="n">
        <v>400</v>
      </c>
      <c r="D2516" s="90" t="s">
        <v>2648</v>
      </c>
    </row>
    <row r="2517" customFormat="false" ht="17.6" hidden="false" customHeight="false" outlineLevel="0" collapsed="false">
      <c r="A2517" s="91" t="s">
        <v>2649</v>
      </c>
      <c r="B2517" s="90" t="s">
        <v>145</v>
      </c>
      <c r="C2517" s="90" t="n">
        <v>350</v>
      </c>
      <c r="D2517" s="90" t="s">
        <v>2650</v>
      </c>
    </row>
    <row r="2518" customFormat="false" ht="17.6" hidden="false" customHeight="false" outlineLevel="0" collapsed="false">
      <c r="A2518" s="113" t="s">
        <v>2651</v>
      </c>
      <c r="C2518" s="90" t="n">
        <f aca="false">101*0.6</f>
        <v>60.6</v>
      </c>
      <c r="D2518" s="90" t="s">
        <v>1241</v>
      </c>
    </row>
    <row r="2519" customFormat="false" ht="17.6" hidden="false" customHeight="false" outlineLevel="0" collapsed="false">
      <c r="A2519" s="113" t="s">
        <v>2652</v>
      </c>
      <c r="C2519" s="90" t="n">
        <f aca="false">70*0.6</f>
        <v>42</v>
      </c>
      <c r="D2519" s="90" t="s">
        <v>1241</v>
      </c>
    </row>
    <row r="2520" customFormat="false" ht="17.6" hidden="false" customHeight="false" outlineLevel="0" collapsed="false">
      <c r="A2520" s="71" t="s">
        <v>2653</v>
      </c>
      <c r="C2520" s="90" t="n">
        <f aca="false">127*0.6</f>
        <v>76.2</v>
      </c>
      <c r="D2520" s="90" t="s">
        <v>1241</v>
      </c>
    </row>
    <row r="2521" customFormat="false" ht="17.6" hidden="false" customHeight="false" outlineLevel="0" collapsed="false">
      <c r="A2521" s="71" t="s">
        <v>2654</v>
      </c>
      <c r="C2521" s="90" t="n">
        <f aca="false">171*0.6</f>
        <v>102.6</v>
      </c>
      <c r="D2521" s="90" t="s">
        <v>1241</v>
      </c>
    </row>
    <row r="2522" customFormat="false" ht="17.6" hidden="false" customHeight="false" outlineLevel="0" collapsed="false">
      <c r="A2522" s="91"/>
    </row>
    <row r="2523" customFormat="false" ht="17.6" hidden="false" customHeight="false" outlineLevel="0" collapsed="false">
      <c r="A2523" s="91" t="s">
        <v>2655</v>
      </c>
      <c r="C2523" s="90" t="n">
        <v>2800</v>
      </c>
      <c r="D2523" s="90" t="s">
        <v>2479</v>
      </c>
    </row>
    <row r="2524" customFormat="false" ht="17.6" hidden="false" customHeight="false" outlineLevel="0" collapsed="false">
      <c r="A2524" s="91" t="s">
        <v>2656</v>
      </c>
      <c r="C2524" s="90" t="n">
        <v>2800</v>
      </c>
      <c r="D2524" s="90" t="s">
        <v>2479</v>
      </c>
    </row>
    <row r="2525" customFormat="false" ht="17.6" hidden="false" customHeight="false" outlineLevel="0" collapsed="false">
      <c r="A2525" s="91" t="s">
        <v>2657</v>
      </c>
      <c r="C2525" s="90" t="n">
        <v>300</v>
      </c>
      <c r="D2525" s="90" t="s">
        <v>2479</v>
      </c>
    </row>
    <row r="2526" customFormat="false" ht="17.6" hidden="false" customHeight="false" outlineLevel="0" collapsed="false">
      <c r="A2526" s="91" t="s">
        <v>58</v>
      </c>
      <c r="C2526" s="90" t="n">
        <v>280</v>
      </c>
      <c r="D2526" s="90" t="s">
        <v>2479</v>
      </c>
    </row>
    <row r="2527" customFormat="false" ht="17.6" hidden="false" customHeight="false" outlineLevel="0" collapsed="false">
      <c r="A2527" s="91"/>
    </row>
    <row r="2528" customFormat="false" ht="17.6" hidden="false" customHeight="false" outlineLevel="0" collapsed="false">
      <c r="A2528" s="91" t="s">
        <v>2658</v>
      </c>
      <c r="C2528" s="90" t="n">
        <v>2350</v>
      </c>
      <c r="D2528" s="90" t="s">
        <v>2659</v>
      </c>
    </row>
    <row r="2529" customFormat="false" ht="17.6" hidden="false" customHeight="false" outlineLevel="0" collapsed="false">
      <c r="A2529" s="91" t="s">
        <v>2660</v>
      </c>
      <c r="C2529" s="90" t="n">
        <v>2350</v>
      </c>
      <c r="D2529" s="90" t="s">
        <v>2659</v>
      </c>
    </row>
    <row r="2530" customFormat="false" ht="17.6" hidden="false" customHeight="false" outlineLevel="0" collapsed="false">
      <c r="A2530" s="91" t="s">
        <v>2661</v>
      </c>
      <c r="C2530" s="90" t="n">
        <v>240</v>
      </c>
      <c r="D2530" s="90" t="s">
        <v>2659</v>
      </c>
    </row>
    <row r="2531" customFormat="false" ht="17.6" hidden="false" customHeight="false" outlineLevel="0" collapsed="false">
      <c r="A2531" s="91" t="s">
        <v>2662</v>
      </c>
      <c r="C2531" s="90" t="n">
        <v>240</v>
      </c>
      <c r="D2531" s="90" t="s">
        <v>2659</v>
      </c>
    </row>
    <row r="2532" customFormat="false" ht="17.6" hidden="false" customHeight="false" outlineLevel="0" collapsed="false">
      <c r="A2532" s="91"/>
    </row>
    <row r="2533" customFormat="false" ht="17.6" hidden="false" customHeight="false" outlineLevel="0" collapsed="false">
      <c r="A2533" s="91" t="s">
        <v>2663</v>
      </c>
      <c r="C2533" s="90" t="n">
        <v>1250</v>
      </c>
      <c r="D2533" s="90" t="s">
        <v>2664</v>
      </c>
      <c r="E2533" s="90" t="n">
        <f aca="false">C2533*2+C2534*4</f>
        <v>9940</v>
      </c>
    </row>
    <row r="2534" customFormat="false" ht="17.6" hidden="false" customHeight="false" outlineLevel="0" collapsed="false">
      <c r="A2534" s="91" t="s">
        <v>2665</v>
      </c>
      <c r="C2534" s="90" t="n">
        <v>1860</v>
      </c>
      <c r="D2534" s="90" t="s">
        <v>2664</v>
      </c>
      <c r="E2534" s="90" t="n">
        <f aca="false">C2534*5</f>
        <v>9300</v>
      </c>
      <c r="F2534" s="90" t="n">
        <f aca="false">80*9+40*2</f>
        <v>800</v>
      </c>
    </row>
    <row r="2535" customFormat="false" ht="17.6" hidden="false" customHeight="false" outlineLevel="0" collapsed="false">
      <c r="A2535" s="91" t="s">
        <v>2666</v>
      </c>
      <c r="C2535" s="90" t="n">
        <v>800</v>
      </c>
      <c r="D2535" s="90" t="s">
        <v>2664</v>
      </c>
    </row>
    <row r="2536" customFormat="false" ht="17.6" hidden="false" customHeight="false" outlineLevel="0" collapsed="false">
      <c r="A2536" s="91"/>
    </row>
    <row r="2537" customFormat="false" ht="17.6" hidden="false" customHeight="false" outlineLevel="0" collapsed="false">
      <c r="A2537" s="91" t="s">
        <v>2667</v>
      </c>
      <c r="C2537" s="90" t="n">
        <f aca="false">240+620</f>
        <v>860</v>
      </c>
      <c r="D2537" s="90" t="s">
        <v>146</v>
      </c>
      <c r="E2537" s="90" t="n">
        <f aca="false">C2540*20</f>
        <v>22300</v>
      </c>
      <c r="F2537" s="90" t="n">
        <f aca="false">45*20</f>
        <v>900</v>
      </c>
      <c r="H2537" s="90" t="n">
        <f aca="false">30</f>
        <v>30</v>
      </c>
    </row>
    <row r="2538" customFormat="false" ht="17.6" hidden="false" customHeight="false" outlineLevel="0" collapsed="false">
      <c r="A2538" s="91" t="s">
        <v>2668</v>
      </c>
      <c r="C2538" s="90" t="n">
        <f aca="false">320+815</f>
        <v>1135</v>
      </c>
      <c r="D2538" s="90" t="s">
        <v>146</v>
      </c>
      <c r="H2538" s="90" t="n">
        <f aca="false">30</f>
        <v>30</v>
      </c>
    </row>
    <row r="2539" customFormat="false" ht="17.6" hidden="false" customHeight="false" outlineLevel="0" collapsed="false">
      <c r="A2539" s="91" t="s">
        <v>2669</v>
      </c>
      <c r="B2539" s="90" t="s">
        <v>145</v>
      </c>
      <c r="C2539" s="90" t="n">
        <v>300</v>
      </c>
      <c r="D2539" s="90" t="s">
        <v>146</v>
      </c>
      <c r="H2539" s="90" t="n">
        <v>40</v>
      </c>
      <c r="I2539" s="90" t="n">
        <f aca="false">H2539*6+H2538*3</f>
        <v>330</v>
      </c>
    </row>
    <row r="2540" customFormat="false" ht="17.6" hidden="false" customHeight="false" outlineLevel="0" collapsed="false">
      <c r="A2540" s="91" t="s">
        <v>2670</v>
      </c>
      <c r="C2540" s="90" t="n">
        <f aca="false">300+815</f>
        <v>1115</v>
      </c>
      <c r="D2540" s="90" t="s">
        <v>146</v>
      </c>
      <c r="H2540" s="90" t="n">
        <f aca="false">30</f>
        <v>30</v>
      </c>
    </row>
    <row r="2541" customFormat="false" ht="17.6" hidden="false" customHeight="false" outlineLevel="0" collapsed="false">
      <c r="A2541" s="91"/>
    </row>
    <row r="2542" customFormat="false" ht="17.6" hidden="false" customHeight="false" outlineLevel="0" collapsed="false">
      <c r="A2542" s="91"/>
    </row>
    <row r="2543" customFormat="false" ht="17.6" hidden="false" customHeight="false" outlineLevel="0" collapsed="false">
      <c r="A2543" s="91" t="s">
        <v>2671</v>
      </c>
      <c r="B2543" s="90" t="s">
        <v>86</v>
      </c>
      <c r="C2543" s="90" t="n">
        <f aca="false">62019*1.06*0.4</f>
        <v>26296.056</v>
      </c>
      <c r="D2543" s="90" t="s">
        <v>159</v>
      </c>
    </row>
    <row r="2544" customFormat="false" ht="17.6" hidden="false" customHeight="false" outlineLevel="0" collapsed="false">
      <c r="A2544" s="91" t="s">
        <v>2672</v>
      </c>
      <c r="B2544" s="90" t="s">
        <v>86</v>
      </c>
      <c r="C2544" s="90" t="n">
        <f aca="false">52079*1.06*0.4</f>
        <v>22081.496</v>
      </c>
      <c r="D2544" s="90" t="s">
        <v>159</v>
      </c>
    </row>
    <row r="2545" customFormat="false" ht="17.6" hidden="false" customHeight="false" outlineLevel="0" collapsed="false">
      <c r="A2545" s="91"/>
    </row>
    <row r="2546" customFormat="false" ht="17.6" hidden="false" customHeight="false" outlineLevel="0" collapsed="false">
      <c r="A2546" s="89" t="s">
        <v>2673</v>
      </c>
      <c r="C2546" s="90" t="n">
        <v>3600</v>
      </c>
      <c r="D2546" s="90" t="s">
        <v>1420</v>
      </c>
    </row>
    <row r="2547" customFormat="false" ht="17.6" hidden="false" customHeight="false" outlineLevel="0" collapsed="false">
      <c r="A2547" s="91"/>
    </row>
    <row r="2548" customFormat="false" ht="17.6" hidden="false" customHeight="false" outlineLevel="0" collapsed="false">
      <c r="A2548" s="91" t="s">
        <v>2674</v>
      </c>
      <c r="C2548" s="90" t="n">
        <v>20000</v>
      </c>
      <c r="D2548" s="90" t="s">
        <v>2675</v>
      </c>
    </row>
    <row r="2549" customFormat="false" ht="17.6" hidden="false" customHeight="false" outlineLevel="0" collapsed="false">
      <c r="A2549" s="91"/>
    </row>
    <row r="2550" customFormat="false" ht="17.6" hidden="false" customHeight="false" outlineLevel="0" collapsed="false">
      <c r="A2550" s="91"/>
    </row>
    <row r="2551" customFormat="false" ht="17.6" hidden="false" customHeight="false" outlineLevel="0" collapsed="false">
      <c r="A2551" s="91" t="s">
        <v>2676</v>
      </c>
      <c r="B2551" s="90" t="s">
        <v>40</v>
      </c>
      <c r="C2551" s="90" t="n">
        <f aca="false">1357.19*0.48</f>
        <v>651.4512</v>
      </c>
      <c r="D2551" s="90" t="s">
        <v>159</v>
      </c>
    </row>
    <row r="2552" customFormat="false" ht="17.6" hidden="false" customHeight="false" outlineLevel="0" collapsed="false">
      <c r="A2552" s="91"/>
    </row>
    <row r="2553" customFormat="false" ht="17.6" hidden="false" customHeight="false" outlineLevel="0" collapsed="false">
      <c r="A2553" s="91"/>
    </row>
    <row r="2554" customFormat="false" ht="17.6" hidden="false" customHeight="false" outlineLevel="0" collapsed="false">
      <c r="A2554" s="91"/>
    </row>
    <row r="2555" customFormat="false" ht="34" hidden="false" customHeight="false" outlineLevel="0" collapsed="false">
      <c r="A2555" s="91" t="s">
        <v>2677</v>
      </c>
      <c r="B2555" s="90" t="s">
        <v>49</v>
      </c>
      <c r="C2555" s="90" t="n">
        <f aca="false">(86799.79+1031.96+1663.57+3447.95)*0.42*1.09</f>
        <v>42549.429006</v>
      </c>
      <c r="D2555" s="90" t="s">
        <v>159</v>
      </c>
    </row>
    <row r="2556" customFormat="false" ht="17.6" hidden="false" customHeight="false" outlineLevel="0" collapsed="false">
      <c r="A2556" s="91" t="s">
        <v>2678</v>
      </c>
      <c r="B2556" s="90" t="s">
        <v>49</v>
      </c>
      <c r="C2556" s="90" t="n">
        <f aca="false">(91087.73+1394.31+4691.26)*0.42*1.09</f>
        <v>44485.93674</v>
      </c>
      <c r="D2556" s="90" t="s">
        <v>159</v>
      </c>
    </row>
    <row r="2557" customFormat="false" ht="17.6" hidden="false" customHeight="false" outlineLevel="0" collapsed="false">
      <c r="A2557" s="91"/>
    </row>
    <row r="2558" customFormat="false" ht="17.6" hidden="false" customHeight="false" outlineLevel="0" collapsed="false">
      <c r="A2558" s="91"/>
    </row>
    <row r="2559" customFormat="false" ht="17.6" hidden="false" customHeight="false" outlineLevel="0" collapsed="false">
      <c r="A2559" s="91" t="s">
        <v>2679</v>
      </c>
      <c r="C2559" s="90" t="n">
        <v>1800</v>
      </c>
      <c r="D2559" s="90" t="s">
        <v>146</v>
      </c>
    </row>
    <row r="2560" customFormat="false" ht="17.6" hidden="false" customHeight="false" outlineLevel="0" collapsed="false">
      <c r="A2560" s="91" t="s">
        <v>2680</v>
      </c>
      <c r="C2560" s="90" t="n">
        <v>300</v>
      </c>
      <c r="D2560" s="90" t="s">
        <v>146</v>
      </c>
    </row>
    <row r="2561" customFormat="false" ht="17.6" hidden="false" customHeight="false" outlineLevel="0" collapsed="false">
      <c r="A2561" s="91"/>
    </row>
    <row r="2562" customFormat="false" ht="17.6" hidden="false" customHeight="false" outlineLevel="0" collapsed="false">
      <c r="A2562" s="91"/>
    </row>
    <row r="2563" customFormat="false" ht="17.6" hidden="false" customHeight="false" outlineLevel="0" collapsed="false">
      <c r="A2563" s="91"/>
    </row>
    <row r="2564" customFormat="false" ht="17.6" hidden="false" customHeight="false" outlineLevel="0" collapsed="false">
      <c r="A2564" s="91"/>
    </row>
    <row r="2565" customFormat="false" ht="17.6" hidden="false" customHeight="false" outlineLevel="0" collapsed="false">
      <c r="A2565" s="91" t="s">
        <v>2681</v>
      </c>
      <c r="B2565" s="90" t="s">
        <v>237</v>
      </c>
      <c r="C2565" s="90" t="n">
        <f aca="false">240.52*0.6</f>
        <v>144.312</v>
      </c>
      <c r="D2565" s="90" t="s">
        <v>159</v>
      </c>
    </row>
    <row r="2566" customFormat="false" ht="17.6" hidden="false" customHeight="false" outlineLevel="0" collapsed="false">
      <c r="A2566" s="91" t="s">
        <v>2682</v>
      </c>
      <c r="B2566" s="90" t="s">
        <v>237</v>
      </c>
      <c r="C2566" s="90" t="n">
        <f aca="false">288.95*0.6</f>
        <v>173.37</v>
      </c>
      <c r="D2566" s="90" t="s">
        <v>159</v>
      </c>
    </row>
    <row r="2567" customFormat="false" ht="17.6" hidden="false" customHeight="false" outlineLevel="0" collapsed="false">
      <c r="A2567" s="91" t="s">
        <v>2683</v>
      </c>
      <c r="C2567" s="90" t="n">
        <f aca="false">384.93*0.6</f>
        <v>230.958</v>
      </c>
      <c r="D2567" s="90" t="s">
        <v>159</v>
      </c>
    </row>
    <row r="2568" customFormat="false" ht="17.6" hidden="false" customHeight="false" outlineLevel="0" collapsed="false">
      <c r="A2568" s="91"/>
    </row>
    <row r="2569" customFormat="false" ht="17.6" hidden="false" customHeight="false" outlineLevel="0" collapsed="false">
      <c r="A2569" s="91"/>
    </row>
    <row r="2570" customFormat="false" ht="17.6" hidden="false" customHeight="false" outlineLevel="0" collapsed="false">
      <c r="A2570" s="91" t="s">
        <v>2684</v>
      </c>
      <c r="C2570" s="90" t="n">
        <v>300</v>
      </c>
      <c r="D2570" s="90" t="s">
        <v>2685</v>
      </c>
    </row>
    <row r="2571" customFormat="false" ht="17.6" hidden="false" customHeight="false" outlineLevel="0" collapsed="false">
      <c r="A2571" s="91"/>
    </row>
    <row r="2572" customFormat="false" ht="17.6" hidden="false" customHeight="false" outlineLevel="0" collapsed="false">
      <c r="A2572" s="91" t="s">
        <v>2686</v>
      </c>
      <c r="B2572" s="90" t="s">
        <v>40</v>
      </c>
      <c r="C2572" s="90" t="n">
        <f aca="false">(1024.28+174.01+314.03)*0.48*1.12</f>
        <v>813.023232</v>
      </c>
      <c r="D2572" s="90" t="s">
        <v>159</v>
      </c>
    </row>
    <row r="2573" customFormat="false" ht="17.6" hidden="false" customHeight="false" outlineLevel="0" collapsed="false">
      <c r="A2573" s="91" t="s">
        <v>2687</v>
      </c>
      <c r="B2573" s="90" t="s">
        <v>40</v>
      </c>
      <c r="C2573" s="90" t="n">
        <f aca="false">(1360.06+174.01+314.03)*0.48*1.12</f>
        <v>993.53856</v>
      </c>
      <c r="D2573" s="90" t="s">
        <v>159</v>
      </c>
    </row>
    <row r="2574" customFormat="false" ht="17.6" hidden="false" customHeight="false" outlineLevel="0" collapsed="false">
      <c r="A2574" s="91" t="s">
        <v>2688</v>
      </c>
      <c r="B2574" s="90" t="s">
        <v>40</v>
      </c>
      <c r="C2574" s="90" t="n">
        <f aca="false">(2315.28+174.01+314.03)*0.48*1.12</f>
        <v>1507.064832</v>
      </c>
      <c r="D2574" s="90" t="s">
        <v>159</v>
      </c>
    </row>
    <row r="2575" customFormat="false" ht="17.6" hidden="false" customHeight="false" outlineLevel="0" collapsed="false">
      <c r="A2575" s="91" t="s">
        <v>2689</v>
      </c>
      <c r="B2575" s="90" t="s">
        <v>40</v>
      </c>
      <c r="C2575" s="90" t="n">
        <f aca="false">(3037.58+174.01+314.03)*0.48*1.12</f>
        <v>1895.373312</v>
      </c>
      <c r="D2575" s="90" t="s">
        <v>159</v>
      </c>
    </row>
    <row r="2576" customFormat="false" ht="17.6" hidden="false" customHeight="false" outlineLevel="0" collapsed="false">
      <c r="A2576" s="91"/>
    </row>
    <row r="2577" customFormat="false" ht="17.6" hidden="false" customHeight="false" outlineLevel="0" collapsed="false">
      <c r="A2577" s="91"/>
    </row>
    <row r="2578" customFormat="false" ht="17.6" hidden="false" customHeight="false" outlineLevel="0" collapsed="false">
      <c r="A2578" s="91" t="s">
        <v>2690</v>
      </c>
      <c r="B2578" s="90" t="s">
        <v>158</v>
      </c>
      <c r="C2578" s="90" t="n">
        <f aca="false">80331*0.48*1.1</f>
        <v>42414.768</v>
      </c>
      <c r="D2578" s="90" t="s">
        <v>2691</v>
      </c>
    </row>
    <row r="2579" customFormat="false" ht="17.6" hidden="false" customHeight="false" outlineLevel="0" collapsed="false">
      <c r="A2579" s="91" t="s">
        <v>2692</v>
      </c>
      <c r="B2579" s="90" t="s">
        <v>158</v>
      </c>
      <c r="C2579" s="90" t="n">
        <f aca="false">97054*0.46*1.1</f>
        <v>49109.324</v>
      </c>
      <c r="D2579" s="90" t="s">
        <v>2691</v>
      </c>
    </row>
    <row r="2580" customFormat="false" ht="17.6" hidden="false" customHeight="false" outlineLevel="0" collapsed="false">
      <c r="A2580" s="91"/>
    </row>
    <row r="2581" customFormat="false" ht="17.6" hidden="false" customHeight="false" outlineLevel="0" collapsed="false">
      <c r="A2581" s="91"/>
    </row>
    <row r="2582" customFormat="false" ht="17.6" hidden="false" customHeight="false" outlineLevel="0" collapsed="false">
      <c r="A2582" s="89" t="s">
        <v>2693</v>
      </c>
      <c r="C2582" s="90" t="n">
        <v>800</v>
      </c>
      <c r="D2582" s="90" t="s">
        <v>2218</v>
      </c>
    </row>
    <row r="2583" customFormat="false" ht="17.6" hidden="false" customHeight="false" outlineLevel="0" collapsed="false">
      <c r="A2583" s="89" t="s">
        <v>2694</v>
      </c>
      <c r="D2583" s="90" t="s">
        <v>1420</v>
      </c>
    </row>
    <row r="2584" customFormat="false" ht="17.6" hidden="false" customHeight="false" outlineLevel="0" collapsed="false">
      <c r="A2584" s="91"/>
    </row>
    <row r="2585" customFormat="false" ht="17.6" hidden="false" customHeight="false" outlineLevel="0" collapsed="false">
      <c r="A2585" s="91"/>
    </row>
    <row r="2586" customFormat="false" ht="17.6" hidden="false" customHeight="false" outlineLevel="0" collapsed="false">
      <c r="A2586" s="91" t="s">
        <v>2695</v>
      </c>
      <c r="B2586" s="90" t="s">
        <v>86</v>
      </c>
      <c r="C2586" s="90" t="n">
        <f aca="false">61550*0.5</f>
        <v>30775</v>
      </c>
      <c r="D2586" s="90" t="s">
        <v>87</v>
      </c>
    </row>
    <row r="2587" customFormat="false" ht="17.6" hidden="false" customHeight="false" outlineLevel="0" collapsed="false">
      <c r="A2587" s="91" t="s">
        <v>2696</v>
      </c>
      <c r="B2587" s="90" t="s">
        <v>86</v>
      </c>
      <c r="C2587" s="90" t="n">
        <f aca="false">51736*0.5</f>
        <v>25868</v>
      </c>
      <c r="D2587" s="90" t="s">
        <v>87</v>
      </c>
    </row>
    <row r="2588" customFormat="false" ht="17.6" hidden="false" customHeight="false" outlineLevel="0" collapsed="false">
      <c r="A2588" s="91"/>
    </row>
    <row r="2589" customFormat="false" ht="17.6" hidden="false" customHeight="false" outlineLevel="0" collapsed="false">
      <c r="A2589" s="91"/>
    </row>
    <row r="2590" customFormat="false" ht="17.6" hidden="false" customHeight="false" outlineLevel="0" collapsed="false">
      <c r="A2590" s="91" t="s">
        <v>2697</v>
      </c>
      <c r="B2590" s="90" t="s">
        <v>49</v>
      </c>
      <c r="C2590" s="90" t="n">
        <f aca="false">(58578.16+2029.28+572.54+482.67)*0.55</f>
        <v>33914.4575</v>
      </c>
      <c r="D2590" s="90" t="s">
        <v>87</v>
      </c>
    </row>
    <row r="2591" customFormat="false" ht="17.6" hidden="false" customHeight="false" outlineLevel="0" collapsed="false">
      <c r="A2591" s="91" t="s">
        <v>2698</v>
      </c>
      <c r="B2591" s="90" t="s">
        <v>49</v>
      </c>
      <c r="C2591" s="90" t="n">
        <f aca="false">(66971.03+572.54+482.67)*0.55</f>
        <v>37414.432</v>
      </c>
      <c r="D2591" s="90" t="s">
        <v>87</v>
      </c>
    </row>
    <row r="2592" customFormat="false" ht="17.6" hidden="false" customHeight="false" outlineLevel="0" collapsed="false">
      <c r="A2592" s="91"/>
    </row>
    <row r="2593" customFormat="false" ht="17.6" hidden="false" customHeight="false" outlineLevel="0" collapsed="false">
      <c r="A2593" s="91"/>
    </row>
    <row r="2594" customFormat="false" ht="17.6" hidden="false" customHeight="false" outlineLevel="0" collapsed="false">
      <c r="A2594" s="91"/>
    </row>
    <row r="2595" customFormat="false" ht="17.6" hidden="false" customHeight="false" outlineLevel="0" collapsed="false">
      <c r="A2595" s="91"/>
    </row>
    <row r="2596" customFormat="false" ht="17.6" hidden="false" customHeight="false" outlineLevel="0" collapsed="false">
      <c r="A2596" s="91"/>
    </row>
    <row r="2597" customFormat="false" ht="17.6" hidden="false" customHeight="false" outlineLevel="0" collapsed="false">
      <c r="A2597" s="91" t="s">
        <v>2699</v>
      </c>
      <c r="C2597" s="90" t="n">
        <f aca="false">228.11*0.6</f>
        <v>136.866</v>
      </c>
      <c r="D2597" s="90" t="s">
        <v>87</v>
      </c>
    </row>
    <row r="2598" customFormat="false" ht="17.6" hidden="false" customHeight="false" outlineLevel="0" collapsed="false">
      <c r="A2598" s="91" t="s">
        <v>2700</v>
      </c>
      <c r="C2598" s="90" t="n">
        <f aca="false">273.69*0.6</f>
        <v>164.214</v>
      </c>
      <c r="D2598" s="90" t="s">
        <v>87</v>
      </c>
    </row>
    <row r="2599" customFormat="false" ht="17.6" hidden="false" customHeight="false" outlineLevel="0" collapsed="false">
      <c r="A2599" s="91" t="s">
        <v>2701</v>
      </c>
      <c r="C2599" s="90" t="n">
        <f aca="false">364.73*0.6</f>
        <v>218.838</v>
      </c>
      <c r="D2599" s="90" t="s">
        <v>87</v>
      </c>
    </row>
    <row r="2600" customFormat="false" ht="17.6" hidden="false" customHeight="false" outlineLevel="0" collapsed="false">
      <c r="A2600" s="91"/>
    </row>
    <row r="2601" customFormat="false" ht="17.6" hidden="false" customHeight="false" outlineLevel="0" collapsed="false">
      <c r="A2601" s="91"/>
    </row>
    <row r="2602" customFormat="false" ht="17.6" hidden="false" customHeight="false" outlineLevel="0" collapsed="false">
      <c r="A2602" s="91"/>
    </row>
    <row r="2603" customFormat="false" ht="17.6" hidden="false" customHeight="false" outlineLevel="0" collapsed="false">
      <c r="A2603" s="91"/>
    </row>
    <row r="2604" customFormat="false" ht="17.6" hidden="false" customHeight="false" outlineLevel="0" collapsed="false">
      <c r="A2604" s="91" t="s">
        <v>2702</v>
      </c>
      <c r="B2604" s="90" t="s">
        <v>40</v>
      </c>
      <c r="C2604" s="90" t="n">
        <f aca="false">659.82*0.55</f>
        <v>362.901</v>
      </c>
      <c r="D2604" s="90" t="s">
        <v>87</v>
      </c>
    </row>
    <row r="2605" customFormat="false" ht="17.6" hidden="false" customHeight="false" outlineLevel="0" collapsed="false">
      <c r="A2605" s="91" t="s">
        <v>2703</v>
      </c>
      <c r="B2605" s="90" t="s">
        <v>40</v>
      </c>
      <c r="C2605" s="90" t="n">
        <f aca="false">659.82*0.55</f>
        <v>362.901</v>
      </c>
      <c r="D2605" s="90" t="s">
        <v>87</v>
      </c>
    </row>
    <row r="2606" customFormat="false" ht="17.6" hidden="false" customHeight="false" outlineLevel="0" collapsed="false">
      <c r="A2606" s="91" t="s">
        <v>2704</v>
      </c>
      <c r="B2606" s="90" t="s">
        <v>40</v>
      </c>
      <c r="C2606" s="90" t="n">
        <f aca="false">1441.93*0.55</f>
        <v>793.0615</v>
      </c>
      <c r="D2606" s="90" t="s">
        <v>87</v>
      </c>
    </row>
    <row r="2607" customFormat="false" ht="17.6" hidden="false" customHeight="false" outlineLevel="0" collapsed="false">
      <c r="A2607" s="91" t="s">
        <v>2705</v>
      </c>
      <c r="B2607" s="90" t="s">
        <v>40</v>
      </c>
      <c r="C2607" s="90" t="n">
        <f aca="false">2659.52*0.55</f>
        <v>1462.736</v>
      </c>
      <c r="D2607" s="90" t="s">
        <v>87</v>
      </c>
    </row>
    <row r="2608" customFormat="false" ht="17.6" hidden="false" customHeight="false" outlineLevel="0" collapsed="false">
      <c r="A2608" s="91"/>
    </row>
    <row r="2609" customFormat="false" ht="17.6" hidden="false" customHeight="false" outlineLevel="0" collapsed="false">
      <c r="A2609" s="91"/>
    </row>
    <row r="2610" customFormat="false" ht="17.6" hidden="false" customHeight="false" outlineLevel="0" collapsed="false">
      <c r="A2610" s="91" t="s">
        <v>2706</v>
      </c>
      <c r="B2610" s="90" t="s">
        <v>86</v>
      </c>
      <c r="C2610" s="90" t="n">
        <f aca="false">65144*0.38</f>
        <v>24754.72</v>
      </c>
      <c r="D2610" s="92" t="s">
        <v>2531</v>
      </c>
    </row>
    <row r="2611" customFormat="false" ht="17.6" hidden="false" customHeight="false" outlineLevel="0" collapsed="false">
      <c r="A2611" s="91" t="s">
        <v>2707</v>
      </c>
      <c r="B2611" s="90" t="s">
        <v>86</v>
      </c>
      <c r="C2611" s="90" t="n">
        <f aca="false">55092*0.38</f>
        <v>20934.96</v>
      </c>
      <c r="D2611" s="92" t="s">
        <v>2531</v>
      </c>
    </row>
    <row r="2612" customFormat="false" ht="17.6" hidden="false" customHeight="false" outlineLevel="0" collapsed="false">
      <c r="A2612" s="91"/>
    </row>
    <row r="2613" customFormat="false" ht="17.6" hidden="false" customHeight="false" outlineLevel="0" collapsed="false">
      <c r="A2613" s="91" t="s">
        <v>2708</v>
      </c>
      <c r="B2613" s="90" t="s">
        <v>49</v>
      </c>
      <c r="C2613" s="90" t="n">
        <f aca="false">(92830.1+2002.6+3032.5+570.32)*0.35</f>
        <v>34452.432</v>
      </c>
      <c r="D2613" s="92" t="s">
        <v>2531</v>
      </c>
    </row>
    <row r="2614" customFormat="false" ht="17.6" hidden="false" customHeight="false" outlineLevel="0" collapsed="false">
      <c r="A2614" s="91" t="s">
        <v>2709</v>
      </c>
      <c r="B2614" s="90" t="s">
        <v>49</v>
      </c>
      <c r="C2614" s="90" t="n">
        <f aca="false">(104348.15+570.32+6017.52)*0.35</f>
        <v>38827.5965</v>
      </c>
      <c r="D2614" s="92" t="s">
        <v>2531</v>
      </c>
    </row>
    <row r="2615" customFormat="false" ht="17.6" hidden="false" customHeight="false" outlineLevel="0" collapsed="false">
      <c r="A2615" s="91"/>
    </row>
    <row r="2616" customFormat="false" ht="17.6" hidden="false" customHeight="false" outlineLevel="0" collapsed="false">
      <c r="A2616" s="91" t="s">
        <v>41</v>
      </c>
      <c r="B2616" s="90" t="s">
        <v>40</v>
      </c>
      <c r="C2616" s="90" t="n">
        <f aca="false">986.12*0.45</f>
        <v>443.754</v>
      </c>
      <c r="D2616" s="92" t="s">
        <v>2531</v>
      </c>
    </row>
    <row r="2617" customFormat="false" ht="17.6" hidden="false" customHeight="false" outlineLevel="0" collapsed="false">
      <c r="A2617" s="91" t="s">
        <v>42</v>
      </c>
      <c r="B2617" s="90" t="s">
        <v>40</v>
      </c>
      <c r="C2617" s="90" t="n">
        <f aca="false">986.12*0.45</f>
        <v>443.754</v>
      </c>
      <c r="D2617" s="92" t="s">
        <v>2531</v>
      </c>
    </row>
    <row r="2618" customFormat="false" ht="17.6" hidden="false" customHeight="false" outlineLevel="0" collapsed="false">
      <c r="A2618" s="91" t="str">
        <f aca="false">H2618</f>
        <v>XT1N160 TMD 160 3P FF</v>
      </c>
      <c r="B2618" s="90" t="s">
        <v>40</v>
      </c>
      <c r="C2618" s="90" t="n">
        <f aca="false">K2618</f>
        <v>736.794</v>
      </c>
      <c r="D2618" s="92" t="s">
        <v>2531</v>
      </c>
      <c r="G2618" s="92" t="s">
        <v>2710</v>
      </c>
      <c r="H2618" s="92" t="s">
        <v>44</v>
      </c>
      <c r="I2618" s="90" t="s">
        <v>14</v>
      </c>
      <c r="J2618" s="90" t="n">
        <v>1</v>
      </c>
      <c r="K2618" s="90" t="n">
        <f aca="false">1637.32*45%</f>
        <v>736.794</v>
      </c>
      <c r="L2618" s="90" t="n">
        <f aca="false">(1637.32*45%)*1</f>
        <v>736.794</v>
      </c>
      <c r="M2618" s="92" t="s">
        <v>2711</v>
      </c>
      <c r="N2618" s="90" t="n">
        <f aca="false">1637.32</f>
        <v>1637.32</v>
      </c>
      <c r="O2618" s="14" t="n">
        <v>0.45</v>
      </c>
    </row>
    <row r="2619" customFormat="false" ht="17.6" hidden="false" customHeight="false" outlineLevel="0" collapsed="false">
      <c r="A2619" s="91" t="s">
        <v>45</v>
      </c>
      <c r="B2619" s="90" t="s">
        <v>40</v>
      </c>
      <c r="C2619" s="90" t="n">
        <f aca="false">2345.64*0.45</f>
        <v>1055.538</v>
      </c>
      <c r="D2619" s="92" t="s">
        <v>2531</v>
      </c>
    </row>
    <row r="2620" customFormat="false" ht="17.6" hidden="false" customHeight="false" outlineLevel="0" collapsed="false">
      <c r="A2620" s="91" t="s">
        <v>46</v>
      </c>
      <c r="B2620" s="90" t="s">
        <v>40</v>
      </c>
      <c r="C2620" s="90" t="n">
        <f aca="false">3508.28*0.45</f>
        <v>1578.726</v>
      </c>
      <c r="D2620" s="92" t="s">
        <v>2531</v>
      </c>
    </row>
    <row r="2621" customFormat="false" ht="17.6" hidden="false" customHeight="false" outlineLevel="0" collapsed="false">
      <c r="A2621" s="91" t="str">
        <f aca="false">H2621</f>
        <v>XT5N630 TMA 500 3P FF</v>
      </c>
      <c r="B2621" s="90" t="s">
        <v>40</v>
      </c>
      <c r="C2621" s="90" t="n">
        <f aca="false">K2621</f>
        <v>2960.451</v>
      </c>
      <c r="D2621" s="92" t="s">
        <v>2531</v>
      </c>
      <c r="G2621" s="92" t="s">
        <v>2710</v>
      </c>
      <c r="H2621" s="92" t="s">
        <v>47</v>
      </c>
      <c r="I2621" s="90" t="s">
        <v>14</v>
      </c>
      <c r="J2621" s="90" t="n">
        <v>1</v>
      </c>
      <c r="K2621" s="90" t="n">
        <f aca="false">6578.78*45%</f>
        <v>2960.451</v>
      </c>
      <c r="L2621" s="90" t="n">
        <f aca="false">(6578.78*45%)*1</f>
        <v>2960.451</v>
      </c>
      <c r="M2621" s="92" t="s">
        <v>2711</v>
      </c>
      <c r="N2621" s="90" t="n">
        <f aca="false">6578.78</f>
        <v>6578.78</v>
      </c>
      <c r="O2621" s="14" t="n">
        <v>0.45</v>
      </c>
    </row>
    <row r="2622" customFormat="false" ht="17.6" hidden="false" customHeight="false" outlineLevel="0" collapsed="false">
      <c r="A2622" s="91" t="str">
        <f aca="false">H2622</f>
        <v>XT5N630 TMA 630 3P FF</v>
      </c>
      <c r="B2622" s="90" t="s">
        <v>40</v>
      </c>
      <c r="C2622" s="90" t="n">
        <f aca="false">K2622</f>
        <v>3745.7505</v>
      </c>
      <c r="D2622" s="92" t="s">
        <v>2531</v>
      </c>
      <c r="G2622" s="92" t="s">
        <v>2710</v>
      </c>
      <c r="H2622" s="92" t="s">
        <v>48</v>
      </c>
      <c r="I2622" s="90" t="s">
        <v>14</v>
      </c>
      <c r="J2622" s="90" t="n">
        <v>1</v>
      </c>
      <c r="K2622" s="90" t="n">
        <f aca="false">8323.89*45%</f>
        <v>3745.7505</v>
      </c>
      <c r="L2622" s="90" t="n">
        <f aca="false">(8323.89*45%)*1</f>
        <v>3745.7505</v>
      </c>
      <c r="M2622" s="92" t="s">
        <v>2711</v>
      </c>
      <c r="N2622" s="90" t="n">
        <f aca="false">8323.89</f>
        <v>8323.89</v>
      </c>
      <c r="O2622" s="14" t="n">
        <v>0.45</v>
      </c>
    </row>
    <row r="2623" customFormat="false" ht="17.6" hidden="false" customHeight="false" outlineLevel="0" collapsed="false">
      <c r="A2623" s="91" t="str">
        <f aca="false">H2623</f>
        <v>E1C630 T LSI 3P WHR</v>
      </c>
      <c r="B2623" s="90" t="s">
        <v>40</v>
      </c>
      <c r="C2623" s="90" t="n">
        <f aca="false">K2623</f>
        <v>16612.9915</v>
      </c>
      <c r="D2623" s="92" t="s">
        <v>2531</v>
      </c>
      <c r="G2623" s="92" t="s">
        <v>2712</v>
      </c>
      <c r="H2623" s="92" t="s">
        <v>50</v>
      </c>
      <c r="I2623" s="90" t="s">
        <v>14</v>
      </c>
      <c r="J2623" s="90" t="n">
        <v>1</v>
      </c>
      <c r="K2623" s="90" t="n">
        <f aca="false">39788.09*35%+7677.6*35%</f>
        <v>16612.9915</v>
      </c>
      <c r="L2623" s="90" t="n">
        <f aca="false">(39788.09*35%+7677.6*35%)*1</f>
        <v>16612.9915</v>
      </c>
      <c r="M2623" s="92" t="s">
        <v>2711</v>
      </c>
      <c r="N2623" s="90" t="n">
        <f aca="false">39788.09+7677.6</f>
        <v>47465.69</v>
      </c>
      <c r="O2623" s="14" t="n">
        <v>0.35</v>
      </c>
    </row>
    <row r="2624" customFormat="false" ht="17.6" hidden="false" customHeight="false" outlineLevel="0" collapsed="false">
      <c r="A2624" s="91" t="str">
        <f aca="false">H2624</f>
        <v>E1C800 T LSI 3P WHR</v>
      </c>
      <c r="B2624" s="90" t="s">
        <v>40</v>
      </c>
      <c r="C2624" s="90" t="n">
        <f aca="false">K2624</f>
        <v>17660.923</v>
      </c>
      <c r="D2624" s="92" t="s">
        <v>2531</v>
      </c>
      <c r="G2624" s="92" t="s">
        <v>2712</v>
      </c>
      <c r="H2624" s="92" t="s">
        <v>51</v>
      </c>
      <c r="I2624" s="90" t="s">
        <v>14</v>
      </c>
      <c r="J2624" s="90" t="n">
        <v>1</v>
      </c>
      <c r="K2624" s="90" t="n">
        <f aca="false">42782.18*35%+7677.6*35%</f>
        <v>17660.923</v>
      </c>
      <c r="L2624" s="90" t="n">
        <f aca="false">(42782.18*35%+7677.6*35%)*1</f>
        <v>17660.923</v>
      </c>
      <c r="M2624" s="92" t="s">
        <v>2711</v>
      </c>
      <c r="N2624" s="90" t="n">
        <f aca="false">42782.18+7677.6</f>
        <v>50459.78</v>
      </c>
      <c r="O2624" s="14" t="n">
        <v>0.35</v>
      </c>
    </row>
    <row r="2625" customFormat="false" ht="17.6" hidden="false" customHeight="false" outlineLevel="0" collapsed="false">
      <c r="A2625" s="91" t="str">
        <f aca="false">H2625</f>
        <v>E1C1000 T LSI 3P WHR</v>
      </c>
      <c r="B2625" s="90" t="s">
        <v>40</v>
      </c>
      <c r="C2625" s="90" t="n">
        <f aca="false">K2625</f>
        <v>18988.431</v>
      </c>
      <c r="D2625" s="92" t="s">
        <v>2531</v>
      </c>
      <c r="G2625" s="92" t="s">
        <v>2712</v>
      </c>
      <c r="H2625" s="92" t="s">
        <v>52</v>
      </c>
      <c r="I2625" s="90" t="s">
        <v>14</v>
      </c>
      <c r="J2625" s="90" t="n">
        <v>1</v>
      </c>
      <c r="K2625" s="90" t="n">
        <f aca="false">46575.06*35%+7677.6*35%</f>
        <v>18988.431</v>
      </c>
      <c r="L2625" s="90" t="n">
        <f aca="false">(46575.06*35%+7677.6*35%)*1</f>
        <v>18988.431</v>
      </c>
      <c r="M2625" s="92" t="s">
        <v>2711</v>
      </c>
      <c r="N2625" s="90" t="n">
        <f aca="false">46575.06+7677.6</f>
        <v>54252.66</v>
      </c>
      <c r="O2625" s="14" t="n">
        <v>0.35</v>
      </c>
    </row>
    <row r="2626" customFormat="false" ht="17.6" hidden="false" customHeight="false" outlineLevel="0" collapsed="false">
      <c r="A2626" s="91" t="s">
        <v>2713</v>
      </c>
      <c r="B2626" s="90" t="s">
        <v>40</v>
      </c>
      <c r="C2626" s="90" t="n">
        <f aca="false">1314.44*0.45</f>
        <v>591.498</v>
      </c>
      <c r="D2626" s="92" t="s">
        <v>2531</v>
      </c>
    </row>
    <row r="2627" customFormat="false" ht="17.6" hidden="false" customHeight="false" outlineLevel="0" collapsed="false">
      <c r="A2627" s="91"/>
    </row>
    <row r="2628" customFormat="false" ht="17.6" hidden="false" customHeight="false" outlineLevel="0" collapsed="false">
      <c r="A2628" s="91"/>
    </row>
    <row r="2629" customFormat="false" ht="17.6" hidden="false" customHeight="false" outlineLevel="0" collapsed="false">
      <c r="A2629" s="91"/>
    </row>
    <row r="2630" customFormat="false" ht="17.6" hidden="false" customHeight="false" outlineLevel="0" collapsed="false">
      <c r="A2630" s="91"/>
    </row>
    <row r="2631" customFormat="false" ht="17.6" hidden="false" customHeight="false" outlineLevel="0" collapsed="false">
      <c r="A2631" s="91" t="s">
        <v>2714</v>
      </c>
      <c r="B2631" s="90" t="s">
        <v>158</v>
      </c>
      <c r="C2631" s="90" t="n">
        <f aca="false">81317.79*0.46</f>
        <v>37406.1834</v>
      </c>
      <c r="D2631" s="92" t="s">
        <v>2531</v>
      </c>
    </row>
    <row r="2632" customFormat="false" ht="17.6" hidden="false" customHeight="false" outlineLevel="0" collapsed="false">
      <c r="A2632" s="91"/>
    </row>
    <row r="2633" customFormat="false" ht="17.6" hidden="false" customHeight="false" outlineLevel="0" collapsed="false">
      <c r="A2633" s="91" t="s">
        <v>2715</v>
      </c>
      <c r="C2633" s="90" t="n">
        <f aca="false">286.59*0.5</f>
        <v>143.295</v>
      </c>
      <c r="D2633" s="92" t="s">
        <v>2531</v>
      </c>
    </row>
    <row r="2634" customFormat="false" ht="17.6" hidden="false" customHeight="false" outlineLevel="0" collapsed="false">
      <c r="A2634" s="91" t="s">
        <v>2716</v>
      </c>
      <c r="C2634" s="90" t="n">
        <f aca="false">346.18*0.5</f>
        <v>173.09</v>
      </c>
      <c r="D2634" s="92" t="s">
        <v>2531</v>
      </c>
    </row>
    <row r="2635" customFormat="false" ht="17.6" hidden="false" customHeight="false" outlineLevel="0" collapsed="false">
      <c r="A2635" s="91" t="s">
        <v>2717</v>
      </c>
      <c r="C2635" s="90" t="n">
        <f aca="false">465.44*0.5</f>
        <v>232.72</v>
      </c>
      <c r="D2635" s="92" t="s">
        <v>2531</v>
      </c>
    </row>
    <row r="2636" customFormat="false" ht="17.6" hidden="false" customHeight="false" outlineLevel="0" collapsed="false">
      <c r="A2636" s="91"/>
    </row>
    <row r="2637" customFormat="false" ht="17.6" hidden="false" customHeight="false" outlineLevel="0" collapsed="false">
      <c r="A2637" s="91" t="s">
        <v>2718</v>
      </c>
      <c r="C2637" s="90" t="n">
        <v>130000</v>
      </c>
      <c r="D2637" s="92" t="s">
        <v>2531</v>
      </c>
    </row>
    <row r="2638" customFormat="false" ht="17.6" hidden="false" customHeight="false" outlineLevel="0" collapsed="false">
      <c r="A2638" s="91"/>
    </row>
    <row r="2639" customFormat="false" ht="17.6" hidden="false" customHeight="false" outlineLevel="0" collapsed="false">
      <c r="A2639" s="91"/>
    </row>
    <row r="2640" customFormat="false" ht="17.6" hidden="false" customHeight="false" outlineLevel="0" collapsed="false">
      <c r="A2640" s="91"/>
    </row>
    <row r="2641" customFormat="false" ht="17.6" hidden="false" customHeight="false" outlineLevel="0" collapsed="false">
      <c r="A2641" s="91"/>
    </row>
    <row r="2642" customFormat="false" ht="17.6" hidden="false" customHeight="false" outlineLevel="0" collapsed="false">
      <c r="A2642" s="91"/>
    </row>
    <row r="2643" customFormat="false" ht="17.6" hidden="false" customHeight="false" outlineLevel="0" collapsed="false">
      <c r="A2643" s="91"/>
    </row>
    <row r="2644" customFormat="false" ht="17.6" hidden="false" customHeight="false" outlineLevel="0" collapsed="false">
      <c r="A2644" s="91"/>
    </row>
    <row r="2645" customFormat="false" ht="17.6" hidden="false" customHeight="false" outlineLevel="0" collapsed="false">
      <c r="A2645" s="91"/>
    </row>
    <row r="2646" customFormat="false" ht="17.6" hidden="false" customHeight="false" outlineLevel="0" collapsed="false">
      <c r="A2646" s="91"/>
    </row>
    <row r="2647" customFormat="false" ht="17.6" hidden="false" customHeight="false" outlineLevel="0" collapsed="false">
      <c r="A2647" s="91"/>
    </row>
    <row r="2648" customFormat="false" ht="17.6" hidden="false" customHeight="false" outlineLevel="0" collapsed="false">
      <c r="A2648" s="91"/>
    </row>
    <row r="2649" customFormat="false" ht="17.6" hidden="false" customHeight="false" outlineLevel="0" collapsed="false">
      <c r="A2649" s="91"/>
    </row>
    <row r="2650" customFormat="false" ht="17.6" hidden="false" customHeight="false" outlineLevel="0" collapsed="false">
      <c r="A2650" s="91"/>
    </row>
    <row r="2651" customFormat="false" ht="17.6" hidden="false" customHeight="false" outlineLevel="0" collapsed="false">
      <c r="A2651" s="91"/>
    </row>
    <row r="2652" customFormat="false" ht="17.6" hidden="false" customHeight="false" outlineLevel="0" collapsed="false">
      <c r="A2652" s="91"/>
    </row>
    <row r="2653" customFormat="false" ht="17.6" hidden="false" customHeight="false" outlineLevel="0" collapsed="false">
      <c r="A2653" s="91"/>
    </row>
    <row r="2654" customFormat="false" ht="17.6" hidden="false" customHeight="false" outlineLevel="0" collapsed="false">
      <c r="A2654" s="91"/>
    </row>
    <row r="2655" customFormat="false" ht="17.6" hidden="false" customHeight="false" outlineLevel="0" collapsed="false">
      <c r="A2655" s="91"/>
    </row>
    <row r="2656" customFormat="false" ht="17.6" hidden="false" customHeight="false" outlineLevel="0" collapsed="false">
      <c r="A2656" s="91"/>
    </row>
    <row r="2657" customFormat="false" ht="17.6" hidden="false" customHeight="false" outlineLevel="0" collapsed="false">
      <c r="A2657" s="91"/>
    </row>
    <row r="2658" customFormat="false" ht="17.6" hidden="false" customHeight="false" outlineLevel="0" collapsed="false">
      <c r="A2658" s="91"/>
    </row>
    <row r="2659" customFormat="false" ht="17.6" hidden="false" customHeight="false" outlineLevel="0" collapsed="false">
      <c r="A2659" s="91"/>
    </row>
    <row r="2660" customFormat="false" ht="17.6" hidden="false" customHeight="false" outlineLevel="0" collapsed="false">
      <c r="A2660" s="91"/>
    </row>
    <row r="2661" customFormat="false" ht="17.6" hidden="false" customHeight="false" outlineLevel="0" collapsed="false">
      <c r="A2661" s="91"/>
    </row>
    <row r="2662" customFormat="false" ht="17.6" hidden="false" customHeight="false" outlineLevel="0" collapsed="false">
      <c r="A2662" s="91"/>
    </row>
    <row r="2663" customFormat="false" ht="17.6" hidden="false" customHeight="false" outlineLevel="0" collapsed="false">
      <c r="A2663" s="91"/>
    </row>
    <row r="2664" customFormat="false" ht="17.6" hidden="false" customHeight="false" outlineLevel="0" collapsed="false">
      <c r="A2664" s="91"/>
    </row>
    <row r="2665" customFormat="false" ht="17.6" hidden="false" customHeight="false" outlineLevel="0" collapsed="false">
      <c r="A2665" s="91"/>
    </row>
    <row r="2666" customFormat="false" ht="17.6" hidden="false" customHeight="false" outlineLevel="0" collapsed="false">
      <c r="A2666" s="91"/>
    </row>
    <row r="2667" customFormat="false" ht="17.6" hidden="false" customHeight="false" outlineLevel="0" collapsed="false">
      <c r="A2667" s="91"/>
    </row>
    <row r="2668" customFormat="false" ht="17.6" hidden="false" customHeight="false" outlineLevel="0" collapsed="false">
      <c r="A2668" s="91"/>
    </row>
    <row r="2669" customFormat="false" ht="17.6" hidden="false" customHeight="false" outlineLevel="0" collapsed="false">
      <c r="A2669" s="91"/>
    </row>
    <row r="2670" customFormat="false" ht="17.6" hidden="false" customHeight="false" outlineLevel="0" collapsed="false">
      <c r="A2670" s="91"/>
    </row>
    <row r="2671" customFormat="false" ht="17.6" hidden="false" customHeight="false" outlineLevel="0" collapsed="false">
      <c r="A2671" s="91"/>
    </row>
    <row r="2672" customFormat="false" ht="17.6" hidden="false" customHeight="false" outlineLevel="0" collapsed="false">
      <c r="A2672" s="91"/>
    </row>
    <row r="2673" customFormat="false" ht="17.6" hidden="false" customHeight="false" outlineLevel="0" collapsed="false">
      <c r="A2673" s="91"/>
    </row>
    <row r="2674" customFormat="false" ht="17.6" hidden="false" customHeight="false" outlineLevel="0" collapsed="false">
      <c r="A2674" s="91"/>
    </row>
    <row r="2675" customFormat="false" ht="17.6" hidden="false" customHeight="false" outlineLevel="0" collapsed="false">
      <c r="A2675" s="91"/>
    </row>
    <row r="2676" customFormat="false" ht="17.6" hidden="false" customHeight="false" outlineLevel="0" collapsed="false">
      <c r="A2676" s="91"/>
    </row>
    <row r="2677" customFormat="false" ht="17.6" hidden="false" customHeight="false" outlineLevel="0" collapsed="false">
      <c r="A2677" s="91"/>
    </row>
    <row r="2678" customFormat="false" ht="17.6" hidden="false" customHeight="false" outlineLevel="0" collapsed="false">
      <c r="A2678" s="91"/>
    </row>
    <row r="2679" customFormat="false" ht="17.6" hidden="false" customHeight="false" outlineLevel="0" collapsed="false">
      <c r="A2679" s="91"/>
    </row>
    <row r="2680" customFormat="false" ht="17.6" hidden="false" customHeight="false" outlineLevel="0" collapsed="false">
      <c r="A2680" s="91"/>
    </row>
    <row r="2681" customFormat="false" ht="17.6" hidden="false" customHeight="false" outlineLevel="0" collapsed="false">
      <c r="A2681" s="91"/>
    </row>
    <row r="2682" customFormat="false" ht="17.6" hidden="false" customHeight="false" outlineLevel="0" collapsed="false">
      <c r="A2682" s="91"/>
    </row>
    <row r="2683" customFormat="false" ht="17.6" hidden="false" customHeight="false" outlineLevel="0" collapsed="false">
      <c r="A2683" s="91"/>
    </row>
    <row r="2684" customFormat="false" ht="17.6" hidden="false" customHeight="false" outlineLevel="0" collapsed="false">
      <c r="A2684" s="91"/>
    </row>
    <row r="2685" customFormat="false" ht="17.6" hidden="false" customHeight="false" outlineLevel="0" collapsed="false">
      <c r="A2685" s="91"/>
    </row>
    <row r="2686" customFormat="false" ht="17.6" hidden="false" customHeight="false" outlineLevel="0" collapsed="false">
      <c r="A2686" s="91"/>
    </row>
    <row r="2687" customFormat="false" ht="17.6" hidden="false" customHeight="false" outlineLevel="0" collapsed="false">
      <c r="A2687" s="91"/>
    </row>
    <row r="2688" customFormat="false" ht="17.6" hidden="false" customHeight="false" outlineLevel="0" collapsed="false">
      <c r="A2688" s="91"/>
    </row>
    <row r="2689" customFormat="false" ht="17.6" hidden="false" customHeight="false" outlineLevel="0" collapsed="false">
      <c r="A2689" s="91"/>
    </row>
    <row r="2690" customFormat="false" ht="17.6" hidden="false" customHeight="false" outlineLevel="0" collapsed="false">
      <c r="A2690" s="91"/>
    </row>
    <row r="2691" customFormat="false" ht="17.6" hidden="false" customHeight="false" outlineLevel="0" collapsed="false">
      <c r="A2691" s="91"/>
    </row>
    <row r="2692" customFormat="false" ht="17.6" hidden="false" customHeight="false" outlineLevel="0" collapsed="false">
      <c r="A2692" s="91"/>
    </row>
    <row r="2693" customFormat="false" ht="17.6" hidden="false" customHeight="false" outlineLevel="0" collapsed="false">
      <c r="A2693" s="91"/>
    </row>
    <row r="2694" customFormat="false" ht="17.6" hidden="false" customHeight="false" outlineLevel="0" collapsed="false">
      <c r="A2694" s="91"/>
    </row>
    <row r="2695" customFormat="false" ht="17.6" hidden="false" customHeight="false" outlineLevel="0" collapsed="false">
      <c r="A2695" s="91"/>
    </row>
    <row r="2696" customFormat="false" ht="17.6" hidden="false" customHeight="false" outlineLevel="0" collapsed="false">
      <c r="A2696" s="91"/>
    </row>
    <row r="2697" customFormat="false" ht="17.6" hidden="false" customHeight="false" outlineLevel="0" collapsed="false">
      <c r="A2697" s="91"/>
    </row>
    <row r="2698" customFormat="false" ht="17.6" hidden="false" customHeight="false" outlineLevel="0" collapsed="false">
      <c r="A2698" s="91"/>
    </row>
    <row r="2699" customFormat="false" ht="17.6" hidden="false" customHeight="false" outlineLevel="0" collapsed="false">
      <c r="A2699" s="91"/>
    </row>
    <row r="2700" customFormat="false" ht="17.6" hidden="false" customHeight="false" outlineLevel="0" collapsed="false">
      <c r="A2700" s="91"/>
    </row>
    <row r="2701" customFormat="false" ht="17.6" hidden="false" customHeight="false" outlineLevel="0" collapsed="false">
      <c r="A2701" s="91"/>
    </row>
    <row r="2702" customFormat="false" ht="17.6" hidden="false" customHeight="false" outlineLevel="0" collapsed="false">
      <c r="A2702" s="91"/>
    </row>
    <row r="2703" customFormat="false" ht="17.6" hidden="false" customHeight="false" outlineLevel="0" collapsed="false">
      <c r="A2703" s="91"/>
    </row>
    <row r="2704" customFormat="false" ht="17.6" hidden="false" customHeight="false" outlineLevel="0" collapsed="false">
      <c r="A2704" s="91"/>
    </row>
    <row r="2705" customFormat="false" ht="17.6" hidden="false" customHeight="false" outlineLevel="0" collapsed="false">
      <c r="A2705" s="91"/>
    </row>
    <row r="2706" customFormat="false" ht="17.6" hidden="false" customHeight="false" outlineLevel="0" collapsed="false">
      <c r="A2706" s="91"/>
    </row>
    <row r="2707" customFormat="false" ht="17.6" hidden="false" customHeight="false" outlineLevel="0" collapsed="false">
      <c r="A2707" s="91"/>
    </row>
    <row r="2708" customFormat="false" ht="17.6" hidden="false" customHeight="false" outlineLevel="0" collapsed="false">
      <c r="A2708" s="91"/>
    </row>
    <row r="2709" customFormat="false" ht="17.6" hidden="false" customHeight="false" outlineLevel="0" collapsed="false">
      <c r="A2709" s="91"/>
    </row>
    <row r="2710" customFormat="false" ht="17.6" hidden="false" customHeight="false" outlineLevel="0" collapsed="false">
      <c r="A2710" s="91"/>
    </row>
    <row r="2711" customFormat="false" ht="17.6" hidden="false" customHeight="false" outlineLevel="0" collapsed="false">
      <c r="A2711" s="91"/>
    </row>
    <row r="2712" customFormat="false" ht="17.6" hidden="false" customHeight="false" outlineLevel="0" collapsed="false">
      <c r="A2712" s="91"/>
    </row>
    <row r="2713" customFormat="false" ht="17.6" hidden="false" customHeight="false" outlineLevel="0" collapsed="false">
      <c r="A2713" s="91"/>
    </row>
    <row r="2714" customFormat="false" ht="17.6" hidden="false" customHeight="false" outlineLevel="0" collapsed="false">
      <c r="A2714" s="91"/>
    </row>
    <row r="2715" customFormat="false" ht="17.6" hidden="false" customHeight="false" outlineLevel="0" collapsed="false">
      <c r="A2715" s="91"/>
    </row>
    <row r="2716" customFormat="false" ht="17.6" hidden="false" customHeight="false" outlineLevel="0" collapsed="false">
      <c r="A2716" s="91"/>
    </row>
    <row r="2717" customFormat="false" ht="17.6" hidden="false" customHeight="false" outlineLevel="0" collapsed="false">
      <c r="A2717" s="91"/>
    </row>
    <row r="2718" customFormat="false" ht="17.6" hidden="false" customHeight="false" outlineLevel="0" collapsed="false">
      <c r="A2718" s="91"/>
    </row>
    <row r="2719" customFormat="false" ht="17.6" hidden="false" customHeight="false" outlineLevel="0" collapsed="false">
      <c r="A2719" s="91"/>
    </row>
    <row r="2720" customFormat="false" ht="17.6" hidden="false" customHeight="false" outlineLevel="0" collapsed="false">
      <c r="A2720" s="91"/>
    </row>
    <row r="2721" customFormat="false" ht="17.6" hidden="false" customHeight="false" outlineLevel="0" collapsed="false">
      <c r="A2721" s="91"/>
    </row>
    <row r="2722" customFormat="false" ht="17.6" hidden="false" customHeight="false" outlineLevel="0" collapsed="false">
      <c r="A2722" s="91"/>
    </row>
    <row r="2723" customFormat="false" ht="17.6" hidden="false" customHeight="false" outlineLevel="0" collapsed="false">
      <c r="A2723" s="91"/>
    </row>
    <row r="2724" customFormat="false" ht="17.6" hidden="false" customHeight="false" outlineLevel="0" collapsed="false">
      <c r="A2724" s="91"/>
    </row>
    <row r="2725" customFormat="false" ht="17.6" hidden="false" customHeight="false" outlineLevel="0" collapsed="false">
      <c r="A2725" s="91"/>
    </row>
    <row r="2726" customFormat="false" ht="17.6" hidden="false" customHeight="false" outlineLevel="0" collapsed="false">
      <c r="A2726" s="91"/>
    </row>
    <row r="2727" customFormat="false" ht="17.6" hidden="false" customHeight="false" outlineLevel="0" collapsed="false">
      <c r="A2727" s="91"/>
    </row>
    <row r="2728" customFormat="false" ht="17.6" hidden="false" customHeight="false" outlineLevel="0" collapsed="false">
      <c r="A2728" s="91"/>
    </row>
    <row r="2729" customFormat="false" ht="17.6" hidden="false" customHeight="false" outlineLevel="0" collapsed="false">
      <c r="A2729" s="91"/>
    </row>
    <row r="2730" customFormat="false" ht="17.6" hidden="false" customHeight="false" outlineLevel="0" collapsed="false">
      <c r="A2730" s="91"/>
    </row>
    <row r="2731" customFormat="false" ht="17.6" hidden="false" customHeight="false" outlineLevel="0" collapsed="false">
      <c r="A2731" s="91"/>
    </row>
    <row r="2732" customFormat="false" ht="17.6" hidden="false" customHeight="false" outlineLevel="0" collapsed="false">
      <c r="A2732" s="91"/>
    </row>
    <row r="2733" customFormat="false" ht="17.6" hidden="false" customHeight="false" outlineLevel="0" collapsed="false">
      <c r="A2733" s="91"/>
    </row>
    <row r="2734" customFormat="false" ht="17.6" hidden="false" customHeight="false" outlineLevel="0" collapsed="false">
      <c r="A2734" s="91"/>
    </row>
    <row r="2735" customFormat="false" ht="17.6" hidden="false" customHeight="false" outlineLevel="0" collapsed="false">
      <c r="A2735" s="91"/>
    </row>
    <row r="2736" customFormat="false" ht="17.6" hidden="false" customHeight="false" outlineLevel="0" collapsed="false">
      <c r="A2736" s="91"/>
    </row>
    <row r="2737" customFormat="false" ht="17.6" hidden="false" customHeight="false" outlineLevel="0" collapsed="false">
      <c r="A2737" s="91"/>
    </row>
    <row r="2738" customFormat="false" ht="17.6" hidden="false" customHeight="false" outlineLevel="0" collapsed="false">
      <c r="A2738" s="91"/>
    </row>
    <row r="2739" customFormat="false" ht="17.6" hidden="false" customHeight="false" outlineLevel="0" collapsed="false">
      <c r="A2739" s="91"/>
    </row>
    <row r="2740" customFormat="false" ht="17.6" hidden="false" customHeight="false" outlineLevel="0" collapsed="false">
      <c r="A2740" s="91"/>
    </row>
    <row r="2741" customFormat="false" ht="17.6" hidden="false" customHeight="false" outlineLevel="0" collapsed="false">
      <c r="A2741" s="91"/>
    </row>
    <row r="2742" customFormat="false" ht="17.6" hidden="false" customHeight="false" outlineLevel="0" collapsed="false">
      <c r="A2742" s="91"/>
    </row>
    <row r="2743" customFormat="false" ht="17.6" hidden="false" customHeight="false" outlineLevel="0" collapsed="false">
      <c r="A2743" s="91"/>
    </row>
    <row r="2744" customFormat="false" ht="17.6" hidden="false" customHeight="false" outlineLevel="0" collapsed="false">
      <c r="A2744" s="91"/>
    </row>
    <row r="2745" customFormat="false" ht="17.6" hidden="false" customHeight="false" outlineLevel="0" collapsed="false">
      <c r="A2745" s="91"/>
    </row>
    <row r="2746" customFormat="false" ht="17.6" hidden="false" customHeight="false" outlineLevel="0" collapsed="false">
      <c r="A2746" s="91"/>
    </row>
    <row r="2747" customFormat="false" ht="17.6" hidden="false" customHeight="false" outlineLevel="0" collapsed="false">
      <c r="A2747" s="91"/>
    </row>
    <row r="2748" customFormat="false" ht="17.6" hidden="false" customHeight="false" outlineLevel="0" collapsed="false">
      <c r="A2748" s="91"/>
    </row>
    <row r="2749" customFormat="false" ht="17.6" hidden="false" customHeight="false" outlineLevel="0" collapsed="false">
      <c r="A2749" s="91"/>
    </row>
    <row r="2750" customFormat="false" ht="17.6" hidden="false" customHeight="false" outlineLevel="0" collapsed="false">
      <c r="A2750" s="91"/>
    </row>
    <row r="2751" customFormat="false" ht="17.6" hidden="false" customHeight="false" outlineLevel="0" collapsed="false">
      <c r="A2751" s="91"/>
    </row>
    <row r="2752" customFormat="false" ht="17.6" hidden="false" customHeight="false" outlineLevel="0" collapsed="false">
      <c r="A2752" s="91"/>
    </row>
    <row r="2753" customFormat="false" ht="17.6" hidden="false" customHeight="false" outlineLevel="0" collapsed="false">
      <c r="A2753" s="91"/>
    </row>
    <row r="2754" customFormat="false" ht="17.6" hidden="false" customHeight="false" outlineLevel="0" collapsed="false">
      <c r="A2754" s="91"/>
    </row>
    <row r="2755" customFormat="false" ht="17.6" hidden="false" customHeight="false" outlineLevel="0" collapsed="false">
      <c r="A2755" s="91"/>
    </row>
    <row r="2756" customFormat="false" ht="17.6" hidden="false" customHeight="false" outlineLevel="0" collapsed="false">
      <c r="A2756" s="91"/>
    </row>
    <row r="2757" customFormat="false" ht="17.6" hidden="false" customHeight="false" outlineLevel="0" collapsed="false">
      <c r="A2757" s="91"/>
    </row>
    <row r="2758" customFormat="false" ht="17.6" hidden="false" customHeight="false" outlineLevel="0" collapsed="false">
      <c r="A2758" s="91"/>
    </row>
    <row r="2759" customFormat="false" ht="17.6" hidden="false" customHeight="false" outlineLevel="0" collapsed="false">
      <c r="A2759" s="91"/>
    </row>
    <row r="2760" customFormat="false" ht="17.6" hidden="false" customHeight="false" outlineLevel="0" collapsed="false">
      <c r="A2760" s="91"/>
    </row>
    <row r="2761" customFormat="false" ht="17.6" hidden="false" customHeight="false" outlineLevel="0" collapsed="false">
      <c r="A2761" s="91"/>
    </row>
    <row r="2762" customFormat="false" ht="17.6" hidden="false" customHeight="false" outlineLevel="0" collapsed="false">
      <c r="A2762" s="91"/>
    </row>
    <row r="2763" customFormat="false" ht="17.6" hidden="false" customHeight="false" outlineLevel="0" collapsed="false">
      <c r="A2763" s="91"/>
    </row>
    <row r="2764" customFormat="false" ht="17.6" hidden="false" customHeight="false" outlineLevel="0" collapsed="false">
      <c r="A2764" s="91"/>
    </row>
    <row r="2765" customFormat="false" ht="17.6" hidden="false" customHeight="false" outlineLevel="0" collapsed="false">
      <c r="A2765" s="91"/>
    </row>
    <row r="2766" customFormat="false" ht="17.6" hidden="false" customHeight="false" outlineLevel="0" collapsed="false">
      <c r="A2766" s="91"/>
    </row>
    <row r="2767" customFormat="false" ht="17.6" hidden="false" customHeight="false" outlineLevel="0" collapsed="false">
      <c r="A2767" s="91"/>
    </row>
    <row r="2768" customFormat="false" ht="17.6" hidden="false" customHeight="false" outlineLevel="0" collapsed="false">
      <c r="A2768" s="91"/>
    </row>
    <row r="2769" customFormat="false" ht="17.6" hidden="false" customHeight="false" outlineLevel="0" collapsed="false">
      <c r="A2769" s="91"/>
    </row>
    <row r="2770" customFormat="false" ht="17.6" hidden="false" customHeight="false" outlineLevel="0" collapsed="false">
      <c r="A2770" s="91"/>
    </row>
    <row r="2771" customFormat="false" ht="17.6" hidden="false" customHeight="false" outlineLevel="0" collapsed="false">
      <c r="A2771" s="91"/>
    </row>
    <row r="2772" customFormat="false" ht="17.6" hidden="false" customHeight="false" outlineLevel="0" collapsed="false">
      <c r="A2772" s="91"/>
    </row>
    <row r="2773" customFormat="false" ht="17.6" hidden="false" customHeight="false" outlineLevel="0" collapsed="false">
      <c r="A2773" s="91"/>
    </row>
    <row r="2774" customFormat="false" ht="17.6" hidden="false" customHeight="false" outlineLevel="0" collapsed="false">
      <c r="A2774" s="91"/>
    </row>
    <row r="2775" customFormat="false" ht="17.6" hidden="false" customHeight="false" outlineLevel="0" collapsed="false">
      <c r="A2775" s="91"/>
    </row>
    <row r="2776" customFormat="false" ht="17.6" hidden="false" customHeight="false" outlineLevel="0" collapsed="false">
      <c r="A2776" s="91"/>
    </row>
    <row r="2777" customFormat="false" ht="17.6" hidden="false" customHeight="false" outlineLevel="0" collapsed="false">
      <c r="A2777" s="91"/>
    </row>
    <row r="2778" customFormat="false" ht="17.6" hidden="false" customHeight="false" outlineLevel="0" collapsed="false">
      <c r="A2778" s="91"/>
    </row>
    <row r="2779" customFormat="false" ht="17.6" hidden="false" customHeight="false" outlineLevel="0" collapsed="false">
      <c r="A2779" s="91"/>
    </row>
    <row r="2780" customFormat="false" ht="17.6" hidden="false" customHeight="false" outlineLevel="0" collapsed="false">
      <c r="A2780" s="91"/>
    </row>
    <row r="2781" customFormat="false" ht="17.6" hidden="false" customHeight="false" outlineLevel="0" collapsed="false">
      <c r="A2781" s="91"/>
    </row>
    <row r="2782" customFormat="false" ht="17.6" hidden="false" customHeight="false" outlineLevel="0" collapsed="false">
      <c r="A2782" s="91"/>
    </row>
    <row r="2783" customFormat="false" ht="17.6" hidden="false" customHeight="false" outlineLevel="0" collapsed="false">
      <c r="A2783" s="91"/>
    </row>
    <row r="2784" customFormat="false" ht="17.6" hidden="false" customHeight="false" outlineLevel="0" collapsed="false">
      <c r="A2784" s="91"/>
    </row>
    <row r="2785" customFormat="false" ht="17.6" hidden="false" customHeight="false" outlineLevel="0" collapsed="false">
      <c r="A2785" s="91"/>
    </row>
    <row r="2786" customFormat="false" ht="17.6" hidden="false" customHeight="false" outlineLevel="0" collapsed="false">
      <c r="A2786" s="91"/>
    </row>
    <row r="2787" customFormat="false" ht="17.6" hidden="false" customHeight="false" outlineLevel="0" collapsed="false">
      <c r="A2787" s="91"/>
    </row>
    <row r="2788" customFormat="false" ht="17.6" hidden="false" customHeight="false" outlineLevel="0" collapsed="false">
      <c r="A2788" s="91"/>
    </row>
    <row r="2789" customFormat="false" ht="17.6" hidden="false" customHeight="false" outlineLevel="0" collapsed="false">
      <c r="A2789" s="91"/>
    </row>
    <row r="2790" customFormat="false" ht="17.6" hidden="false" customHeight="false" outlineLevel="0" collapsed="false">
      <c r="A2790" s="91"/>
    </row>
    <row r="2791" customFormat="false" ht="17.6" hidden="false" customHeight="false" outlineLevel="0" collapsed="false">
      <c r="A2791" s="91"/>
    </row>
    <row r="2792" customFormat="false" ht="17.6" hidden="false" customHeight="false" outlineLevel="0" collapsed="false">
      <c r="A2792" s="91"/>
    </row>
    <row r="2793" customFormat="false" ht="17.6" hidden="false" customHeight="false" outlineLevel="0" collapsed="false">
      <c r="A2793" s="91"/>
    </row>
    <row r="2794" customFormat="false" ht="17.6" hidden="false" customHeight="false" outlineLevel="0" collapsed="false">
      <c r="A2794" s="91"/>
    </row>
    <row r="2795" customFormat="false" ht="17.6" hidden="false" customHeight="false" outlineLevel="0" collapsed="false">
      <c r="A2795" s="91"/>
    </row>
    <row r="2796" customFormat="false" ht="17.6" hidden="false" customHeight="false" outlineLevel="0" collapsed="false">
      <c r="A2796" s="91"/>
    </row>
    <row r="2797" customFormat="false" ht="17.6" hidden="false" customHeight="false" outlineLevel="0" collapsed="false">
      <c r="A2797" s="91"/>
    </row>
    <row r="2798" customFormat="false" ht="17.6" hidden="false" customHeight="false" outlineLevel="0" collapsed="false">
      <c r="A2798" s="91"/>
    </row>
    <row r="2799" customFormat="false" ht="17.6" hidden="false" customHeight="false" outlineLevel="0" collapsed="false">
      <c r="A2799" s="91"/>
    </row>
    <row r="2800" customFormat="false" ht="17.6" hidden="false" customHeight="false" outlineLevel="0" collapsed="false">
      <c r="A2800" s="91"/>
    </row>
    <row r="2801" customFormat="false" ht="17.6" hidden="false" customHeight="false" outlineLevel="0" collapsed="false">
      <c r="A2801" s="91"/>
    </row>
    <row r="2802" customFormat="false" ht="17.6" hidden="false" customHeight="false" outlineLevel="0" collapsed="false">
      <c r="A2802" s="91"/>
    </row>
    <row r="2803" customFormat="false" ht="17.6" hidden="false" customHeight="false" outlineLevel="0" collapsed="false">
      <c r="A2803" s="91"/>
    </row>
    <row r="2804" customFormat="false" ht="17.6" hidden="false" customHeight="false" outlineLevel="0" collapsed="false">
      <c r="A2804" s="91"/>
    </row>
    <row r="2805" customFormat="false" ht="17.6" hidden="false" customHeight="false" outlineLevel="0" collapsed="false">
      <c r="A2805" s="91"/>
    </row>
    <row r="2806" customFormat="false" ht="17.6" hidden="false" customHeight="false" outlineLevel="0" collapsed="false">
      <c r="A2806" s="91"/>
    </row>
    <row r="2807" customFormat="false" ht="17.6" hidden="false" customHeight="false" outlineLevel="0" collapsed="false">
      <c r="A2807" s="91"/>
    </row>
    <row r="2808" customFormat="false" ht="17.6" hidden="false" customHeight="false" outlineLevel="0" collapsed="false">
      <c r="A2808" s="91"/>
    </row>
    <row r="2809" customFormat="false" ht="17.6" hidden="false" customHeight="false" outlineLevel="0" collapsed="false">
      <c r="A2809" s="91"/>
    </row>
    <row r="2810" customFormat="false" ht="17.6" hidden="false" customHeight="false" outlineLevel="0" collapsed="false">
      <c r="A2810" s="91"/>
    </row>
    <row r="2811" customFormat="false" ht="17.6" hidden="false" customHeight="false" outlineLevel="0" collapsed="false">
      <c r="A2811" s="91"/>
    </row>
    <row r="2812" customFormat="false" ht="17.6" hidden="false" customHeight="false" outlineLevel="0" collapsed="false">
      <c r="A2812" s="91"/>
    </row>
    <row r="2813" customFormat="false" ht="17.6" hidden="false" customHeight="false" outlineLevel="0" collapsed="false">
      <c r="A2813" s="91"/>
    </row>
    <row r="2814" customFormat="false" ht="17.6" hidden="false" customHeight="false" outlineLevel="0" collapsed="false">
      <c r="A2814" s="91"/>
    </row>
    <row r="2815" customFormat="false" ht="17.6" hidden="false" customHeight="false" outlineLevel="0" collapsed="false">
      <c r="A2815" s="91"/>
    </row>
    <row r="2816" customFormat="false" ht="17.6" hidden="false" customHeight="false" outlineLevel="0" collapsed="false">
      <c r="A2816" s="91"/>
    </row>
    <row r="2817" customFormat="false" ht="17.6" hidden="false" customHeight="false" outlineLevel="0" collapsed="false">
      <c r="A2817" s="91"/>
    </row>
    <row r="2818" customFormat="false" ht="17.6" hidden="false" customHeight="false" outlineLevel="0" collapsed="false">
      <c r="A2818" s="91"/>
    </row>
    <row r="2819" customFormat="false" ht="17.6" hidden="false" customHeight="false" outlineLevel="0" collapsed="false">
      <c r="A2819" s="91"/>
    </row>
    <row r="2820" customFormat="false" ht="17.6" hidden="false" customHeight="false" outlineLevel="0" collapsed="false">
      <c r="A2820" s="91"/>
    </row>
    <row r="2821" customFormat="false" ht="17.6" hidden="false" customHeight="false" outlineLevel="0" collapsed="false">
      <c r="A2821" s="91"/>
    </row>
    <row r="2822" customFormat="false" ht="17.6" hidden="false" customHeight="false" outlineLevel="0" collapsed="false">
      <c r="A2822" s="91"/>
    </row>
    <row r="2823" customFormat="false" ht="17.6" hidden="false" customHeight="false" outlineLevel="0" collapsed="false">
      <c r="A2823" s="91"/>
    </row>
    <row r="2824" customFormat="false" ht="17.6" hidden="false" customHeight="false" outlineLevel="0" collapsed="false">
      <c r="A2824" s="91"/>
    </row>
    <row r="2825" customFormat="false" ht="17.6" hidden="false" customHeight="false" outlineLevel="0" collapsed="false">
      <c r="A2825" s="91"/>
    </row>
    <row r="2826" customFormat="false" ht="17.6" hidden="false" customHeight="false" outlineLevel="0" collapsed="false">
      <c r="A2826" s="91"/>
    </row>
    <row r="2827" customFormat="false" ht="17.6" hidden="false" customHeight="false" outlineLevel="0" collapsed="false">
      <c r="A2827" s="91"/>
    </row>
    <row r="2828" customFormat="false" ht="17.6" hidden="false" customHeight="false" outlineLevel="0" collapsed="false">
      <c r="A2828" s="91"/>
    </row>
    <row r="2829" customFormat="false" ht="17.6" hidden="false" customHeight="false" outlineLevel="0" collapsed="false">
      <c r="A2829" s="91"/>
    </row>
    <row r="2830" customFormat="false" ht="17.6" hidden="false" customHeight="false" outlineLevel="0" collapsed="false">
      <c r="A2830" s="91"/>
    </row>
    <row r="2831" customFormat="false" ht="17.6" hidden="false" customHeight="false" outlineLevel="0" collapsed="false">
      <c r="A2831" s="91"/>
    </row>
    <row r="2832" customFormat="false" ht="17.6" hidden="false" customHeight="false" outlineLevel="0" collapsed="false">
      <c r="A2832" s="91"/>
    </row>
    <row r="2833" customFormat="false" ht="17.6" hidden="false" customHeight="false" outlineLevel="0" collapsed="false">
      <c r="A2833" s="91"/>
    </row>
    <row r="2834" customFormat="false" ht="17.6" hidden="false" customHeight="false" outlineLevel="0" collapsed="false">
      <c r="A2834" s="91"/>
    </row>
    <row r="2835" customFormat="false" ht="17.6" hidden="false" customHeight="false" outlineLevel="0" collapsed="false">
      <c r="A2835" s="91"/>
    </row>
    <row r="2836" customFormat="false" ht="17.6" hidden="false" customHeight="false" outlineLevel="0" collapsed="false">
      <c r="A2836" s="91"/>
    </row>
    <row r="2837" customFormat="false" ht="17.6" hidden="false" customHeight="false" outlineLevel="0" collapsed="false">
      <c r="A2837" s="91"/>
    </row>
    <row r="2838" customFormat="false" ht="17.6" hidden="false" customHeight="false" outlineLevel="0" collapsed="false">
      <c r="A2838" s="91"/>
    </row>
    <row r="2839" customFormat="false" ht="17.6" hidden="false" customHeight="false" outlineLevel="0" collapsed="false">
      <c r="A2839" s="91"/>
    </row>
    <row r="2840" customFormat="false" ht="17.6" hidden="false" customHeight="false" outlineLevel="0" collapsed="false">
      <c r="A2840" s="91"/>
    </row>
    <row r="2841" customFormat="false" ht="17.6" hidden="false" customHeight="false" outlineLevel="0" collapsed="false">
      <c r="A2841" s="91"/>
    </row>
    <row r="2842" customFormat="false" ht="17.6" hidden="false" customHeight="false" outlineLevel="0" collapsed="false">
      <c r="A2842" s="91"/>
    </row>
    <row r="2843" customFormat="false" ht="17.6" hidden="false" customHeight="false" outlineLevel="0" collapsed="false">
      <c r="A2843" s="91"/>
    </row>
    <row r="2844" customFormat="false" ht="17.6" hidden="false" customHeight="false" outlineLevel="0" collapsed="false">
      <c r="A2844" s="91"/>
    </row>
    <row r="2845" customFormat="false" ht="17.6" hidden="false" customHeight="false" outlineLevel="0" collapsed="false">
      <c r="A2845" s="91"/>
    </row>
    <row r="2846" customFormat="false" ht="17.6" hidden="false" customHeight="false" outlineLevel="0" collapsed="false">
      <c r="A2846" s="91"/>
    </row>
    <row r="2847" customFormat="false" ht="17.6" hidden="false" customHeight="false" outlineLevel="0" collapsed="false">
      <c r="A2847" s="91"/>
    </row>
    <row r="2848" customFormat="false" ht="17.6" hidden="false" customHeight="false" outlineLevel="0" collapsed="false">
      <c r="A2848" s="91"/>
    </row>
    <row r="2849" customFormat="false" ht="17.6" hidden="false" customHeight="false" outlineLevel="0" collapsed="false">
      <c r="A2849" s="91"/>
    </row>
    <row r="2850" customFormat="false" ht="17.6" hidden="false" customHeight="false" outlineLevel="0" collapsed="false">
      <c r="A2850" s="91"/>
    </row>
    <row r="2851" customFormat="false" ht="17.6" hidden="false" customHeight="false" outlineLevel="0" collapsed="false">
      <c r="A2851" s="91"/>
    </row>
    <row r="2852" customFormat="false" ht="17.6" hidden="false" customHeight="false" outlineLevel="0" collapsed="false">
      <c r="A2852" s="91"/>
    </row>
    <row r="2853" customFormat="false" ht="17.6" hidden="false" customHeight="false" outlineLevel="0" collapsed="false">
      <c r="A2853" s="91"/>
    </row>
    <row r="2854" customFormat="false" ht="17.6" hidden="false" customHeight="false" outlineLevel="0" collapsed="false">
      <c r="A2854" s="91"/>
    </row>
    <row r="2855" customFormat="false" ht="17.6" hidden="false" customHeight="false" outlineLevel="0" collapsed="false">
      <c r="A2855" s="91"/>
    </row>
    <row r="2856" customFormat="false" ht="17.6" hidden="false" customHeight="false" outlineLevel="0" collapsed="false">
      <c r="A2856" s="91"/>
    </row>
    <row r="2857" customFormat="false" ht="17.6" hidden="false" customHeight="false" outlineLevel="0" collapsed="false">
      <c r="A2857" s="91"/>
    </row>
    <row r="2858" customFormat="false" ht="17.6" hidden="false" customHeight="false" outlineLevel="0" collapsed="false">
      <c r="A2858" s="91"/>
    </row>
    <row r="2859" customFormat="false" ht="17.6" hidden="false" customHeight="false" outlineLevel="0" collapsed="false">
      <c r="A2859" s="91"/>
    </row>
    <row r="2860" customFormat="false" ht="17.6" hidden="false" customHeight="false" outlineLevel="0" collapsed="false">
      <c r="A2860" s="91"/>
    </row>
    <row r="2861" customFormat="false" ht="17.6" hidden="false" customHeight="false" outlineLevel="0" collapsed="false">
      <c r="A2861" s="91"/>
    </row>
    <row r="2862" customFormat="false" ht="17.6" hidden="false" customHeight="false" outlineLevel="0" collapsed="false">
      <c r="A2862" s="91"/>
    </row>
    <row r="2863" customFormat="false" ht="17.6" hidden="false" customHeight="false" outlineLevel="0" collapsed="false">
      <c r="A2863" s="91"/>
    </row>
    <row r="2864" customFormat="false" ht="17.6" hidden="false" customHeight="false" outlineLevel="0" collapsed="false">
      <c r="A2864" s="91"/>
    </row>
    <row r="2865" customFormat="false" ht="17.6" hidden="false" customHeight="false" outlineLevel="0" collapsed="false">
      <c r="A2865" s="91"/>
    </row>
    <row r="2866" customFormat="false" ht="17.6" hidden="false" customHeight="false" outlineLevel="0" collapsed="false">
      <c r="A2866" s="91"/>
    </row>
    <row r="2867" customFormat="false" ht="17.6" hidden="false" customHeight="false" outlineLevel="0" collapsed="false">
      <c r="A2867" s="91"/>
    </row>
    <row r="2868" customFormat="false" ht="17.6" hidden="false" customHeight="false" outlineLevel="0" collapsed="false">
      <c r="A2868" s="91"/>
    </row>
    <row r="2869" customFormat="false" ht="17.6" hidden="false" customHeight="false" outlineLevel="0" collapsed="false">
      <c r="A2869" s="91"/>
    </row>
    <row r="2870" customFormat="false" ht="17.6" hidden="false" customHeight="false" outlineLevel="0" collapsed="false">
      <c r="A2870" s="91"/>
    </row>
    <row r="2871" customFormat="false" ht="17.6" hidden="false" customHeight="false" outlineLevel="0" collapsed="false">
      <c r="A2871" s="91"/>
    </row>
    <row r="2872" customFormat="false" ht="17.6" hidden="false" customHeight="false" outlineLevel="0" collapsed="false">
      <c r="A2872" s="91"/>
    </row>
    <row r="2873" customFormat="false" ht="17.6" hidden="false" customHeight="false" outlineLevel="0" collapsed="false">
      <c r="A2873" s="91"/>
    </row>
    <row r="2874" customFormat="false" ht="17.6" hidden="false" customHeight="false" outlineLevel="0" collapsed="false">
      <c r="A2874" s="91"/>
    </row>
    <row r="2875" customFormat="false" ht="17.6" hidden="false" customHeight="false" outlineLevel="0" collapsed="false">
      <c r="A2875" s="91"/>
    </row>
    <row r="2876" customFormat="false" ht="17.6" hidden="false" customHeight="false" outlineLevel="0" collapsed="false">
      <c r="A2876" s="91"/>
    </row>
    <row r="2877" customFormat="false" ht="17.6" hidden="false" customHeight="false" outlineLevel="0" collapsed="false">
      <c r="A2877" s="91"/>
    </row>
    <row r="2878" customFormat="false" ht="17.6" hidden="false" customHeight="false" outlineLevel="0" collapsed="false">
      <c r="A2878" s="91"/>
    </row>
    <row r="2879" customFormat="false" ht="17.6" hidden="false" customHeight="false" outlineLevel="0" collapsed="false">
      <c r="A2879" s="91"/>
    </row>
    <row r="2880" customFormat="false" ht="17.6" hidden="false" customHeight="false" outlineLevel="0" collapsed="false">
      <c r="A2880" s="91"/>
    </row>
    <row r="2881" customFormat="false" ht="17.6" hidden="false" customHeight="false" outlineLevel="0" collapsed="false">
      <c r="A2881" s="91"/>
    </row>
    <row r="2882" customFormat="false" ht="17.6" hidden="false" customHeight="false" outlineLevel="0" collapsed="false">
      <c r="A2882" s="91"/>
    </row>
    <row r="2883" customFormat="false" ht="17.6" hidden="false" customHeight="false" outlineLevel="0" collapsed="false">
      <c r="A2883" s="91"/>
    </row>
    <row r="2884" customFormat="false" ht="17.6" hidden="false" customHeight="false" outlineLevel="0" collapsed="false">
      <c r="A2884" s="91"/>
    </row>
    <row r="2885" customFormat="false" ht="17.6" hidden="false" customHeight="false" outlineLevel="0" collapsed="false">
      <c r="A2885" s="91"/>
    </row>
    <row r="2886" customFormat="false" ht="17.6" hidden="false" customHeight="false" outlineLevel="0" collapsed="false">
      <c r="A2886" s="91"/>
    </row>
    <row r="2887" customFormat="false" ht="17.6" hidden="false" customHeight="false" outlineLevel="0" collapsed="false">
      <c r="A2887" s="91"/>
    </row>
    <row r="2888" customFormat="false" ht="17.6" hidden="false" customHeight="false" outlineLevel="0" collapsed="false">
      <c r="A2888" s="91"/>
    </row>
    <row r="2889" customFormat="false" ht="17.6" hidden="false" customHeight="false" outlineLevel="0" collapsed="false">
      <c r="A2889" s="91"/>
    </row>
    <row r="2890" customFormat="false" ht="17.6" hidden="false" customHeight="false" outlineLevel="0" collapsed="false">
      <c r="A2890" s="91"/>
    </row>
    <row r="2891" customFormat="false" ht="17.6" hidden="false" customHeight="false" outlineLevel="0" collapsed="false">
      <c r="A2891" s="91"/>
    </row>
    <row r="2892" customFormat="false" ht="17.6" hidden="false" customHeight="false" outlineLevel="0" collapsed="false">
      <c r="A2892" s="91"/>
    </row>
    <row r="2893" customFormat="false" ht="17.6" hidden="false" customHeight="false" outlineLevel="0" collapsed="false">
      <c r="A2893" s="91"/>
    </row>
    <row r="2894" customFormat="false" ht="17.6" hidden="false" customHeight="false" outlineLevel="0" collapsed="false">
      <c r="A2894" s="91"/>
    </row>
    <row r="2895" customFormat="false" ht="17.6" hidden="false" customHeight="false" outlineLevel="0" collapsed="false">
      <c r="A2895" s="91"/>
    </row>
    <row r="2896" customFormat="false" ht="17.6" hidden="false" customHeight="false" outlineLevel="0" collapsed="false">
      <c r="A2896" s="91"/>
    </row>
    <row r="2897" customFormat="false" ht="17.6" hidden="false" customHeight="false" outlineLevel="0" collapsed="false">
      <c r="A2897" s="91"/>
    </row>
    <row r="2898" customFormat="false" ht="17.6" hidden="false" customHeight="false" outlineLevel="0" collapsed="false">
      <c r="A2898" s="91"/>
    </row>
    <row r="2899" customFormat="false" ht="17.6" hidden="false" customHeight="false" outlineLevel="0" collapsed="false">
      <c r="A2899" s="91"/>
    </row>
    <row r="2900" customFormat="false" ht="17.6" hidden="false" customHeight="false" outlineLevel="0" collapsed="false">
      <c r="A2900" s="91"/>
    </row>
    <row r="2901" customFormat="false" ht="17.6" hidden="false" customHeight="false" outlineLevel="0" collapsed="false">
      <c r="A2901" s="91"/>
    </row>
    <row r="2902" customFormat="false" ht="17.6" hidden="false" customHeight="false" outlineLevel="0" collapsed="false">
      <c r="A2902" s="91"/>
    </row>
    <row r="2903" customFormat="false" ht="17.6" hidden="false" customHeight="false" outlineLevel="0" collapsed="false">
      <c r="A2903" s="91"/>
    </row>
    <row r="2904" customFormat="false" ht="17.6" hidden="false" customHeight="false" outlineLevel="0" collapsed="false">
      <c r="A2904" s="91"/>
    </row>
    <row r="2905" customFormat="false" ht="17.6" hidden="false" customHeight="false" outlineLevel="0" collapsed="false">
      <c r="A2905" s="91"/>
    </row>
    <row r="2906" customFormat="false" ht="17.6" hidden="false" customHeight="false" outlineLevel="0" collapsed="false">
      <c r="A2906" s="91"/>
    </row>
    <row r="2907" customFormat="false" ht="17.6" hidden="false" customHeight="false" outlineLevel="0" collapsed="false">
      <c r="A2907" s="91"/>
    </row>
    <row r="2908" customFormat="false" ht="17.6" hidden="false" customHeight="false" outlineLevel="0" collapsed="false">
      <c r="A2908" s="91"/>
    </row>
    <row r="2909" customFormat="false" ht="17.6" hidden="false" customHeight="false" outlineLevel="0" collapsed="false">
      <c r="A2909" s="91"/>
    </row>
    <row r="2910" customFormat="false" ht="17.6" hidden="false" customHeight="false" outlineLevel="0" collapsed="false">
      <c r="A2910" s="91"/>
    </row>
    <row r="2911" customFormat="false" ht="17.6" hidden="false" customHeight="false" outlineLevel="0" collapsed="false">
      <c r="A2911" s="91"/>
    </row>
    <row r="2912" customFormat="false" ht="17.6" hidden="false" customHeight="false" outlineLevel="0" collapsed="false">
      <c r="A2912" s="91"/>
    </row>
    <row r="2913" customFormat="false" ht="17.6" hidden="false" customHeight="false" outlineLevel="0" collapsed="false">
      <c r="A2913" s="91"/>
    </row>
    <row r="2914" customFormat="false" ht="17.6" hidden="false" customHeight="false" outlineLevel="0" collapsed="false">
      <c r="A2914" s="91"/>
    </row>
    <row r="2915" customFormat="false" ht="17.6" hidden="false" customHeight="false" outlineLevel="0" collapsed="false">
      <c r="A2915" s="91"/>
    </row>
    <row r="2916" customFormat="false" ht="17.6" hidden="false" customHeight="false" outlineLevel="0" collapsed="false">
      <c r="A2916" s="91"/>
    </row>
    <row r="2917" customFormat="false" ht="17.6" hidden="false" customHeight="false" outlineLevel="0" collapsed="false">
      <c r="A2917" s="91"/>
    </row>
    <row r="2918" customFormat="false" ht="17.6" hidden="false" customHeight="false" outlineLevel="0" collapsed="false">
      <c r="A2918" s="91"/>
    </row>
    <row r="2919" customFormat="false" ht="17.6" hidden="false" customHeight="false" outlineLevel="0" collapsed="false">
      <c r="A2919" s="91"/>
    </row>
    <row r="2920" customFormat="false" ht="17.6" hidden="false" customHeight="false" outlineLevel="0" collapsed="false">
      <c r="A2920" s="91"/>
    </row>
    <row r="2921" customFormat="false" ht="17.6" hidden="false" customHeight="false" outlineLevel="0" collapsed="false">
      <c r="A2921" s="91"/>
    </row>
    <row r="2922" customFormat="false" ht="17.6" hidden="false" customHeight="false" outlineLevel="0" collapsed="false">
      <c r="A2922" s="91"/>
    </row>
    <row r="2923" customFormat="false" ht="17.6" hidden="false" customHeight="false" outlineLevel="0" collapsed="false">
      <c r="A2923" s="91"/>
    </row>
    <row r="2924" customFormat="false" ht="17.6" hidden="false" customHeight="false" outlineLevel="0" collapsed="false">
      <c r="A2924" s="91"/>
    </row>
    <row r="2925" customFormat="false" ht="17.6" hidden="false" customHeight="false" outlineLevel="0" collapsed="false">
      <c r="A2925" s="91"/>
    </row>
    <row r="2926" customFormat="false" ht="17.6" hidden="false" customHeight="false" outlineLevel="0" collapsed="false">
      <c r="A2926" s="91"/>
    </row>
    <row r="2927" customFormat="false" ht="17.6" hidden="false" customHeight="false" outlineLevel="0" collapsed="false">
      <c r="A2927" s="91"/>
    </row>
    <row r="2928" customFormat="false" ht="17.6" hidden="false" customHeight="false" outlineLevel="0" collapsed="false">
      <c r="A2928" s="91"/>
    </row>
    <row r="2929" customFormat="false" ht="17.6" hidden="false" customHeight="false" outlineLevel="0" collapsed="false">
      <c r="A2929" s="91"/>
    </row>
    <row r="2930" customFormat="false" ht="17.6" hidden="false" customHeight="false" outlineLevel="0" collapsed="false">
      <c r="A2930" s="91"/>
    </row>
    <row r="2931" customFormat="false" ht="17.6" hidden="false" customHeight="false" outlineLevel="0" collapsed="false">
      <c r="A2931" s="91"/>
    </row>
    <row r="2932" customFormat="false" ht="17.6" hidden="false" customHeight="false" outlineLevel="0" collapsed="false">
      <c r="A2932" s="91"/>
    </row>
    <row r="2933" customFormat="false" ht="17.6" hidden="false" customHeight="false" outlineLevel="0" collapsed="false">
      <c r="A2933" s="91"/>
    </row>
    <row r="2934" customFormat="false" ht="17.6" hidden="false" customHeight="false" outlineLevel="0" collapsed="false">
      <c r="A2934" s="91"/>
    </row>
    <row r="2935" customFormat="false" ht="17.6" hidden="false" customHeight="false" outlineLevel="0" collapsed="false">
      <c r="A2935" s="91"/>
    </row>
    <row r="2936" customFormat="false" ht="17.6" hidden="false" customHeight="false" outlineLevel="0" collapsed="false">
      <c r="A2936" s="91"/>
    </row>
    <row r="2937" customFormat="false" ht="17.6" hidden="false" customHeight="false" outlineLevel="0" collapsed="false">
      <c r="A2937" s="91"/>
    </row>
    <row r="2938" customFormat="false" ht="17.6" hidden="false" customHeight="false" outlineLevel="0" collapsed="false">
      <c r="A2938" s="91"/>
    </row>
    <row r="2939" customFormat="false" ht="17.6" hidden="false" customHeight="false" outlineLevel="0" collapsed="false">
      <c r="A2939" s="91"/>
    </row>
    <row r="2940" customFormat="false" ht="17.6" hidden="false" customHeight="false" outlineLevel="0" collapsed="false">
      <c r="A2940" s="91"/>
    </row>
    <row r="2941" customFormat="false" ht="17.6" hidden="false" customHeight="false" outlineLevel="0" collapsed="false">
      <c r="A2941" s="91"/>
    </row>
    <row r="2942" customFormat="false" ht="17.6" hidden="false" customHeight="false" outlineLevel="0" collapsed="false">
      <c r="A2942" s="91"/>
    </row>
    <row r="2943" customFormat="false" ht="17.6" hidden="false" customHeight="false" outlineLevel="0" collapsed="false">
      <c r="A2943" s="91"/>
    </row>
    <row r="2944" customFormat="false" ht="17.6" hidden="false" customHeight="false" outlineLevel="0" collapsed="false">
      <c r="A2944" s="91"/>
    </row>
    <row r="2945" customFormat="false" ht="17.6" hidden="false" customHeight="false" outlineLevel="0" collapsed="false">
      <c r="A2945" s="91"/>
    </row>
    <row r="2946" customFormat="false" ht="17.6" hidden="false" customHeight="false" outlineLevel="0" collapsed="false">
      <c r="A2946" s="91"/>
    </row>
    <row r="2947" customFormat="false" ht="17.6" hidden="false" customHeight="false" outlineLevel="0" collapsed="false">
      <c r="A2947" s="91"/>
    </row>
    <row r="2948" customFormat="false" ht="17.6" hidden="false" customHeight="false" outlineLevel="0" collapsed="false">
      <c r="A2948" s="91"/>
    </row>
    <row r="2949" customFormat="false" ht="17.6" hidden="false" customHeight="false" outlineLevel="0" collapsed="false">
      <c r="A2949" s="91"/>
    </row>
    <row r="2950" customFormat="false" ht="17.6" hidden="false" customHeight="false" outlineLevel="0" collapsed="false">
      <c r="A2950" s="91"/>
    </row>
    <row r="2951" customFormat="false" ht="17.6" hidden="false" customHeight="false" outlineLevel="0" collapsed="false">
      <c r="A2951" s="91"/>
    </row>
    <row r="2952" customFormat="false" ht="17.6" hidden="false" customHeight="false" outlineLevel="0" collapsed="false">
      <c r="A2952" s="91"/>
    </row>
    <row r="2953" customFormat="false" ht="17.6" hidden="false" customHeight="false" outlineLevel="0" collapsed="false">
      <c r="A2953" s="91"/>
    </row>
    <row r="2954" customFormat="false" ht="17.6" hidden="false" customHeight="false" outlineLevel="0" collapsed="false">
      <c r="A2954" s="91"/>
    </row>
    <row r="2955" customFormat="false" ht="17.6" hidden="false" customHeight="false" outlineLevel="0" collapsed="false">
      <c r="A2955" s="91"/>
    </row>
    <row r="2956" customFormat="false" ht="17.6" hidden="false" customHeight="false" outlineLevel="0" collapsed="false">
      <c r="A2956" s="91"/>
    </row>
    <row r="2957" customFormat="false" ht="17.6" hidden="false" customHeight="false" outlineLevel="0" collapsed="false">
      <c r="A2957" s="91"/>
    </row>
    <row r="2958" customFormat="false" ht="17.6" hidden="false" customHeight="false" outlineLevel="0" collapsed="false">
      <c r="A2958" s="91"/>
    </row>
    <row r="2959" customFormat="false" ht="17.6" hidden="false" customHeight="false" outlineLevel="0" collapsed="false">
      <c r="A2959" s="91"/>
    </row>
    <row r="2960" customFormat="false" ht="17.6" hidden="false" customHeight="false" outlineLevel="0" collapsed="false">
      <c r="A2960" s="91"/>
    </row>
    <row r="2961" customFormat="false" ht="17.6" hidden="false" customHeight="false" outlineLevel="0" collapsed="false">
      <c r="A2961" s="91"/>
    </row>
    <row r="2962" customFormat="false" ht="17.6" hidden="false" customHeight="false" outlineLevel="0" collapsed="false">
      <c r="A2962" s="91"/>
    </row>
    <row r="2963" customFormat="false" ht="17.6" hidden="false" customHeight="false" outlineLevel="0" collapsed="false">
      <c r="A2963" s="91"/>
    </row>
    <row r="2964" customFormat="false" ht="17.6" hidden="false" customHeight="false" outlineLevel="0" collapsed="false">
      <c r="A2964" s="91"/>
    </row>
    <row r="2965" customFormat="false" ht="17.6" hidden="false" customHeight="false" outlineLevel="0" collapsed="false">
      <c r="A2965" s="91"/>
    </row>
    <row r="2966" customFormat="false" ht="17.6" hidden="false" customHeight="false" outlineLevel="0" collapsed="false">
      <c r="A2966" s="91"/>
    </row>
    <row r="2967" customFormat="false" ht="17.6" hidden="false" customHeight="false" outlineLevel="0" collapsed="false">
      <c r="A2967" s="91"/>
    </row>
    <row r="2968" customFormat="false" ht="17.6" hidden="false" customHeight="false" outlineLevel="0" collapsed="false">
      <c r="A2968" s="91"/>
    </row>
    <row r="2969" customFormat="false" ht="17.6" hidden="false" customHeight="false" outlineLevel="0" collapsed="false">
      <c r="A2969" s="91"/>
    </row>
    <row r="2970" customFormat="false" ht="17.6" hidden="false" customHeight="false" outlineLevel="0" collapsed="false">
      <c r="A2970" s="91"/>
    </row>
    <row r="2971" customFormat="false" ht="17.6" hidden="false" customHeight="false" outlineLevel="0" collapsed="false">
      <c r="A2971" s="91"/>
    </row>
    <row r="2972" customFormat="false" ht="17.6" hidden="false" customHeight="false" outlineLevel="0" collapsed="false">
      <c r="A2972" s="91"/>
    </row>
    <row r="2973" customFormat="false" ht="17.6" hidden="false" customHeight="false" outlineLevel="0" collapsed="false">
      <c r="A2973" s="91"/>
    </row>
    <row r="2974" customFormat="false" ht="17.6" hidden="false" customHeight="false" outlineLevel="0" collapsed="false">
      <c r="A2974" s="91"/>
    </row>
    <row r="2975" customFormat="false" ht="17.6" hidden="false" customHeight="false" outlineLevel="0" collapsed="false">
      <c r="A2975" s="91"/>
    </row>
    <row r="2976" customFormat="false" ht="17.6" hidden="false" customHeight="false" outlineLevel="0" collapsed="false">
      <c r="A2976" s="91"/>
    </row>
    <row r="2977" customFormat="false" ht="17.6" hidden="false" customHeight="false" outlineLevel="0" collapsed="false">
      <c r="A2977" s="91"/>
    </row>
    <row r="2978" customFormat="false" ht="17.6" hidden="false" customHeight="false" outlineLevel="0" collapsed="false">
      <c r="A2978" s="91"/>
    </row>
    <row r="2979" customFormat="false" ht="17.6" hidden="false" customHeight="false" outlineLevel="0" collapsed="false">
      <c r="A2979" s="91"/>
    </row>
    <row r="2980" customFormat="false" ht="17.6" hidden="false" customHeight="false" outlineLevel="0" collapsed="false">
      <c r="A2980" s="91"/>
    </row>
    <row r="2981" customFormat="false" ht="17.6" hidden="false" customHeight="false" outlineLevel="0" collapsed="false">
      <c r="A2981" s="91"/>
    </row>
    <row r="2982" customFormat="false" ht="17.6" hidden="false" customHeight="false" outlineLevel="0" collapsed="false">
      <c r="A2982" s="91"/>
    </row>
    <row r="2983" customFormat="false" ht="17.6" hidden="false" customHeight="false" outlineLevel="0" collapsed="false">
      <c r="A2983" s="91"/>
    </row>
    <row r="2984" customFormat="false" ht="17.6" hidden="false" customHeight="false" outlineLevel="0" collapsed="false">
      <c r="A2984" s="91"/>
    </row>
    <row r="2985" customFormat="false" ht="17.6" hidden="false" customHeight="false" outlineLevel="0" collapsed="false">
      <c r="A2985" s="91"/>
    </row>
    <row r="2986" customFormat="false" ht="17.6" hidden="false" customHeight="false" outlineLevel="0" collapsed="false">
      <c r="A2986" s="91"/>
    </row>
    <row r="2987" customFormat="false" ht="17.6" hidden="false" customHeight="false" outlineLevel="0" collapsed="false">
      <c r="A2987" s="91"/>
    </row>
    <row r="2988" customFormat="false" ht="17.6" hidden="false" customHeight="false" outlineLevel="0" collapsed="false">
      <c r="A2988" s="91"/>
    </row>
    <row r="2989" customFormat="false" ht="17.6" hidden="false" customHeight="false" outlineLevel="0" collapsed="false">
      <c r="A2989" s="91"/>
    </row>
    <row r="2990" customFormat="false" ht="17.6" hidden="false" customHeight="false" outlineLevel="0" collapsed="false">
      <c r="A2990" s="91"/>
    </row>
    <row r="2991" customFormat="false" ht="17.6" hidden="false" customHeight="false" outlineLevel="0" collapsed="false">
      <c r="A2991" s="91"/>
    </row>
    <row r="2992" customFormat="false" ht="17.6" hidden="false" customHeight="false" outlineLevel="0" collapsed="false">
      <c r="A2992" s="91"/>
    </row>
    <row r="2993" customFormat="false" ht="17.6" hidden="false" customHeight="false" outlineLevel="0" collapsed="false">
      <c r="A2993" s="91"/>
    </row>
    <row r="2994" customFormat="false" ht="17.6" hidden="false" customHeight="false" outlineLevel="0" collapsed="false">
      <c r="A2994" s="91"/>
    </row>
    <row r="2995" customFormat="false" ht="17.6" hidden="false" customHeight="false" outlineLevel="0" collapsed="false">
      <c r="A2995" s="91"/>
    </row>
    <row r="2996" customFormat="false" ht="17.6" hidden="false" customHeight="false" outlineLevel="0" collapsed="false">
      <c r="A2996" s="91"/>
    </row>
    <row r="2997" customFormat="false" ht="17.6" hidden="false" customHeight="false" outlineLevel="0" collapsed="false">
      <c r="A2997" s="91"/>
    </row>
    <row r="2998" customFormat="false" ht="17.6" hidden="false" customHeight="false" outlineLevel="0" collapsed="false">
      <c r="A2998" s="91"/>
    </row>
    <row r="2999" customFormat="false" ht="17.6" hidden="false" customHeight="false" outlineLevel="0" collapsed="false">
      <c r="A2999" s="91"/>
    </row>
    <row r="3000" customFormat="false" ht="17.6" hidden="false" customHeight="false" outlineLevel="0" collapsed="false">
      <c r="A3000" s="91"/>
    </row>
    <row r="3001" customFormat="false" ht="17.6" hidden="false" customHeight="false" outlineLevel="0" collapsed="false">
      <c r="A3001" s="91"/>
    </row>
    <row r="3002" customFormat="false" ht="17.6" hidden="false" customHeight="false" outlineLevel="0" collapsed="false">
      <c r="A3002" s="91"/>
    </row>
    <row r="3003" customFormat="false" ht="17.6" hidden="false" customHeight="false" outlineLevel="0" collapsed="false">
      <c r="A3003" s="91"/>
    </row>
    <row r="3004" customFormat="false" ht="17.6" hidden="false" customHeight="false" outlineLevel="0" collapsed="false">
      <c r="A3004" s="91"/>
    </row>
    <row r="3005" customFormat="false" ht="17.6" hidden="false" customHeight="false" outlineLevel="0" collapsed="false">
      <c r="A3005" s="91"/>
    </row>
    <row r="3006" customFormat="false" ht="17.6" hidden="false" customHeight="false" outlineLevel="0" collapsed="false">
      <c r="A3006" s="91"/>
    </row>
    <row r="3007" customFormat="false" ht="17.6" hidden="false" customHeight="false" outlineLevel="0" collapsed="false">
      <c r="A3007" s="91"/>
    </row>
    <row r="3008" customFormat="false" ht="17.6" hidden="false" customHeight="false" outlineLevel="0" collapsed="false">
      <c r="A3008" s="91"/>
    </row>
    <row r="3009" customFormat="false" ht="17.6" hidden="false" customHeight="false" outlineLevel="0" collapsed="false">
      <c r="A3009" s="91"/>
    </row>
    <row r="3010" customFormat="false" ht="17.6" hidden="false" customHeight="false" outlineLevel="0" collapsed="false">
      <c r="A3010" s="91"/>
    </row>
    <row r="3011" customFormat="false" ht="17.6" hidden="false" customHeight="false" outlineLevel="0" collapsed="false">
      <c r="A3011" s="91"/>
    </row>
    <row r="3012" customFormat="false" ht="17.6" hidden="false" customHeight="false" outlineLevel="0" collapsed="false">
      <c r="A3012" s="91"/>
    </row>
    <row r="3013" customFormat="false" ht="17.6" hidden="false" customHeight="false" outlineLevel="0" collapsed="false">
      <c r="A3013" s="91"/>
    </row>
    <row r="3014" customFormat="false" ht="17.6" hidden="false" customHeight="false" outlineLevel="0" collapsed="false">
      <c r="A3014" s="91"/>
    </row>
    <row r="3015" customFormat="false" ht="17.6" hidden="false" customHeight="false" outlineLevel="0" collapsed="false">
      <c r="A3015" s="91"/>
    </row>
    <row r="3016" customFormat="false" ht="17.6" hidden="false" customHeight="false" outlineLevel="0" collapsed="false">
      <c r="A3016" s="91"/>
    </row>
    <row r="3017" customFormat="false" ht="17.6" hidden="false" customHeight="false" outlineLevel="0" collapsed="false">
      <c r="A3017" s="91"/>
    </row>
    <row r="3018" customFormat="false" ht="17.6" hidden="false" customHeight="false" outlineLevel="0" collapsed="false">
      <c r="A3018" s="91"/>
    </row>
    <row r="3019" customFormat="false" ht="17.6" hidden="false" customHeight="false" outlineLevel="0" collapsed="false">
      <c r="A3019" s="91"/>
    </row>
    <row r="3020" customFormat="false" ht="17.6" hidden="false" customHeight="false" outlineLevel="0" collapsed="false">
      <c r="A3020" s="91"/>
    </row>
    <row r="3021" customFormat="false" ht="17.6" hidden="false" customHeight="false" outlineLevel="0" collapsed="false">
      <c r="A3021" s="91"/>
    </row>
    <row r="3022" customFormat="false" ht="17.6" hidden="false" customHeight="false" outlineLevel="0" collapsed="false">
      <c r="A3022" s="91"/>
    </row>
    <row r="3023" customFormat="false" ht="17.6" hidden="false" customHeight="false" outlineLevel="0" collapsed="false">
      <c r="A3023" s="91"/>
    </row>
    <row r="3024" customFormat="false" ht="17.6" hidden="false" customHeight="false" outlineLevel="0" collapsed="false">
      <c r="A3024" s="91"/>
    </row>
    <row r="3025" customFormat="false" ht="17.6" hidden="false" customHeight="false" outlineLevel="0" collapsed="false">
      <c r="A3025" s="91"/>
    </row>
    <row r="3026" customFormat="false" ht="17.6" hidden="false" customHeight="false" outlineLevel="0" collapsed="false">
      <c r="A3026" s="91"/>
    </row>
    <row r="3027" customFormat="false" ht="17.6" hidden="false" customHeight="false" outlineLevel="0" collapsed="false">
      <c r="A3027" s="91"/>
    </row>
    <row r="3028" customFormat="false" ht="17.6" hidden="false" customHeight="false" outlineLevel="0" collapsed="false">
      <c r="A3028" s="91"/>
    </row>
    <row r="3029" customFormat="false" ht="17.6" hidden="false" customHeight="false" outlineLevel="0" collapsed="false">
      <c r="A3029" s="91"/>
    </row>
    <row r="3030" customFormat="false" ht="17.6" hidden="false" customHeight="false" outlineLevel="0" collapsed="false">
      <c r="A3030" s="91"/>
    </row>
    <row r="3031" customFormat="false" ht="17.6" hidden="false" customHeight="false" outlineLevel="0" collapsed="false">
      <c r="A3031" s="91"/>
    </row>
    <row r="3032" customFormat="false" ht="17.6" hidden="false" customHeight="false" outlineLevel="0" collapsed="false">
      <c r="A3032" s="91"/>
    </row>
    <row r="3033" customFormat="false" ht="17.6" hidden="false" customHeight="false" outlineLevel="0" collapsed="false">
      <c r="A3033" s="91"/>
    </row>
    <row r="3034" customFormat="false" ht="17.6" hidden="false" customHeight="false" outlineLevel="0" collapsed="false">
      <c r="A3034" s="91"/>
    </row>
    <row r="3035" customFormat="false" ht="17.6" hidden="false" customHeight="false" outlineLevel="0" collapsed="false">
      <c r="A3035" s="91"/>
    </row>
    <row r="3036" customFormat="false" ht="17.6" hidden="false" customHeight="false" outlineLevel="0" collapsed="false">
      <c r="A3036" s="91"/>
    </row>
    <row r="3037" customFormat="false" ht="17.6" hidden="false" customHeight="false" outlineLevel="0" collapsed="false">
      <c r="A3037" s="91"/>
    </row>
    <row r="3038" customFormat="false" ht="17.6" hidden="false" customHeight="false" outlineLevel="0" collapsed="false">
      <c r="A3038" s="91"/>
    </row>
    <row r="3039" customFormat="false" ht="17.6" hidden="false" customHeight="false" outlineLevel="0" collapsed="false">
      <c r="A3039" s="91"/>
    </row>
    <row r="3040" customFormat="false" ht="17.6" hidden="false" customHeight="false" outlineLevel="0" collapsed="false">
      <c r="A3040" s="91"/>
    </row>
    <row r="3041" customFormat="false" ht="17.6" hidden="false" customHeight="false" outlineLevel="0" collapsed="false">
      <c r="A3041" s="91"/>
    </row>
    <row r="3042" customFormat="false" ht="17.6" hidden="false" customHeight="false" outlineLevel="0" collapsed="false">
      <c r="A3042" s="91"/>
    </row>
    <row r="3043" customFormat="false" ht="17.6" hidden="false" customHeight="false" outlineLevel="0" collapsed="false">
      <c r="A3043" s="91"/>
    </row>
    <row r="3044" customFormat="false" ht="17.6" hidden="false" customHeight="false" outlineLevel="0" collapsed="false">
      <c r="A3044" s="91"/>
    </row>
    <row r="3045" customFormat="false" ht="17.6" hidden="false" customHeight="false" outlineLevel="0" collapsed="false">
      <c r="A3045" s="91"/>
    </row>
    <row r="3046" customFormat="false" ht="17.6" hidden="false" customHeight="false" outlineLevel="0" collapsed="false">
      <c r="A3046" s="91"/>
    </row>
    <row r="3047" customFormat="false" ht="17.6" hidden="false" customHeight="false" outlineLevel="0" collapsed="false">
      <c r="A3047" s="91"/>
    </row>
    <row r="3048" customFormat="false" ht="17.6" hidden="false" customHeight="false" outlineLevel="0" collapsed="false">
      <c r="A3048" s="91"/>
    </row>
    <row r="3049" customFormat="false" ht="17.6" hidden="false" customHeight="false" outlineLevel="0" collapsed="false">
      <c r="A3049" s="91"/>
    </row>
    <row r="3050" customFormat="false" ht="17.6" hidden="false" customHeight="false" outlineLevel="0" collapsed="false">
      <c r="A3050" s="91"/>
    </row>
    <row r="3051" customFormat="false" ht="17.6" hidden="false" customHeight="false" outlineLevel="0" collapsed="false">
      <c r="A3051" s="91"/>
    </row>
    <row r="3052" customFormat="false" ht="17.6" hidden="false" customHeight="false" outlineLevel="0" collapsed="false">
      <c r="A3052" s="91"/>
    </row>
    <row r="3053" customFormat="false" ht="17.6" hidden="false" customHeight="false" outlineLevel="0" collapsed="false">
      <c r="A3053" s="91"/>
    </row>
    <row r="3054" customFormat="false" ht="17.6" hidden="false" customHeight="false" outlineLevel="0" collapsed="false">
      <c r="A3054" s="91"/>
    </row>
    <row r="3055" customFormat="false" ht="17.6" hidden="false" customHeight="false" outlineLevel="0" collapsed="false">
      <c r="A3055" s="91"/>
    </row>
    <row r="3056" customFormat="false" ht="17.6" hidden="false" customHeight="false" outlineLevel="0" collapsed="false">
      <c r="A3056" s="91"/>
    </row>
    <row r="3057" customFormat="false" ht="17.6" hidden="false" customHeight="false" outlineLevel="0" collapsed="false">
      <c r="A3057" s="91"/>
    </row>
    <row r="3058" customFormat="false" ht="17.6" hidden="false" customHeight="false" outlineLevel="0" collapsed="false">
      <c r="A3058" s="91"/>
    </row>
    <row r="3059" customFormat="false" ht="17.6" hidden="false" customHeight="false" outlineLevel="0" collapsed="false">
      <c r="A3059" s="91"/>
    </row>
    <row r="3060" customFormat="false" ht="17.6" hidden="false" customHeight="false" outlineLevel="0" collapsed="false">
      <c r="A3060" s="91"/>
    </row>
    <row r="3061" customFormat="false" ht="17.6" hidden="false" customHeight="false" outlineLevel="0" collapsed="false">
      <c r="A3061" s="91"/>
    </row>
    <row r="3062" customFormat="false" ht="17.6" hidden="false" customHeight="false" outlineLevel="0" collapsed="false">
      <c r="A3062" s="91"/>
    </row>
    <row r="3063" customFormat="false" ht="17.6" hidden="false" customHeight="false" outlineLevel="0" collapsed="false">
      <c r="A3063" s="91"/>
    </row>
    <row r="3064" customFormat="false" ht="17.6" hidden="false" customHeight="false" outlineLevel="0" collapsed="false">
      <c r="A3064" s="91"/>
    </row>
    <row r="3065" customFormat="false" ht="17.6" hidden="false" customHeight="false" outlineLevel="0" collapsed="false">
      <c r="A3065" s="91"/>
    </row>
    <row r="3066" customFormat="false" ht="17.6" hidden="false" customHeight="false" outlineLevel="0" collapsed="false">
      <c r="A3066" s="91"/>
    </row>
    <row r="3067" customFormat="false" ht="17.6" hidden="false" customHeight="false" outlineLevel="0" collapsed="false">
      <c r="A3067" s="91"/>
    </row>
    <row r="3068" customFormat="false" ht="17.6" hidden="false" customHeight="false" outlineLevel="0" collapsed="false">
      <c r="A3068" s="91"/>
    </row>
    <row r="3069" customFormat="false" ht="17.6" hidden="false" customHeight="false" outlineLevel="0" collapsed="false">
      <c r="A3069" s="91"/>
    </row>
    <row r="3070" customFormat="false" ht="17.6" hidden="false" customHeight="false" outlineLevel="0" collapsed="false">
      <c r="A3070" s="91"/>
    </row>
    <row r="3071" customFormat="false" ht="17.6" hidden="false" customHeight="false" outlineLevel="0" collapsed="false">
      <c r="A3071" s="91"/>
    </row>
    <row r="3072" customFormat="false" ht="17.6" hidden="false" customHeight="false" outlineLevel="0" collapsed="false">
      <c r="A3072" s="91"/>
    </row>
    <row r="3073" customFormat="false" ht="17.6" hidden="false" customHeight="false" outlineLevel="0" collapsed="false">
      <c r="A3073" s="91"/>
    </row>
    <row r="3074" customFormat="false" ht="17.6" hidden="false" customHeight="false" outlineLevel="0" collapsed="false">
      <c r="A3074" s="91"/>
    </row>
    <row r="3075" customFormat="false" ht="17.6" hidden="false" customHeight="false" outlineLevel="0" collapsed="false">
      <c r="A3075" s="91"/>
    </row>
    <row r="3076" customFormat="false" ht="17.6" hidden="false" customHeight="false" outlineLevel="0" collapsed="false">
      <c r="A3076" s="91"/>
    </row>
    <row r="3077" customFormat="false" ht="17.6" hidden="false" customHeight="false" outlineLevel="0" collapsed="false">
      <c r="A3077" s="91"/>
    </row>
    <row r="3078" customFormat="false" ht="17.6" hidden="false" customHeight="false" outlineLevel="0" collapsed="false">
      <c r="A3078" s="91"/>
    </row>
    <row r="3079" customFormat="false" ht="17.6" hidden="false" customHeight="false" outlineLevel="0" collapsed="false">
      <c r="A3079" s="91"/>
    </row>
    <row r="3080" customFormat="false" ht="17.6" hidden="false" customHeight="false" outlineLevel="0" collapsed="false">
      <c r="A3080" s="91"/>
    </row>
    <row r="3081" customFormat="false" ht="17.6" hidden="false" customHeight="false" outlineLevel="0" collapsed="false">
      <c r="A3081" s="91"/>
    </row>
    <row r="3082" customFormat="false" ht="17.6" hidden="false" customHeight="false" outlineLevel="0" collapsed="false">
      <c r="A3082" s="91"/>
    </row>
    <row r="3083" customFormat="false" ht="17.6" hidden="false" customHeight="false" outlineLevel="0" collapsed="false">
      <c r="A3083" s="91"/>
    </row>
    <row r="3084" customFormat="false" ht="17.6" hidden="false" customHeight="false" outlineLevel="0" collapsed="false">
      <c r="A3084" s="91"/>
    </row>
    <row r="3085" customFormat="false" ht="17.6" hidden="false" customHeight="false" outlineLevel="0" collapsed="false">
      <c r="A3085" s="91"/>
    </row>
    <row r="3086" customFormat="false" ht="17.6" hidden="false" customHeight="false" outlineLevel="0" collapsed="false">
      <c r="A3086" s="91"/>
    </row>
    <row r="3087" customFormat="false" ht="17.6" hidden="false" customHeight="false" outlineLevel="0" collapsed="false">
      <c r="A3087" s="91"/>
    </row>
    <row r="3088" customFormat="false" ht="17.6" hidden="false" customHeight="false" outlineLevel="0" collapsed="false">
      <c r="A3088" s="91"/>
    </row>
    <row r="3089" customFormat="false" ht="17.6" hidden="false" customHeight="false" outlineLevel="0" collapsed="false">
      <c r="A3089" s="91"/>
    </row>
    <row r="3090" customFormat="false" ht="17.6" hidden="false" customHeight="false" outlineLevel="0" collapsed="false">
      <c r="A3090" s="91"/>
    </row>
    <row r="3091" customFormat="false" ht="17.6" hidden="false" customHeight="false" outlineLevel="0" collapsed="false">
      <c r="A3091" s="91"/>
    </row>
    <row r="3092" customFormat="false" ht="17.6" hidden="false" customHeight="false" outlineLevel="0" collapsed="false">
      <c r="A3092" s="91"/>
    </row>
    <row r="3093" customFormat="false" ht="17.6" hidden="false" customHeight="false" outlineLevel="0" collapsed="false">
      <c r="A3093" s="91"/>
    </row>
    <row r="3094" customFormat="false" ht="17.6" hidden="false" customHeight="false" outlineLevel="0" collapsed="false">
      <c r="A3094" s="91"/>
    </row>
    <row r="3095" customFormat="false" ht="17.6" hidden="false" customHeight="false" outlineLevel="0" collapsed="false">
      <c r="A3095" s="91"/>
    </row>
    <row r="3096" customFormat="false" ht="17.6" hidden="false" customHeight="false" outlineLevel="0" collapsed="false">
      <c r="A3096" s="91"/>
    </row>
    <row r="3097" customFormat="false" ht="17.6" hidden="false" customHeight="false" outlineLevel="0" collapsed="false">
      <c r="A3097" s="91"/>
    </row>
    <row r="3098" customFormat="false" ht="17.6" hidden="false" customHeight="false" outlineLevel="0" collapsed="false">
      <c r="A3098" s="91"/>
    </row>
    <row r="3099" customFormat="false" ht="17.6" hidden="false" customHeight="false" outlineLevel="0" collapsed="false">
      <c r="A3099" s="91"/>
    </row>
    <row r="3100" customFormat="false" ht="17.6" hidden="false" customHeight="false" outlineLevel="0" collapsed="false">
      <c r="A3100" s="91"/>
    </row>
    <row r="3101" customFormat="false" ht="17.6" hidden="false" customHeight="false" outlineLevel="0" collapsed="false">
      <c r="A3101" s="91"/>
    </row>
    <row r="3102" customFormat="false" ht="17.6" hidden="false" customHeight="false" outlineLevel="0" collapsed="false">
      <c r="A3102" s="91"/>
    </row>
    <row r="3103" customFormat="false" ht="17.6" hidden="false" customHeight="false" outlineLevel="0" collapsed="false">
      <c r="A3103" s="91"/>
    </row>
    <row r="3104" customFormat="false" ht="17.6" hidden="false" customHeight="false" outlineLevel="0" collapsed="false">
      <c r="A3104" s="91"/>
    </row>
    <row r="3105" customFormat="false" ht="17.6" hidden="false" customHeight="false" outlineLevel="0" collapsed="false">
      <c r="A3105" s="91"/>
    </row>
    <row r="3106" customFormat="false" ht="17.6" hidden="false" customHeight="false" outlineLevel="0" collapsed="false">
      <c r="A3106" s="91"/>
    </row>
    <row r="3107" customFormat="false" ht="17.6" hidden="false" customHeight="false" outlineLevel="0" collapsed="false">
      <c r="A3107" s="91"/>
    </row>
    <row r="3108" customFormat="false" ht="17.6" hidden="false" customHeight="false" outlineLevel="0" collapsed="false">
      <c r="A3108" s="91"/>
    </row>
    <row r="3109" customFormat="false" ht="17.6" hidden="false" customHeight="false" outlineLevel="0" collapsed="false">
      <c r="A3109" s="91"/>
    </row>
    <row r="3110" customFormat="false" ht="17.6" hidden="false" customHeight="false" outlineLevel="0" collapsed="false">
      <c r="A3110" s="91"/>
    </row>
    <row r="3111" customFormat="false" ht="17.6" hidden="false" customHeight="false" outlineLevel="0" collapsed="false">
      <c r="A3111" s="91"/>
    </row>
    <row r="3112" customFormat="false" ht="17.6" hidden="false" customHeight="false" outlineLevel="0" collapsed="false">
      <c r="A3112" s="91"/>
    </row>
    <row r="3113" customFormat="false" ht="17.6" hidden="false" customHeight="false" outlineLevel="0" collapsed="false">
      <c r="A3113" s="91"/>
    </row>
    <row r="3114" customFormat="false" ht="17.6" hidden="false" customHeight="false" outlineLevel="0" collapsed="false">
      <c r="A3114" s="91"/>
    </row>
    <row r="3115" customFormat="false" ht="17.6" hidden="false" customHeight="false" outlineLevel="0" collapsed="false">
      <c r="A3115" s="91"/>
    </row>
    <row r="3116" customFormat="false" ht="17.6" hidden="false" customHeight="false" outlineLevel="0" collapsed="false">
      <c r="A3116" s="91"/>
    </row>
    <row r="3117" customFormat="false" ht="17.6" hidden="false" customHeight="false" outlineLevel="0" collapsed="false">
      <c r="A3117" s="91"/>
    </row>
    <row r="3118" customFormat="false" ht="17.6" hidden="false" customHeight="false" outlineLevel="0" collapsed="false">
      <c r="A3118" s="91"/>
    </row>
    <row r="3119" customFormat="false" ht="17.6" hidden="false" customHeight="false" outlineLevel="0" collapsed="false">
      <c r="A3119" s="91"/>
    </row>
    <row r="3120" customFormat="false" ht="17.6" hidden="false" customHeight="false" outlineLevel="0" collapsed="false">
      <c r="A3120" s="91"/>
    </row>
    <row r="3121" customFormat="false" ht="17.6" hidden="false" customHeight="false" outlineLevel="0" collapsed="false">
      <c r="A3121" s="91"/>
    </row>
    <row r="3122" customFormat="false" ht="17.6" hidden="false" customHeight="false" outlineLevel="0" collapsed="false">
      <c r="A3122" s="91"/>
    </row>
    <row r="3123" customFormat="false" ht="17.6" hidden="false" customHeight="false" outlineLevel="0" collapsed="false">
      <c r="A3123" s="91"/>
    </row>
    <row r="3124" customFormat="false" ht="17.6" hidden="false" customHeight="false" outlineLevel="0" collapsed="false">
      <c r="A3124" s="91"/>
    </row>
    <row r="3125" customFormat="false" ht="17.6" hidden="false" customHeight="false" outlineLevel="0" collapsed="false">
      <c r="A3125" s="91"/>
    </row>
    <row r="3126" customFormat="false" ht="17.6" hidden="false" customHeight="false" outlineLevel="0" collapsed="false">
      <c r="A3126" s="91"/>
    </row>
    <row r="3127" customFormat="false" ht="17.6" hidden="false" customHeight="false" outlineLevel="0" collapsed="false">
      <c r="A3127" s="91"/>
    </row>
    <row r="3128" customFormat="false" ht="17.6" hidden="false" customHeight="false" outlineLevel="0" collapsed="false">
      <c r="A3128" s="91"/>
    </row>
    <row r="3129" customFormat="false" ht="17.6" hidden="false" customHeight="false" outlineLevel="0" collapsed="false">
      <c r="A3129" s="91"/>
    </row>
    <row r="3130" customFormat="false" ht="17.6" hidden="false" customHeight="false" outlineLevel="0" collapsed="false">
      <c r="A3130" s="91"/>
    </row>
    <row r="3131" customFormat="false" ht="17.6" hidden="false" customHeight="false" outlineLevel="0" collapsed="false">
      <c r="A3131" s="91"/>
    </row>
    <row r="3132" customFormat="false" ht="17.6" hidden="false" customHeight="false" outlineLevel="0" collapsed="false">
      <c r="A3132" s="91"/>
    </row>
    <row r="3133" customFormat="false" ht="17.6" hidden="false" customHeight="false" outlineLevel="0" collapsed="false">
      <c r="A3133" s="91"/>
    </row>
    <row r="3134" customFormat="false" ht="17.6" hidden="false" customHeight="false" outlineLevel="0" collapsed="false">
      <c r="A3134" s="91"/>
    </row>
    <row r="3135" customFormat="false" ht="17.6" hidden="false" customHeight="false" outlineLevel="0" collapsed="false">
      <c r="A3135" s="91"/>
    </row>
    <row r="3136" customFormat="false" ht="17.6" hidden="false" customHeight="false" outlineLevel="0" collapsed="false">
      <c r="A3136" s="91"/>
    </row>
    <row r="3137" customFormat="false" ht="17.6" hidden="false" customHeight="false" outlineLevel="0" collapsed="false">
      <c r="A3137" s="91"/>
    </row>
    <row r="3138" customFormat="false" ht="17.6" hidden="false" customHeight="false" outlineLevel="0" collapsed="false">
      <c r="A3138" s="91"/>
    </row>
    <row r="3139" customFormat="false" ht="17.6" hidden="false" customHeight="false" outlineLevel="0" collapsed="false">
      <c r="A3139" s="91"/>
    </row>
    <row r="3140" customFormat="false" ht="17.6" hidden="false" customHeight="false" outlineLevel="0" collapsed="false">
      <c r="A3140" s="91"/>
    </row>
    <row r="3141" customFormat="false" ht="17.6" hidden="false" customHeight="false" outlineLevel="0" collapsed="false">
      <c r="A3141" s="91"/>
    </row>
    <row r="3142" customFormat="false" ht="17.6" hidden="false" customHeight="false" outlineLevel="0" collapsed="false">
      <c r="A3142" s="91"/>
    </row>
    <row r="3143" customFormat="false" ht="17.6" hidden="false" customHeight="false" outlineLevel="0" collapsed="false">
      <c r="A3143" s="91"/>
    </row>
    <row r="3144" customFormat="false" ht="17.6" hidden="false" customHeight="false" outlineLevel="0" collapsed="false">
      <c r="A3144" s="91"/>
    </row>
    <row r="3145" customFormat="false" ht="17.6" hidden="false" customHeight="false" outlineLevel="0" collapsed="false">
      <c r="A3145" s="91"/>
    </row>
    <row r="3146" customFormat="false" ht="17.6" hidden="false" customHeight="false" outlineLevel="0" collapsed="false">
      <c r="A3146" s="91"/>
    </row>
    <row r="3147" customFormat="false" ht="17.6" hidden="false" customHeight="false" outlineLevel="0" collapsed="false">
      <c r="A3147" s="91"/>
    </row>
    <row r="3148" customFormat="false" ht="17.6" hidden="false" customHeight="false" outlineLevel="0" collapsed="false">
      <c r="A3148" s="91"/>
    </row>
    <row r="3149" customFormat="false" ht="17.6" hidden="false" customHeight="false" outlineLevel="0" collapsed="false">
      <c r="A3149" s="91"/>
    </row>
    <row r="3150" customFormat="false" ht="17.6" hidden="false" customHeight="false" outlineLevel="0" collapsed="false">
      <c r="A3150" s="91"/>
    </row>
    <row r="3151" customFormat="false" ht="17.6" hidden="false" customHeight="false" outlineLevel="0" collapsed="false">
      <c r="A3151" s="91"/>
    </row>
    <row r="3152" customFormat="false" ht="17.6" hidden="false" customHeight="false" outlineLevel="0" collapsed="false">
      <c r="A3152" s="91"/>
    </row>
    <row r="3153" customFormat="false" ht="17.6" hidden="false" customHeight="false" outlineLevel="0" collapsed="false">
      <c r="A3153" s="91"/>
    </row>
    <row r="3154" customFormat="false" ht="17.6" hidden="false" customHeight="false" outlineLevel="0" collapsed="false">
      <c r="A3154" s="91"/>
    </row>
    <row r="3155" customFormat="false" ht="17.6" hidden="false" customHeight="false" outlineLevel="0" collapsed="false">
      <c r="A3155" s="91"/>
    </row>
    <row r="3156" customFormat="false" ht="17.6" hidden="false" customHeight="false" outlineLevel="0" collapsed="false">
      <c r="A3156" s="91"/>
    </row>
    <row r="3157" customFormat="false" ht="17.6" hidden="false" customHeight="false" outlineLevel="0" collapsed="false">
      <c r="A3157" s="91"/>
    </row>
    <row r="3158" customFormat="false" ht="17.6" hidden="false" customHeight="false" outlineLevel="0" collapsed="false">
      <c r="A3158" s="91"/>
    </row>
    <row r="3159" customFormat="false" ht="17.6" hidden="false" customHeight="false" outlineLevel="0" collapsed="false">
      <c r="A3159" s="91"/>
    </row>
    <row r="3160" customFormat="false" ht="17.6" hidden="false" customHeight="false" outlineLevel="0" collapsed="false">
      <c r="A3160" s="91"/>
    </row>
    <row r="3161" customFormat="false" ht="17.6" hidden="false" customHeight="false" outlineLevel="0" collapsed="false">
      <c r="A3161" s="91"/>
    </row>
    <row r="3162" customFormat="false" ht="17.6" hidden="false" customHeight="false" outlineLevel="0" collapsed="false">
      <c r="A3162" s="91"/>
    </row>
    <row r="3163" customFormat="false" ht="17.6" hidden="false" customHeight="false" outlineLevel="0" collapsed="false">
      <c r="A3163" s="91"/>
    </row>
    <row r="3164" customFormat="false" ht="17.6" hidden="false" customHeight="false" outlineLevel="0" collapsed="false">
      <c r="A3164" s="91"/>
    </row>
    <row r="3165" customFormat="false" ht="17.6" hidden="false" customHeight="false" outlineLevel="0" collapsed="false">
      <c r="A3165" s="91"/>
    </row>
    <row r="3166" customFormat="false" ht="17.6" hidden="false" customHeight="false" outlineLevel="0" collapsed="false">
      <c r="A3166" s="91"/>
    </row>
    <row r="3167" customFormat="false" ht="17.6" hidden="false" customHeight="false" outlineLevel="0" collapsed="false">
      <c r="A3167" s="91"/>
    </row>
    <row r="3168" customFormat="false" ht="17.6" hidden="false" customHeight="false" outlineLevel="0" collapsed="false">
      <c r="A3168" s="91"/>
    </row>
    <row r="3169" customFormat="false" ht="17.6" hidden="false" customHeight="false" outlineLevel="0" collapsed="false">
      <c r="A3169" s="91"/>
    </row>
    <row r="3170" customFormat="false" ht="17.6" hidden="false" customHeight="false" outlineLevel="0" collapsed="false">
      <c r="A3170" s="91"/>
    </row>
    <row r="3171" customFormat="false" ht="17.6" hidden="false" customHeight="false" outlineLevel="0" collapsed="false">
      <c r="A3171" s="91"/>
    </row>
    <row r="3172" customFormat="false" ht="17.6" hidden="false" customHeight="false" outlineLevel="0" collapsed="false">
      <c r="A3172" s="91"/>
    </row>
    <row r="3173" customFormat="false" ht="17.6" hidden="false" customHeight="false" outlineLevel="0" collapsed="false">
      <c r="A3173" s="91"/>
    </row>
    <row r="3174" customFormat="false" ht="17.6" hidden="false" customHeight="false" outlineLevel="0" collapsed="false">
      <c r="A3174" s="91"/>
    </row>
    <row r="3175" customFormat="false" ht="17.6" hidden="false" customHeight="false" outlineLevel="0" collapsed="false">
      <c r="A3175" s="91"/>
    </row>
    <row r="3176" customFormat="false" ht="17.6" hidden="false" customHeight="false" outlineLevel="0" collapsed="false">
      <c r="A3176" s="91"/>
    </row>
    <row r="3177" customFormat="false" ht="17.6" hidden="false" customHeight="false" outlineLevel="0" collapsed="false">
      <c r="A3177" s="91"/>
    </row>
    <row r="3178" customFormat="false" ht="17.6" hidden="false" customHeight="false" outlineLevel="0" collapsed="false">
      <c r="A3178" s="91"/>
    </row>
    <row r="3179" customFormat="false" ht="17.6" hidden="false" customHeight="false" outlineLevel="0" collapsed="false">
      <c r="A3179" s="91"/>
    </row>
    <row r="3180" customFormat="false" ht="17.6" hidden="false" customHeight="false" outlineLevel="0" collapsed="false">
      <c r="A3180" s="91"/>
    </row>
    <row r="3181" customFormat="false" ht="17.6" hidden="false" customHeight="false" outlineLevel="0" collapsed="false">
      <c r="A3181" s="91"/>
    </row>
    <row r="3182" customFormat="false" ht="17.6" hidden="false" customHeight="false" outlineLevel="0" collapsed="false">
      <c r="A3182" s="91"/>
    </row>
    <row r="3183" customFormat="false" ht="17.6" hidden="false" customHeight="false" outlineLevel="0" collapsed="false">
      <c r="A3183" s="91"/>
    </row>
    <row r="3184" customFormat="false" ht="17.6" hidden="false" customHeight="false" outlineLevel="0" collapsed="false">
      <c r="A3184" s="91"/>
    </row>
    <row r="3185" customFormat="false" ht="17.6" hidden="false" customHeight="false" outlineLevel="0" collapsed="false">
      <c r="A3185" s="91"/>
    </row>
    <row r="3186" customFormat="false" ht="17.6" hidden="false" customHeight="false" outlineLevel="0" collapsed="false">
      <c r="A3186" s="91"/>
    </row>
    <row r="3187" customFormat="false" ht="17.6" hidden="false" customHeight="false" outlineLevel="0" collapsed="false">
      <c r="A3187" s="91"/>
    </row>
    <row r="3188" customFormat="false" ht="17.6" hidden="false" customHeight="false" outlineLevel="0" collapsed="false">
      <c r="A3188" s="91"/>
    </row>
    <row r="3189" customFormat="false" ht="17.6" hidden="false" customHeight="false" outlineLevel="0" collapsed="false">
      <c r="A3189" s="91"/>
    </row>
    <row r="3190" customFormat="false" ht="17.6" hidden="false" customHeight="false" outlineLevel="0" collapsed="false">
      <c r="A3190" s="91"/>
    </row>
    <row r="3191" customFormat="false" ht="17.6" hidden="false" customHeight="false" outlineLevel="0" collapsed="false">
      <c r="A3191" s="91"/>
    </row>
    <row r="3192" customFormat="false" ht="17.6" hidden="false" customHeight="false" outlineLevel="0" collapsed="false">
      <c r="A3192" s="91"/>
    </row>
    <row r="3193" customFormat="false" ht="17.6" hidden="false" customHeight="false" outlineLevel="0" collapsed="false">
      <c r="A3193" s="91"/>
    </row>
    <row r="3194" customFormat="false" ht="17.6" hidden="false" customHeight="false" outlineLevel="0" collapsed="false">
      <c r="A3194" s="91"/>
    </row>
    <row r="3195" customFormat="false" ht="17.6" hidden="false" customHeight="false" outlineLevel="0" collapsed="false">
      <c r="A3195" s="91"/>
    </row>
    <row r="3196" customFormat="false" ht="17.6" hidden="false" customHeight="false" outlineLevel="0" collapsed="false">
      <c r="A3196" s="91"/>
    </row>
    <row r="3197" customFormat="false" ht="17.6" hidden="false" customHeight="false" outlineLevel="0" collapsed="false">
      <c r="A3197" s="91"/>
    </row>
    <row r="3198" customFormat="false" ht="17.6" hidden="false" customHeight="false" outlineLevel="0" collapsed="false">
      <c r="A3198" s="91"/>
    </row>
    <row r="3199" customFormat="false" ht="17.6" hidden="false" customHeight="false" outlineLevel="0" collapsed="false">
      <c r="A3199" s="91"/>
    </row>
    <row r="3200" customFormat="false" ht="17.6" hidden="false" customHeight="false" outlineLevel="0" collapsed="false">
      <c r="A3200" s="91"/>
    </row>
    <row r="3201" customFormat="false" ht="17.6" hidden="false" customHeight="false" outlineLevel="0" collapsed="false">
      <c r="A3201" s="91"/>
    </row>
    <row r="3202" customFormat="false" ht="17.6" hidden="false" customHeight="false" outlineLevel="0" collapsed="false">
      <c r="A3202" s="91"/>
    </row>
    <row r="3203" customFormat="false" ht="17.6" hidden="false" customHeight="false" outlineLevel="0" collapsed="false">
      <c r="A3203" s="91"/>
    </row>
    <row r="3204" customFormat="false" ht="17.6" hidden="false" customHeight="false" outlineLevel="0" collapsed="false">
      <c r="A3204" s="91"/>
    </row>
    <row r="3205" customFormat="false" ht="17.6" hidden="false" customHeight="false" outlineLevel="0" collapsed="false">
      <c r="A3205" s="91"/>
    </row>
    <row r="3206" customFormat="false" ht="17.6" hidden="false" customHeight="false" outlineLevel="0" collapsed="false">
      <c r="A3206" s="91"/>
    </row>
    <row r="3207" customFormat="false" ht="17.6" hidden="false" customHeight="false" outlineLevel="0" collapsed="false">
      <c r="A3207" s="91"/>
    </row>
    <row r="3208" customFormat="false" ht="17.6" hidden="false" customHeight="false" outlineLevel="0" collapsed="false">
      <c r="A3208" s="91"/>
    </row>
    <row r="3209" customFormat="false" ht="17.6" hidden="false" customHeight="false" outlineLevel="0" collapsed="false">
      <c r="A3209" s="91"/>
    </row>
    <row r="3210" customFormat="false" ht="17.6" hidden="false" customHeight="false" outlineLevel="0" collapsed="false">
      <c r="A3210" s="91"/>
    </row>
    <row r="3211" customFormat="false" ht="17.6" hidden="false" customHeight="false" outlineLevel="0" collapsed="false">
      <c r="A3211" s="91"/>
    </row>
    <row r="3212" customFormat="false" ht="17.6" hidden="false" customHeight="false" outlineLevel="0" collapsed="false">
      <c r="A3212" s="91"/>
    </row>
    <row r="3213" customFormat="false" ht="17.6" hidden="false" customHeight="false" outlineLevel="0" collapsed="false">
      <c r="A3213" s="91"/>
    </row>
    <row r="3214" customFormat="false" ht="17.6" hidden="false" customHeight="false" outlineLevel="0" collapsed="false">
      <c r="A3214" s="91"/>
    </row>
    <row r="3215" customFormat="false" ht="17.6" hidden="false" customHeight="false" outlineLevel="0" collapsed="false">
      <c r="A3215" s="91"/>
    </row>
    <row r="3216" customFormat="false" ht="17.6" hidden="false" customHeight="false" outlineLevel="0" collapsed="false">
      <c r="A3216" s="91"/>
    </row>
    <row r="3217" customFormat="false" ht="17.6" hidden="false" customHeight="false" outlineLevel="0" collapsed="false">
      <c r="A3217" s="91"/>
    </row>
    <row r="3218" customFormat="false" ht="17.6" hidden="false" customHeight="false" outlineLevel="0" collapsed="false">
      <c r="A3218" s="91"/>
    </row>
    <row r="3219" customFormat="false" ht="17.6" hidden="false" customHeight="false" outlineLevel="0" collapsed="false">
      <c r="A3219" s="91"/>
    </row>
    <row r="3220" customFormat="false" ht="17.6" hidden="false" customHeight="false" outlineLevel="0" collapsed="false">
      <c r="A3220" s="91"/>
    </row>
    <row r="3221" customFormat="false" ht="17.6" hidden="false" customHeight="false" outlineLevel="0" collapsed="false">
      <c r="A3221" s="91"/>
    </row>
    <row r="3222" customFormat="false" ht="17.6" hidden="false" customHeight="false" outlineLevel="0" collapsed="false">
      <c r="A3222" s="91"/>
    </row>
    <row r="3223" customFormat="false" ht="17.6" hidden="false" customHeight="false" outlineLevel="0" collapsed="false">
      <c r="A3223" s="91"/>
    </row>
    <row r="3224" customFormat="false" ht="17.6" hidden="false" customHeight="false" outlineLevel="0" collapsed="false">
      <c r="A3224" s="91"/>
    </row>
    <row r="3225" customFormat="false" ht="17.6" hidden="false" customHeight="false" outlineLevel="0" collapsed="false">
      <c r="A3225" s="91"/>
    </row>
    <row r="3226" customFormat="false" ht="17.6" hidden="false" customHeight="false" outlineLevel="0" collapsed="false">
      <c r="A3226" s="91"/>
    </row>
    <row r="3227" customFormat="false" ht="17.6" hidden="false" customHeight="false" outlineLevel="0" collapsed="false">
      <c r="A3227" s="91"/>
    </row>
    <row r="3228" customFormat="false" ht="17.6" hidden="false" customHeight="false" outlineLevel="0" collapsed="false">
      <c r="A3228" s="91"/>
    </row>
    <row r="3229" customFormat="false" ht="17.6" hidden="false" customHeight="false" outlineLevel="0" collapsed="false">
      <c r="A3229" s="91"/>
    </row>
    <row r="3230" customFormat="false" ht="17.6" hidden="false" customHeight="false" outlineLevel="0" collapsed="false">
      <c r="A3230" s="91"/>
    </row>
    <row r="3231" customFormat="false" ht="17.6" hidden="false" customHeight="false" outlineLevel="0" collapsed="false">
      <c r="A3231" s="91"/>
    </row>
    <row r="3232" customFormat="false" ht="17.6" hidden="false" customHeight="false" outlineLevel="0" collapsed="false">
      <c r="A3232" s="91"/>
    </row>
    <row r="3233" customFormat="false" ht="17.6" hidden="false" customHeight="false" outlineLevel="0" collapsed="false">
      <c r="A3233" s="91"/>
    </row>
    <row r="3234" customFormat="false" ht="17.6" hidden="false" customHeight="false" outlineLevel="0" collapsed="false">
      <c r="A3234" s="91"/>
    </row>
    <row r="3235" customFormat="false" ht="17.6" hidden="false" customHeight="false" outlineLevel="0" collapsed="false">
      <c r="A3235" s="91"/>
    </row>
    <row r="3236" customFormat="false" ht="17.6" hidden="false" customHeight="false" outlineLevel="0" collapsed="false">
      <c r="A3236" s="91"/>
    </row>
    <row r="3237" customFormat="false" ht="17.6" hidden="false" customHeight="false" outlineLevel="0" collapsed="false">
      <c r="A3237" s="91"/>
    </row>
    <row r="3238" customFormat="false" ht="17.6" hidden="false" customHeight="false" outlineLevel="0" collapsed="false">
      <c r="A3238" s="91"/>
    </row>
    <row r="3239" customFormat="false" ht="17.6" hidden="false" customHeight="false" outlineLevel="0" collapsed="false">
      <c r="A3239" s="91"/>
    </row>
    <row r="3240" customFormat="false" ht="17.6" hidden="false" customHeight="false" outlineLevel="0" collapsed="false">
      <c r="A3240" s="91"/>
    </row>
    <row r="3241" customFormat="false" ht="17.6" hidden="false" customHeight="false" outlineLevel="0" collapsed="false">
      <c r="A3241" s="91"/>
    </row>
    <row r="3242" customFormat="false" ht="17.6" hidden="false" customHeight="false" outlineLevel="0" collapsed="false">
      <c r="A3242" s="91"/>
    </row>
    <row r="3243" customFormat="false" ht="17.6" hidden="false" customHeight="false" outlineLevel="0" collapsed="false">
      <c r="A3243" s="91"/>
    </row>
    <row r="3244" customFormat="false" ht="17.6" hidden="false" customHeight="false" outlineLevel="0" collapsed="false">
      <c r="A3244" s="91"/>
    </row>
    <row r="3245" customFormat="false" ht="17.6" hidden="false" customHeight="false" outlineLevel="0" collapsed="false">
      <c r="A3245" s="91"/>
    </row>
    <row r="3246" customFormat="false" ht="17.6" hidden="false" customHeight="false" outlineLevel="0" collapsed="false">
      <c r="A3246" s="91"/>
    </row>
    <row r="3247" customFormat="false" ht="17.6" hidden="false" customHeight="false" outlineLevel="0" collapsed="false">
      <c r="A3247" s="91"/>
    </row>
    <row r="3248" customFormat="false" ht="17.6" hidden="false" customHeight="false" outlineLevel="0" collapsed="false">
      <c r="A3248" s="91"/>
    </row>
    <row r="3249" customFormat="false" ht="17.6" hidden="false" customHeight="false" outlineLevel="0" collapsed="false">
      <c r="A3249" s="91"/>
    </row>
    <row r="3250" customFormat="false" ht="17.6" hidden="false" customHeight="false" outlineLevel="0" collapsed="false">
      <c r="A3250" s="91"/>
    </row>
    <row r="3251" customFormat="false" ht="17.6" hidden="false" customHeight="false" outlineLevel="0" collapsed="false">
      <c r="A3251" s="91"/>
    </row>
    <row r="3252" customFormat="false" ht="17.6" hidden="false" customHeight="false" outlineLevel="0" collapsed="false">
      <c r="A3252" s="91"/>
    </row>
    <row r="3253" customFormat="false" ht="17.6" hidden="false" customHeight="false" outlineLevel="0" collapsed="false">
      <c r="A3253" s="91"/>
    </row>
    <row r="3254" customFormat="false" ht="17.6" hidden="false" customHeight="false" outlineLevel="0" collapsed="false">
      <c r="A3254" s="91"/>
    </row>
    <row r="3255" customFormat="false" ht="17.6" hidden="false" customHeight="false" outlineLevel="0" collapsed="false">
      <c r="A3255" s="91"/>
    </row>
    <row r="3256" customFormat="false" ht="17.6" hidden="false" customHeight="false" outlineLevel="0" collapsed="false">
      <c r="A3256" s="91"/>
    </row>
    <row r="3257" customFormat="false" ht="17.6" hidden="false" customHeight="false" outlineLevel="0" collapsed="false">
      <c r="A3257" s="91"/>
    </row>
    <row r="3258" customFormat="false" ht="17.6" hidden="false" customHeight="false" outlineLevel="0" collapsed="false">
      <c r="A3258" s="91"/>
    </row>
    <row r="3259" customFormat="false" ht="17.6" hidden="false" customHeight="false" outlineLevel="0" collapsed="false">
      <c r="A3259" s="91"/>
    </row>
    <row r="3260" customFormat="false" ht="17.6" hidden="false" customHeight="false" outlineLevel="0" collapsed="false">
      <c r="A3260" s="91"/>
    </row>
    <row r="3261" customFormat="false" ht="17.6" hidden="false" customHeight="false" outlineLevel="0" collapsed="false">
      <c r="A3261" s="91"/>
    </row>
    <row r="3262" customFormat="false" ht="17.6" hidden="false" customHeight="false" outlineLevel="0" collapsed="false">
      <c r="A3262" s="91"/>
    </row>
    <row r="3263" customFormat="false" ht="17.6" hidden="false" customHeight="false" outlineLevel="0" collapsed="false">
      <c r="A3263" s="91"/>
    </row>
    <row r="3264" customFormat="false" ht="17.6" hidden="false" customHeight="false" outlineLevel="0" collapsed="false">
      <c r="A3264" s="91"/>
    </row>
    <row r="3265" customFormat="false" ht="17.6" hidden="false" customHeight="false" outlineLevel="0" collapsed="false">
      <c r="A3265" s="91"/>
    </row>
    <row r="3266" customFormat="false" ht="17.6" hidden="false" customHeight="false" outlineLevel="0" collapsed="false">
      <c r="A3266" s="91"/>
    </row>
    <row r="3267" customFormat="false" ht="17.6" hidden="false" customHeight="false" outlineLevel="0" collapsed="false">
      <c r="A3267" s="91"/>
    </row>
    <row r="3268" customFormat="false" ht="17.6" hidden="false" customHeight="false" outlineLevel="0" collapsed="false">
      <c r="A3268" s="91"/>
    </row>
    <row r="3269" customFormat="false" ht="17.6" hidden="false" customHeight="false" outlineLevel="0" collapsed="false">
      <c r="A3269" s="91"/>
    </row>
    <row r="3270" customFormat="false" ht="17.6" hidden="false" customHeight="false" outlineLevel="0" collapsed="false">
      <c r="A3270" s="91"/>
    </row>
    <row r="3271" customFormat="false" ht="17.6" hidden="false" customHeight="false" outlineLevel="0" collapsed="false">
      <c r="A3271" s="91"/>
    </row>
    <row r="3272" customFormat="false" ht="17.6" hidden="false" customHeight="false" outlineLevel="0" collapsed="false">
      <c r="A3272" s="91"/>
    </row>
    <row r="3273" customFormat="false" ht="17.6" hidden="false" customHeight="false" outlineLevel="0" collapsed="false">
      <c r="A3273" s="91"/>
    </row>
    <row r="3274" customFormat="false" ht="17.6" hidden="false" customHeight="false" outlineLevel="0" collapsed="false">
      <c r="A3274" s="91"/>
    </row>
    <row r="3275" customFormat="false" ht="17.6" hidden="false" customHeight="false" outlineLevel="0" collapsed="false">
      <c r="A3275" s="91"/>
    </row>
    <row r="3276" customFormat="false" ht="17.6" hidden="false" customHeight="false" outlineLevel="0" collapsed="false">
      <c r="A3276" s="91"/>
    </row>
    <row r="3277" customFormat="false" ht="17.6" hidden="false" customHeight="false" outlineLevel="0" collapsed="false">
      <c r="A3277" s="91"/>
    </row>
    <row r="3278" customFormat="false" ht="17.6" hidden="false" customHeight="false" outlineLevel="0" collapsed="false">
      <c r="A3278" s="91"/>
    </row>
    <row r="3279" customFormat="false" ht="17.6" hidden="false" customHeight="false" outlineLevel="0" collapsed="false">
      <c r="A3279" s="91"/>
    </row>
    <row r="3280" customFormat="false" ht="17.6" hidden="false" customHeight="false" outlineLevel="0" collapsed="false">
      <c r="A3280" s="91"/>
    </row>
    <row r="3281" customFormat="false" ht="17.6" hidden="false" customHeight="false" outlineLevel="0" collapsed="false">
      <c r="A3281" s="91"/>
    </row>
    <row r="3282" customFormat="false" ht="17.6" hidden="false" customHeight="false" outlineLevel="0" collapsed="false">
      <c r="A3282" s="91"/>
    </row>
    <row r="3283" customFormat="false" ht="17.6" hidden="false" customHeight="false" outlineLevel="0" collapsed="false">
      <c r="A3283" s="91"/>
    </row>
    <row r="3284" customFormat="false" ht="17.6" hidden="false" customHeight="false" outlineLevel="0" collapsed="false">
      <c r="A3284" s="91"/>
    </row>
    <row r="3285" customFormat="false" ht="17.6" hidden="false" customHeight="false" outlineLevel="0" collapsed="false">
      <c r="A3285" s="91"/>
    </row>
    <row r="3286" customFormat="false" ht="17.6" hidden="false" customHeight="false" outlineLevel="0" collapsed="false">
      <c r="A3286" s="91"/>
    </row>
    <row r="3287" customFormat="false" ht="17.6" hidden="false" customHeight="false" outlineLevel="0" collapsed="false">
      <c r="A3287" s="91"/>
    </row>
    <row r="3288" customFormat="false" ht="17.6" hidden="false" customHeight="false" outlineLevel="0" collapsed="false">
      <c r="A3288" s="91"/>
    </row>
    <row r="3289" customFormat="false" ht="17.6" hidden="false" customHeight="false" outlineLevel="0" collapsed="false">
      <c r="A3289" s="91"/>
    </row>
    <row r="3290" customFormat="false" ht="17.6" hidden="false" customHeight="false" outlineLevel="0" collapsed="false">
      <c r="A3290" s="91"/>
    </row>
    <row r="3291" customFormat="false" ht="17.6" hidden="false" customHeight="false" outlineLevel="0" collapsed="false">
      <c r="A3291" s="91"/>
    </row>
    <row r="3292" customFormat="false" ht="17.6" hidden="false" customHeight="false" outlineLevel="0" collapsed="false">
      <c r="A3292" s="91"/>
    </row>
    <row r="3293" customFormat="false" ht="17.6" hidden="false" customHeight="false" outlineLevel="0" collapsed="false">
      <c r="A3293" s="91"/>
    </row>
    <row r="3294" customFormat="false" ht="17.6" hidden="false" customHeight="false" outlineLevel="0" collapsed="false">
      <c r="A3294" s="91"/>
    </row>
    <row r="3295" customFormat="false" ht="17.6" hidden="false" customHeight="false" outlineLevel="0" collapsed="false">
      <c r="A3295" s="91"/>
    </row>
    <row r="3296" customFormat="false" ht="17.6" hidden="false" customHeight="false" outlineLevel="0" collapsed="false">
      <c r="A3296" s="91"/>
    </row>
    <row r="3297" customFormat="false" ht="17.6" hidden="false" customHeight="false" outlineLevel="0" collapsed="false">
      <c r="A3297" s="91"/>
    </row>
    <row r="3298" customFormat="false" ht="17.6" hidden="false" customHeight="false" outlineLevel="0" collapsed="false">
      <c r="A3298" s="91"/>
    </row>
    <row r="3299" customFormat="false" ht="17.6" hidden="false" customHeight="false" outlineLevel="0" collapsed="false">
      <c r="A3299" s="91"/>
    </row>
    <row r="3300" customFormat="false" ht="17.6" hidden="false" customHeight="false" outlineLevel="0" collapsed="false">
      <c r="A3300" s="91"/>
    </row>
    <row r="3301" customFormat="false" ht="17.6" hidden="false" customHeight="false" outlineLevel="0" collapsed="false">
      <c r="A3301" s="91"/>
    </row>
    <row r="3302" customFormat="false" ht="17.6" hidden="false" customHeight="false" outlineLevel="0" collapsed="false">
      <c r="A3302" s="91"/>
    </row>
    <row r="3303" customFormat="false" ht="17.6" hidden="false" customHeight="false" outlineLevel="0" collapsed="false">
      <c r="A3303" s="91"/>
    </row>
    <row r="3304" customFormat="false" ht="17.6" hidden="false" customHeight="false" outlineLevel="0" collapsed="false">
      <c r="A3304" s="91"/>
    </row>
    <row r="3305" customFormat="false" ht="17.6" hidden="false" customHeight="false" outlineLevel="0" collapsed="false">
      <c r="A3305" s="91"/>
    </row>
    <row r="3306" customFormat="false" ht="17.6" hidden="false" customHeight="false" outlineLevel="0" collapsed="false">
      <c r="A3306" s="91"/>
    </row>
    <row r="3307" customFormat="false" ht="17.6" hidden="false" customHeight="false" outlineLevel="0" collapsed="false">
      <c r="A3307" s="91"/>
    </row>
    <row r="3308" customFormat="false" ht="17.6" hidden="false" customHeight="false" outlineLevel="0" collapsed="false">
      <c r="A3308" s="91"/>
    </row>
    <row r="3309" customFormat="false" ht="17.6" hidden="false" customHeight="false" outlineLevel="0" collapsed="false">
      <c r="A3309" s="91"/>
    </row>
    <row r="3310" customFormat="false" ht="17.6" hidden="false" customHeight="false" outlineLevel="0" collapsed="false">
      <c r="A3310" s="91"/>
    </row>
    <row r="3311" customFormat="false" ht="17.6" hidden="false" customHeight="false" outlineLevel="0" collapsed="false">
      <c r="A3311" s="91"/>
    </row>
    <row r="3312" customFormat="false" ht="17.6" hidden="false" customHeight="false" outlineLevel="0" collapsed="false">
      <c r="A3312" s="91"/>
    </row>
    <row r="3313" customFormat="false" ht="17.6" hidden="false" customHeight="false" outlineLevel="0" collapsed="false">
      <c r="A3313" s="91"/>
    </row>
    <row r="3314" customFormat="false" ht="17.6" hidden="false" customHeight="false" outlineLevel="0" collapsed="false">
      <c r="A3314" s="91"/>
    </row>
    <row r="3315" customFormat="false" ht="17.6" hidden="false" customHeight="false" outlineLevel="0" collapsed="false">
      <c r="A3315" s="91"/>
    </row>
    <row r="3316" customFormat="false" ht="17.6" hidden="false" customHeight="false" outlineLevel="0" collapsed="false">
      <c r="A3316" s="91"/>
    </row>
    <row r="3317" customFormat="false" ht="17.6" hidden="false" customHeight="false" outlineLevel="0" collapsed="false">
      <c r="A3317" s="91"/>
    </row>
    <row r="3318" customFormat="false" ht="17.6" hidden="false" customHeight="false" outlineLevel="0" collapsed="false">
      <c r="A3318" s="91"/>
    </row>
    <row r="3319" customFormat="false" ht="17.6" hidden="false" customHeight="false" outlineLevel="0" collapsed="false">
      <c r="A3319" s="91"/>
    </row>
    <row r="3320" customFormat="false" ht="17.6" hidden="false" customHeight="false" outlineLevel="0" collapsed="false">
      <c r="A3320" s="91"/>
    </row>
    <row r="3321" customFormat="false" ht="17.6" hidden="false" customHeight="false" outlineLevel="0" collapsed="false">
      <c r="A3321" s="91"/>
    </row>
    <row r="3322" customFormat="false" ht="17.6" hidden="false" customHeight="false" outlineLevel="0" collapsed="false">
      <c r="A3322" s="91"/>
    </row>
    <row r="3323" customFormat="false" ht="17.6" hidden="false" customHeight="false" outlineLevel="0" collapsed="false">
      <c r="A3323" s="91"/>
    </row>
    <row r="3324" customFormat="false" ht="17.6" hidden="false" customHeight="false" outlineLevel="0" collapsed="false">
      <c r="A3324" s="91"/>
    </row>
    <row r="3325" customFormat="false" ht="17.6" hidden="false" customHeight="false" outlineLevel="0" collapsed="false">
      <c r="A3325" s="91"/>
    </row>
    <row r="3326" customFormat="false" ht="17.6" hidden="false" customHeight="false" outlineLevel="0" collapsed="false">
      <c r="A3326" s="91"/>
    </row>
    <row r="3327" customFormat="false" ht="17.6" hidden="false" customHeight="false" outlineLevel="0" collapsed="false">
      <c r="A3327" s="91"/>
    </row>
    <row r="3328" customFormat="false" ht="17.6" hidden="false" customHeight="false" outlineLevel="0" collapsed="false">
      <c r="A3328" s="91"/>
    </row>
    <row r="3329" customFormat="false" ht="17.6" hidden="false" customHeight="false" outlineLevel="0" collapsed="false">
      <c r="A3329" s="91"/>
    </row>
    <row r="3330" customFormat="false" ht="17.6" hidden="false" customHeight="false" outlineLevel="0" collapsed="false">
      <c r="A3330" s="91"/>
    </row>
    <row r="3331" customFormat="false" ht="17.6" hidden="false" customHeight="false" outlineLevel="0" collapsed="false">
      <c r="A3331" s="91"/>
    </row>
    <row r="3332" customFormat="false" ht="17.6" hidden="false" customHeight="false" outlineLevel="0" collapsed="false">
      <c r="A3332" s="91"/>
    </row>
    <row r="3333" customFormat="false" ht="17.6" hidden="false" customHeight="false" outlineLevel="0" collapsed="false">
      <c r="A3333" s="91"/>
    </row>
    <row r="3334" customFormat="false" ht="17.6" hidden="false" customHeight="false" outlineLevel="0" collapsed="false">
      <c r="A3334" s="91"/>
    </row>
    <row r="3335" customFormat="false" ht="17.6" hidden="false" customHeight="false" outlineLevel="0" collapsed="false">
      <c r="A3335" s="91"/>
    </row>
    <row r="3336" customFormat="false" ht="17.6" hidden="false" customHeight="false" outlineLevel="0" collapsed="false">
      <c r="A3336" s="91"/>
    </row>
    <row r="3337" customFormat="false" ht="17.6" hidden="false" customHeight="false" outlineLevel="0" collapsed="false">
      <c r="A3337" s="91"/>
    </row>
    <row r="3338" customFormat="false" ht="17.6" hidden="false" customHeight="false" outlineLevel="0" collapsed="false">
      <c r="A3338" s="91"/>
    </row>
    <row r="3339" customFormat="false" ht="17.6" hidden="false" customHeight="false" outlineLevel="0" collapsed="false">
      <c r="A3339" s="91"/>
    </row>
    <row r="3340" customFormat="false" ht="17.6" hidden="false" customHeight="false" outlineLevel="0" collapsed="false">
      <c r="A3340" s="91"/>
    </row>
    <row r="3341" customFormat="false" ht="17.6" hidden="false" customHeight="false" outlineLevel="0" collapsed="false">
      <c r="A3341" s="91"/>
    </row>
    <row r="3342" customFormat="false" ht="17.6" hidden="false" customHeight="false" outlineLevel="0" collapsed="false">
      <c r="A3342" s="91"/>
    </row>
    <row r="3343" customFormat="false" ht="17.6" hidden="false" customHeight="false" outlineLevel="0" collapsed="false">
      <c r="A3343" s="91"/>
    </row>
    <row r="3344" customFormat="false" ht="17.6" hidden="false" customHeight="false" outlineLevel="0" collapsed="false">
      <c r="A3344" s="91"/>
    </row>
    <row r="3345" customFormat="false" ht="17.6" hidden="false" customHeight="false" outlineLevel="0" collapsed="false">
      <c r="A3345" s="91"/>
    </row>
    <row r="3346" customFormat="false" ht="17.6" hidden="false" customHeight="false" outlineLevel="0" collapsed="false">
      <c r="A3346" s="91"/>
    </row>
    <row r="3347" customFormat="false" ht="17.6" hidden="false" customHeight="false" outlineLevel="0" collapsed="false">
      <c r="A3347" s="91"/>
    </row>
    <row r="3348" customFormat="false" ht="17.6" hidden="false" customHeight="false" outlineLevel="0" collapsed="false">
      <c r="A3348" s="91"/>
    </row>
    <row r="3349" customFormat="false" ht="17.6" hidden="false" customHeight="false" outlineLevel="0" collapsed="false">
      <c r="A3349" s="91"/>
    </row>
    <row r="3350" customFormat="false" ht="17.6" hidden="false" customHeight="false" outlineLevel="0" collapsed="false">
      <c r="A3350" s="91"/>
    </row>
    <row r="3351" customFormat="false" ht="17.6" hidden="false" customHeight="false" outlineLevel="0" collapsed="false">
      <c r="A3351" s="91"/>
    </row>
    <row r="3352" customFormat="false" ht="17.6" hidden="false" customHeight="false" outlineLevel="0" collapsed="false">
      <c r="A3352" s="91"/>
    </row>
    <row r="3353" customFormat="false" ht="17.6" hidden="false" customHeight="false" outlineLevel="0" collapsed="false">
      <c r="A3353" s="91"/>
    </row>
    <row r="3354" customFormat="false" ht="17.6" hidden="false" customHeight="false" outlineLevel="0" collapsed="false">
      <c r="A3354" s="91"/>
    </row>
    <row r="3355" customFormat="false" ht="17.6" hidden="false" customHeight="false" outlineLevel="0" collapsed="false">
      <c r="A3355" s="91"/>
    </row>
    <row r="3356" customFormat="false" ht="17.6" hidden="false" customHeight="false" outlineLevel="0" collapsed="false">
      <c r="A3356" s="91"/>
    </row>
    <row r="3357" customFormat="false" ht="17.6" hidden="false" customHeight="false" outlineLevel="0" collapsed="false">
      <c r="A3357" s="91"/>
    </row>
    <row r="3358" customFormat="false" ht="17.6" hidden="false" customHeight="false" outlineLevel="0" collapsed="false">
      <c r="A3358" s="91"/>
    </row>
    <row r="3359" customFormat="false" ht="17.6" hidden="false" customHeight="false" outlineLevel="0" collapsed="false">
      <c r="A3359" s="91"/>
    </row>
    <row r="3360" customFormat="false" ht="17.6" hidden="false" customHeight="false" outlineLevel="0" collapsed="false">
      <c r="A3360" s="91"/>
    </row>
    <row r="3361" customFormat="false" ht="17.6" hidden="false" customHeight="false" outlineLevel="0" collapsed="false">
      <c r="A3361" s="91"/>
    </row>
    <row r="3362" customFormat="false" ht="17.6" hidden="false" customHeight="false" outlineLevel="0" collapsed="false">
      <c r="A3362" s="91"/>
    </row>
    <row r="3363" customFormat="false" ht="17.6" hidden="false" customHeight="false" outlineLevel="0" collapsed="false">
      <c r="A3363" s="91"/>
    </row>
    <row r="3364" customFormat="false" ht="17.6" hidden="false" customHeight="false" outlineLevel="0" collapsed="false">
      <c r="A3364" s="91"/>
    </row>
    <row r="3365" customFormat="false" ht="17.6" hidden="false" customHeight="false" outlineLevel="0" collapsed="false">
      <c r="A3365" s="91"/>
    </row>
    <row r="3366" customFormat="false" ht="17.6" hidden="false" customHeight="false" outlineLevel="0" collapsed="false">
      <c r="A3366" s="91"/>
    </row>
    <row r="3367" customFormat="false" ht="17.6" hidden="false" customHeight="false" outlineLevel="0" collapsed="false">
      <c r="A3367" s="91"/>
    </row>
    <row r="3368" customFormat="false" ht="17.6" hidden="false" customHeight="false" outlineLevel="0" collapsed="false">
      <c r="A3368" s="91"/>
    </row>
    <row r="3369" customFormat="false" ht="17.6" hidden="false" customHeight="false" outlineLevel="0" collapsed="false">
      <c r="A3369" s="91"/>
    </row>
    <row r="3370" customFormat="false" ht="17.6" hidden="false" customHeight="false" outlineLevel="0" collapsed="false">
      <c r="A3370" s="91"/>
    </row>
    <row r="3371" customFormat="false" ht="17.6" hidden="false" customHeight="false" outlineLevel="0" collapsed="false">
      <c r="A3371" s="91"/>
    </row>
    <row r="3372" customFormat="false" ht="17.6" hidden="false" customHeight="false" outlineLevel="0" collapsed="false">
      <c r="A3372" s="91"/>
    </row>
    <row r="3373" customFormat="false" ht="17.6" hidden="false" customHeight="false" outlineLevel="0" collapsed="false">
      <c r="A3373" s="91"/>
    </row>
    <row r="3374" customFormat="false" ht="17.6" hidden="false" customHeight="false" outlineLevel="0" collapsed="false">
      <c r="A3374" s="91"/>
    </row>
    <row r="3375" customFormat="false" ht="17.6" hidden="false" customHeight="false" outlineLevel="0" collapsed="false">
      <c r="A3375" s="91"/>
    </row>
    <row r="3376" customFormat="false" ht="17.6" hidden="false" customHeight="false" outlineLevel="0" collapsed="false">
      <c r="A3376" s="91"/>
    </row>
    <row r="3377" customFormat="false" ht="17.6" hidden="false" customHeight="false" outlineLevel="0" collapsed="false">
      <c r="A3377" s="91"/>
    </row>
    <row r="3378" customFormat="false" ht="17.6" hidden="false" customHeight="false" outlineLevel="0" collapsed="false">
      <c r="A3378" s="91"/>
    </row>
    <row r="3379" customFormat="false" ht="17.6" hidden="false" customHeight="false" outlineLevel="0" collapsed="false">
      <c r="A3379" s="91"/>
    </row>
    <row r="3380" customFormat="false" ht="17.6" hidden="false" customHeight="false" outlineLevel="0" collapsed="false">
      <c r="A3380" s="91"/>
    </row>
    <row r="3381" customFormat="false" ht="17.6" hidden="false" customHeight="false" outlineLevel="0" collapsed="false">
      <c r="A3381" s="91"/>
    </row>
    <row r="3382" customFormat="false" ht="17.6" hidden="false" customHeight="false" outlineLevel="0" collapsed="false">
      <c r="A3382" s="91"/>
    </row>
    <row r="3383" customFormat="false" ht="17.6" hidden="false" customHeight="false" outlineLevel="0" collapsed="false">
      <c r="A3383" s="91"/>
    </row>
    <row r="3384" customFormat="false" ht="17.6" hidden="false" customHeight="false" outlineLevel="0" collapsed="false">
      <c r="A3384" s="91"/>
    </row>
    <row r="3385" customFormat="false" ht="17.6" hidden="false" customHeight="false" outlineLevel="0" collapsed="false">
      <c r="A3385" s="91"/>
    </row>
    <row r="3386" customFormat="false" ht="17.6" hidden="false" customHeight="false" outlineLevel="0" collapsed="false">
      <c r="A3386" s="91"/>
    </row>
    <row r="3387" customFormat="false" ht="17.6" hidden="false" customHeight="false" outlineLevel="0" collapsed="false">
      <c r="A3387" s="91"/>
    </row>
    <row r="3388" customFormat="false" ht="17.6" hidden="false" customHeight="false" outlineLevel="0" collapsed="false">
      <c r="A3388" s="91"/>
    </row>
    <row r="3389" customFormat="false" ht="17.6" hidden="false" customHeight="false" outlineLevel="0" collapsed="false">
      <c r="A3389" s="91"/>
    </row>
    <row r="3390" customFormat="false" ht="17.6" hidden="false" customHeight="false" outlineLevel="0" collapsed="false">
      <c r="A3390" s="91"/>
    </row>
    <row r="3391" customFormat="false" ht="17.6" hidden="false" customHeight="false" outlineLevel="0" collapsed="false">
      <c r="A3391" s="91"/>
    </row>
    <row r="3392" customFormat="false" ht="17.6" hidden="false" customHeight="false" outlineLevel="0" collapsed="false">
      <c r="A3392" s="91"/>
    </row>
    <row r="3393" customFormat="false" ht="17.6" hidden="false" customHeight="false" outlineLevel="0" collapsed="false">
      <c r="A3393" s="91"/>
    </row>
    <row r="3394" customFormat="false" ht="17.6" hidden="false" customHeight="false" outlineLevel="0" collapsed="false">
      <c r="A3394" s="91"/>
    </row>
    <row r="3395" customFormat="false" ht="17.6" hidden="false" customHeight="false" outlineLevel="0" collapsed="false">
      <c r="A3395" s="91"/>
    </row>
    <row r="3396" customFormat="false" ht="17.6" hidden="false" customHeight="false" outlineLevel="0" collapsed="false">
      <c r="A3396" s="91"/>
    </row>
    <row r="3397" customFormat="false" ht="17.6" hidden="false" customHeight="false" outlineLevel="0" collapsed="false">
      <c r="A3397" s="91"/>
    </row>
    <row r="3398" customFormat="false" ht="17.6" hidden="false" customHeight="false" outlineLevel="0" collapsed="false">
      <c r="A3398" s="91"/>
    </row>
    <row r="3399" customFormat="false" ht="17.6" hidden="false" customHeight="false" outlineLevel="0" collapsed="false">
      <c r="A3399" s="91"/>
    </row>
    <row r="3400" customFormat="false" ht="17.6" hidden="false" customHeight="false" outlineLevel="0" collapsed="false">
      <c r="A3400" s="91"/>
    </row>
    <row r="3401" customFormat="false" ht="17.6" hidden="false" customHeight="false" outlineLevel="0" collapsed="false">
      <c r="A3401" s="91"/>
    </row>
    <row r="3402" customFormat="false" ht="17.6" hidden="false" customHeight="false" outlineLevel="0" collapsed="false">
      <c r="A3402" s="91"/>
    </row>
    <row r="3403" customFormat="false" ht="17.6" hidden="false" customHeight="false" outlineLevel="0" collapsed="false">
      <c r="A3403" s="91"/>
    </row>
    <row r="3404" customFormat="false" ht="17.6" hidden="false" customHeight="false" outlineLevel="0" collapsed="false">
      <c r="A3404" s="91"/>
    </row>
    <row r="3405" customFormat="false" ht="17.6" hidden="false" customHeight="false" outlineLevel="0" collapsed="false">
      <c r="A3405" s="91"/>
    </row>
    <row r="3406" customFormat="false" ht="17.6" hidden="false" customHeight="false" outlineLevel="0" collapsed="false">
      <c r="A3406" s="91"/>
    </row>
    <row r="3407" customFormat="false" ht="17.6" hidden="false" customHeight="false" outlineLevel="0" collapsed="false">
      <c r="A3407" s="91"/>
    </row>
    <row r="3408" customFormat="false" ht="17.6" hidden="false" customHeight="false" outlineLevel="0" collapsed="false">
      <c r="A3408" s="91"/>
    </row>
    <row r="3409" customFormat="false" ht="17.6" hidden="false" customHeight="false" outlineLevel="0" collapsed="false">
      <c r="A3409" s="91"/>
    </row>
    <row r="3410" customFormat="false" ht="17.6" hidden="false" customHeight="false" outlineLevel="0" collapsed="false">
      <c r="A3410" s="91"/>
    </row>
    <row r="3411" customFormat="false" ht="17.6" hidden="false" customHeight="false" outlineLevel="0" collapsed="false">
      <c r="A3411" s="91"/>
    </row>
    <row r="3412" customFormat="false" ht="17.6" hidden="false" customHeight="false" outlineLevel="0" collapsed="false">
      <c r="A3412" s="91"/>
    </row>
    <row r="3413" customFormat="false" ht="17.6" hidden="false" customHeight="false" outlineLevel="0" collapsed="false">
      <c r="A3413" s="91"/>
    </row>
    <row r="3414" customFormat="false" ht="17.6" hidden="false" customHeight="false" outlineLevel="0" collapsed="false">
      <c r="A3414" s="91"/>
    </row>
    <row r="3415" customFormat="false" ht="17.6" hidden="false" customHeight="false" outlineLevel="0" collapsed="false">
      <c r="A3415" s="91"/>
    </row>
    <row r="3416" customFormat="false" ht="17.6" hidden="false" customHeight="false" outlineLevel="0" collapsed="false">
      <c r="A3416" s="91"/>
    </row>
    <row r="3417" customFormat="false" ht="17.6" hidden="false" customHeight="false" outlineLevel="0" collapsed="false">
      <c r="A3417" s="91"/>
    </row>
    <row r="3418" customFormat="false" ht="17.6" hidden="false" customHeight="false" outlineLevel="0" collapsed="false">
      <c r="A3418" s="91"/>
    </row>
    <row r="3419" customFormat="false" ht="17.6" hidden="false" customHeight="false" outlineLevel="0" collapsed="false">
      <c r="A3419" s="91"/>
    </row>
    <row r="3420" customFormat="false" ht="17.6" hidden="false" customHeight="false" outlineLevel="0" collapsed="false">
      <c r="A3420" s="91"/>
    </row>
    <row r="3421" customFormat="false" ht="17.6" hidden="false" customHeight="false" outlineLevel="0" collapsed="false">
      <c r="A3421" s="91"/>
    </row>
    <row r="3422" customFormat="false" ht="17.6" hidden="false" customHeight="false" outlineLevel="0" collapsed="false">
      <c r="A3422" s="91"/>
    </row>
    <row r="3423" customFormat="false" ht="17.6" hidden="false" customHeight="false" outlineLevel="0" collapsed="false">
      <c r="A3423" s="91"/>
    </row>
    <row r="3424" customFormat="false" ht="17.6" hidden="false" customHeight="false" outlineLevel="0" collapsed="false">
      <c r="A3424" s="91"/>
    </row>
    <row r="3425" customFormat="false" ht="17.6" hidden="false" customHeight="false" outlineLevel="0" collapsed="false">
      <c r="A3425" s="91"/>
    </row>
    <row r="3426" customFormat="false" ht="17.6" hidden="false" customHeight="false" outlineLevel="0" collapsed="false">
      <c r="A3426" s="91"/>
    </row>
    <row r="3427" customFormat="false" ht="17.6" hidden="false" customHeight="false" outlineLevel="0" collapsed="false">
      <c r="A3427" s="91"/>
    </row>
    <row r="3428" customFormat="false" ht="17.6" hidden="false" customHeight="false" outlineLevel="0" collapsed="false">
      <c r="A3428" s="91"/>
    </row>
    <row r="3429" customFormat="false" ht="17.6" hidden="false" customHeight="false" outlineLevel="0" collapsed="false">
      <c r="A3429" s="91"/>
    </row>
    <row r="3430" customFormat="false" ht="17.6" hidden="false" customHeight="false" outlineLevel="0" collapsed="false">
      <c r="A3430" s="91"/>
    </row>
    <row r="3431" customFormat="false" ht="17.6" hidden="false" customHeight="false" outlineLevel="0" collapsed="false">
      <c r="A3431" s="91"/>
    </row>
    <row r="3432" customFormat="false" ht="17.6" hidden="false" customHeight="false" outlineLevel="0" collapsed="false">
      <c r="A3432" s="91"/>
    </row>
    <row r="3433" customFormat="false" ht="17.6" hidden="false" customHeight="false" outlineLevel="0" collapsed="false">
      <c r="A3433" s="91"/>
    </row>
    <row r="3434" customFormat="false" ht="17.6" hidden="false" customHeight="false" outlineLevel="0" collapsed="false">
      <c r="A3434" s="91"/>
    </row>
    <row r="3435" customFormat="false" ht="17.6" hidden="false" customHeight="false" outlineLevel="0" collapsed="false">
      <c r="A3435" s="91"/>
    </row>
    <row r="3436" customFormat="false" ht="17.6" hidden="false" customHeight="false" outlineLevel="0" collapsed="false">
      <c r="A3436" s="91"/>
    </row>
    <row r="3437" customFormat="false" ht="17.6" hidden="false" customHeight="false" outlineLevel="0" collapsed="false">
      <c r="A3437" s="91"/>
    </row>
    <row r="3438" customFormat="false" ht="17.6" hidden="false" customHeight="false" outlineLevel="0" collapsed="false">
      <c r="A3438" s="91"/>
    </row>
    <row r="3439" customFormat="false" ht="17.6" hidden="false" customHeight="false" outlineLevel="0" collapsed="false">
      <c r="A3439" s="91"/>
    </row>
    <row r="3440" customFormat="false" ht="17.6" hidden="false" customHeight="false" outlineLevel="0" collapsed="false">
      <c r="A3440" s="91"/>
    </row>
    <row r="3441" customFormat="false" ht="17.6" hidden="false" customHeight="false" outlineLevel="0" collapsed="false">
      <c r="A3441" s="91"/>
    </row>
    <row r="3442" customFormat="false" ht="17.6" hidden="false" customHeight="false" outlineLevel="0" collapsed="false">
      <c r="A3442" s="91"/>
    </row>
    <row r="3443" customFormat="false" ht="17.6" hidden="false" customHeight="false" outlineLevel="0" collapsed="false">
      <c r="A3443" s="91"/>
    </row>
    <row r="3444" customFormat="false" ht="17.6" hidden="false" customHeight="false" outlineLevel="0" collapsed="false">
      <c r="A3444" s="91"/>
    </row>
    <row r="3445" customFormat="false" ht="17.6" hidden="false" customHeight="false" outlineLevel="0" collapsed="false">
      <c r="A3445" s="91"/>
    </row>
    <row r="3446" customFormat="false" ht="17.6" hidden="false" customHeight="false" outlineLevel="0" collapsed="false">
      <c r="A3446" s="91"/>
    </row>
    <row r="3447" customFormat="false" ht="17.6" hidden="false" customHeight="false" outlineLevel="0" collapsed="false">
      <c r="A3447" s="91"/>
    </row>
    <row r="3448" customFormat="false" ht="17.6" hidden="false" customHeight="false" outlineLevel="0" collapsed="false">
      <c r="A3448" s="91"/>
    </row>
    <row r="3449" customFormat="false" ht="17.6" hidden="false" customHeight="false" outlineLevel="0" collapsed="false">
      <c r="A3449" s="91"/>
    </row>
    <row r="3450" customFormat="false" ht="17.6" hidden="false" customHeight="false" outlineLevel="0" collapsed="false">
      <c r="A3450" s="91"/>
    </row>
    <row r="3451" customFormat="false" ht="17.6" hidden="false" customHeight="false" outlineLevel="0" collapsed="false">
      <c r="A3451" s="91"/>
    </row>
    <row r="3452" customFormat="false" ht="17.6" hidden="false" customHeight="false" outlineLevel="0" collapsed="false">
      <c r="A3452" s="91"/>
    </row>
    <row r="3453" customFormat="false" ht="17.6" hidden="false" customHeight="false" outlineLevel="0" collapsed="false">
      <c r="A3453" s="91"/>
    </row>
    <row r="3454" customFormat="false" ht="17.6" hidden="false" customHeight="false" outlineLevel="0" collapsed="false">
      <c r="A3454" s="91"/>
    </row>
    <row r="3455" customFormat="false" ht="17.6" hidden="false" customHeight="false" outlineLevel="0" collapsed="false">
      <c r="A3455" s="91"/>
    </row>
    <row r="3456" customFormat="false" ht="17.6" hidden="false" customHeight="false" outlineLevel="0" collapsed="false">
      <c r="A3456" s="91"/>
    </row>
    <row r="3457" customFormat="false" ht="17.6" hidden="false" customHeight="false" outlineLevel="0" collapsed="false">
      <c r="A3457" s="91"/>
    </row>
    <row r="3458" customFormat="false" ht="17.6" hidden="false" customHeight="false" outlineLevel="0" collapsed="false">
      <c r="A3458" s="91"/>
    </row>
    <row r="3459" customFormat="false" ht="17.6" hidden="false" customHeight="false" outlineLevel="0" collapsed="false">
      <c r="A3459" s="91"/>
    </row>
    <row r="3460" customFormat="false" ht="17.6" hidden="false" customHeight="false" outlineLevel="0" collapsed="false">
      <c r="A3460" s="91"/>
    </row>
    <row r="3461" customFormat="false" ht="17.6" hidden="false" customHeight="false" outlineLevel="0" collapsed="false">
      <c r="A3461" s="91"/>
    </row>
    <row r="3462" customFormat="false" ht="17.6" hidden="false" customHeight="false" outlineLevel="0" collapsed="false">
      <c r="A3462" s="91"/>
    </row>
    <row r="3463" customFormat="false" ht="17.6" hidden="false" customHeight="false" outlineLevel="0" collapsed="false">
      <c r="A3463" s="91"/>
    </row>
    <row r="3464" customFormat="false" ht="17.6" hidden="false" customHeight="false" outlineLevel="0" collapsed="false">
      <c r="A3464" s="91"/>
    </row>
    <row r="3465" customFormat="false" ht="17.6" hidden="false" customHeight="false" outlineLevel="0" collapsed="false">
      <c r="A3465" s="91"/>
    </row>
    <row r="3466" customFormat="false" ht="17.6" hidden="false" customHeight="false" outlineLevel="0" collapsed="false">
      <c r="A3466" s="91"/>
    </row>
    <row r="3467" customFormat="false" ht="17.6" hidden="false" customHeight="false" outlineLevel="0" collapsed="false">
      <c r="A3467" s="91"/>
    </row>
    <row r="3468" customFormat="false" ht="17.6" hidden="false" customHeight="false" outlineLevel="0" collapsed="false">
      <c r="A3468" s="91"/>
    </row>
    <row r="3469" customFormat="false" ht="17.6" hidden="false" customHeight="false" outlineLevel="0" collapsed="false">
      <c r="A3469" s="91"/>
    </row>
    <row r="3470" customFormat="false" ht="17.6" hidden="false" customHeight="false" outlineLevel="0" collapsed="false">
      <c r="A3470" s="91"/>
    </row>
    <row r="3471" customFormat="false" ht="17.6" hidden="false" customHeight="false" outlineLevel="0" collapsed="false">
      <c r="A3471" s="91"/>
    </row>
    <row r="3472" customFormat="false" ht="17.6" hidden="false" customHeight="false" outlineLevel="0" collapsed="false">
      <c r="A3472" s="91"/>
    </row>
    <row r="3473" customFormat="false" ht="17.6" hidden="false" customHeight="false" outlineLevel="0" collapsed="false">
      <c r="A3473" s="91"/>
    </row>
    <row r="3474" customFormat="false" ht="17.6" hidden="false" customHeight="false" outlineLevel="0" collapsed="false">
      <c r="A3474" s="91"/>
    </row>
    <row r="3475" customFormat="false" ht="17.6" hidden="false" customHeight="false" outlineLevel="0" collapsed="false">
      <c r="A3475" s="91"/>
    </row>
    <row r="3476" customFormat="false" ht="17.6" hidden="false" customHeight="false" outlineLevel="0" collapsed="false">
      <c r="A3476" s="91"/>
    </row>
    <row r="3477" customFormat="false" ht="17.6" hidden="false" customHeight="false" outlineLevel="0" collapsed="false">
      <c r="A3477" s="91"/>
    </row>
    <row r="3478" customFormat="false" ht="17.6" hidden="false" customHeight="false" outlineLevel="0" collapsed="false">
      <c r="A3478" s="91"/>
    </row>
    <row r="3479" customFormat="false" ht="17.6" hidden="false" customHeight="false" outlineLevel="0" collapsed="false">
      <c r="A3479" s="91"/>
    </row>
    <row r="3480" customFormat="false" ht="17.6" hidden="false" customHeight="false" outlineLevel="0" collapsed="false">
      <c r="A3480" s="91"/>
    </row>
    <row r="3481" customFormat="false" ht="17.6" hidden="false" customHeight="false" outlineLevel="0" collapsed="false">
      <c r="A3481" s="91"/>
    </row>
    <row r="3482" customFormat="false" ht="17.6" hidden="false" customHeight="false" outlineLevel="0" collapsed="false">
      <c r="A3482" s="91"/>
    </row>
    <row r="3483" customFormat="false" ht="17.6" hidden="false" customHeight="false" outlineLevel="0" collapsed="false">
      <c r="A3483" s="91"/>
    </row>
    <row r="3484" customFormat="false" ht="17.6" hidden="false" customHeight="false" outlineLevel="0" collapsed="false">
      <c r="A3484" s="91"/>
    </row>
    <row r="3485" customFormat="false" ht="17.6" hidden="false" customHeight="false" outlineLevel="0" collapsed="false">
      <c r="A3485" s="91"/>
    </row>
    <row r="3486" customFormat="false" ht="17.6" hidden="false" customHeight="false" outlineLevel="0" collapsed="false">
      <c r="A3486" s="91"/>
    </row>
    <row r="3487" customFormat="false" ht="17.6" hidden="false" customHeight="false" outlineLevel="0" collapsed="false">
      <c r="A3487" s="91"/>
    </row>
    <row r="3488" customFormat="false" ht="17.6" hidden="false" customHeight="false" outlineLevel="0" collapsed="false">
      <c r="A3488" s="91"/>
    </row>
    <row r="3489" customFormat="false" ht="17.6" hidden="false" customHeight="false" outlineLevel="0" collapsed="false">
      <c r="A3489" s="91"/>
    </row>
    <row r="3490" customFormat="false" ht="17.6" hidden="false" customHeight="false" outlineLevel="0" collapsed="false">
      <c r="A3490" s="91"/>
    </row>
    <row r="3491" customFormat="false" ht="17.6" hidden="false" customHeight="false" outlineLevel="0" collapsed="false">
      <c r="A3491" s="91"/>
    </row>
    <row r="3492" customFormat="false" ht="17.6" hidden="false" customHeight="false" outlineLevel="0" collapsed="false">
      <c r="A3492" s="91"/>
    </row>
    <row r="3493" customFormat="false" ht="17.6" hidden="false" customHeight="false" outlineLevel="0" collapsed="false">
      <c r="A3493" s="91"/>
    </row>
    <row r="3494" customFormat="false" ht="17.6" hidden="false" customHeight="false" outlineLevel="0" collapsed="false">
      <c r="A3494" s="91"/>
    </row>
    <row r="3495" customFormat="false" ht="17.6" hidden="false" customHeight="false" outlineLevel="0" collapsed="false">
      <c r="A3495" s="91"/>
    </row>
    <row r="3496" customFormat="false" ht="17.6" hidden="false" customHeight="false" outlineLevel="0" collapsed="false">
      <c r="A3496" s="91"/>
    </row>
    <row r="3497" customFormat="false" ht="17.6" hidden="false" customHeight="false" outlineLevel="0" collapsed="false">
      <c r="A3497" s="91"/>
    </row>
    <row r="3498" customFormat="false" ht="17.6" hidden="false" customHeight="false" outlineLevel="0" collapsed="false">
      <c r="A3498" s="91"/>
    </row>
    <row r="3499" customFormat="false" ht="17.6" hidden="false" customHeight="false" outlineLevel="0" collapsed="false">
      <c r="A3499" s="91"/>
    </row>
    <row r="3500" customFormat="false" ht="17.6" hidden="false" customHeight="false" outlineLevel="0" collapsed="false">
      <c r="A3500" s="91"/>
    </row>
    <row r="3501" customFormat="false" ht="17.6" hidden="false" customHeight="false" outlineLevel="0" collapsed="false">
      <c r="A3501" s="91"/>
    </row>
    <row r="3502" customFormat="false" ht="17.6" hidden="false" customHeight="false" outlineLevel="0" collapsed="false">
      <c r="A3502" s="91"/>
    </row>
    <row r="3503" customFormat="false" ht="17.6" hidden="false" customHeight="false" outlineLevel="0" collapsed="false">
      <c r="A3503" s="91"/>
    </row>
    <row r="3504" customFormat="false" ht="17.6" hidden="false" customHeight="false" outlineLevel="0" collapsed="false">
      <c r="A3504" s="91"/>
    </row>
    <row r="3505" customFormat="false" ht="17.6" hidden="false" customHeight="false" outlineLevel="0" collapsed="false">
      <c r="A3505" s="91"/>
    </row>
    <row r="3506" customFormat="false" ht="17.6" hidden="false" customHeight="false" outlineLevel="0" collapsed="false">
      <c r="A3506" s="91"/>
    </row>
    <row r="3507" customFormat="false" ht="17.6" hidden="false" customHeight="false" outlineLevel="0" collapsed="false">
      <c r="A3507" s="91"/>
    </row>
    <row r="3508" customFormat="false" ht="17.6" hidden="false" customHeight="false" outlineLevel="0" collapsed="false">
      <c r="A3508" s="91"/>
    </row>
    <row r="3509" customFormat="false" ht="17.6" hidden="false" customHeight="false" outlineLevel="0" collapsed="false">
      <c r="A3509" s="91"/>
    </row>
    <row r="3510" customFormat="false" ht="17.6" hidden="false" customHeight="false" outlineLevel="0" collapsed="false">
      <c r="A3510" s="91"/>
    </row>
    <row r="3511" customFormat="false" ht="17.6" hidden="false" customHeight="false" outlineLevel="0" collapsed="false">
      <c r="A3511" s="91"/>
    </row>
    <row r="3512" customFormat="false" ht="17.6" hidden="false" customHeight="false" outlineLevel="0" collapsed="false">
      <c r="A3512" s="91"/>
    </row>
    <row r="3513" customFormat="false" ht="17.6" hidden="false" customHeight="false" outlineLevel="0" collapsed="false">
      <c r="A3513" s="91"/>
    </row>
    <row r="3514" customFormat="false" ht="17.6" hidden="false" customHeight="false" outlineLevel="0" collapsed="false">
      <c r="A3514" s="91"/>
    </row>
    <row r="3515" customFormat="false" ht="17.6" hidden="false" customHeight="false" outlineLevel="0" collapsed="false">
      <c r="A3515" s="91"/>
    </row>
    <row r="3516" customFormat="false" ht="17.6" hidden="false" customHeight="false" outlineLevel="0" collapsed="false">
      <c r="A3516" s="91"/>
    </row>
    <row r="3517" customFormat="false" ht="17.6" hidden="false" customHeight="false" outlineLevel="0" collapsed="false">
      <c r="A3517" s="91"/>
    </row>
    <row r="3518" customFormat="false" ht="17.6" hidden="false" customHeight="false" outlineLevel="0" collapsed="false">
      <c r="A3518" s="91"/>
    </row>
    <row r="3519" customFormat="false" ht="17.6" hidden="false" customHeight="false" outlineLevel="0" collapsed="false">
      <c r="A3519" s="91"/>
    </row>
    <row r="3520" customFormat="false" ht="17.6" hidden="false" customHeight="false" outlineLevel="0" collapsed="false">
      <c r="A3520" s="91"/>
    </row>
    <row r="3521" customFormat="false" ht="17.6" hidden="false" customHeight="false" outlineLevel="0" collapsed="false">
      <c r="A3521" s="91"/>
    </row>
    <row r="3522" customFormat="false" ht="17.6" hidden="false" customHeight="false" outlineLevel="0" collapsed="false">
      <c r="A3522" s="91"/>
    </row>
    <row r="3523" customFormat="false" ht="17.6" hidden="false" customHeight="false" outlineLevel="0" collapsed="false">
      <c r="A3523" s="91"/>
    </row>
    <row r="3524" customFormat="false" ht="17.6" hidden="false" customHeight="false" outlineLevel="0" collapsed="false">
      <c r="A3524" s="91"/>
    </row>
    <row r="3525" customFormat="false" ht="17.6" hidden="false" customHeight="false" outlineLevel="0" collapsed="false">
      <c r="A3525" s="91"/>
    </row>
    <row r="3526" customFormat="false" ht="17.6" hidden="false" customHeight="false" outlineLevel="0" collapsed="false">
      <c r="A3526" s="91"/>
    </row>
    <row r="3527" customFormat="false" ht="17.6" hidden="false" customHeight="false" outlineLevel="0" collapsed="false">
      <c r="A3527" s="91"/>
    </row>
    <row r="3528" customFormat="false" ht="17.6" hidden="false" customHeight="false" outlineLevel="0" collapsed="false">
      <c r="A3528" s="91"/>
    </row>
    <row r="3529" customFormat="false" ht="17.6" hidden="false" customHeight="false" outlineLevel="0" collapsed="false">
      <c r="A3529" s="91"/>
    </row>
    <row r="3530" customFormat="false" ht="17.6" hidden="false" customHeight="false" outlineLevel="0" collapsed="false">
      <c r="A3530" s="91"/>
    </row>
    <row r="3531" customFormat="false" ht="17.6" hidden="false" customHeight="false" outlineLevel="0" collapsed="false">
      <c r="A3531" s="91"/>
    </row>
    <row r="3532" customFormat="false" ht="17.6" hidden="false" customHeight="false" outlineLevel="0" collapsed="false">
      <c r="A3532" s="91"/>
    </row>
    <row r="3533" customFormat="false" ht="17.6" hidden="false" customHeight="false" outlineLevel="0" collapsed="false">
      <c r="A3533" s="91"/>
    </row>
    <row r="3534" customFormat="false" ht="17.6" hidden="false" customHeight="false" outlineLevel="0" collapsed="false">
      <c r="A3534" s="91"/>
    </row>
    <row r="3535" customFormat="false" ht="17.6" hidden="false" customHeight="false" outlineLevel="0" collapsed="false">
      <c r="A3535" s="91"/>
    </row>
    <row r="3536" customFormat="false" ht="17.6" hidden="false" customHeight="false" outlineLevel="0" collapsed="false">
      <c r="A3536" s="91"/>
    </row>
    <row r="3537" customFormat="false" ht="17.6" hidden="false" customHeight="false" outlineLevel="0" collapsed="false">
      <c r="A3537" s="91"/>
    </row>
    <row r="3538" customFormat="false" ht="17.6" hidden="false" customHeight="false" outlineLevel="0" collapsed="false">
      <c r="A3538" s="91"/>
    </row>
    <row r="3539" customFormat="false" ht="17.6" hidden="false" customHeight="false" outlineLevel="0" collapsed="false">
      <c r="A3539" s="91"/>
    </row>
    <row r="3540" customFormat="false" ht="17.6" hidden="false" customHeight="false" outlineLevel="0" collapsed="false">
      <c r="A3540" s="91"/>
    </row>
    <row r="3541" customFormat="false" ht="17.6" hidden="false" customHeight="false" outlineLevel="0" collapsed="false">
      <c r="A3541" s="91"/>
    </row>
    <row r="3542" customFormat="false" ht="17.6" hidden="false" customHeight="false" outlineLevel="0" collapsed="false">
      <c r="A3542" s="91"/>
    </row>
    <row r="3543" customFormat="false" ht="17.6" hidden="false" customHeight="false" outlineLevel="0" collapsed="false">
      <c r="A3543" s="91"/>
    </row>
    <row r="3544" customFormat="false" ht="17.6" hidden="false" customHeight="false" outlineLevel="0" collapsed="false">
      <c r="A3544" s="91"/>
    </row>
    <row r="3545" customFormat="false" ht="17.6" hidden="false" customHeight="false" outlineLevel="0" collapsed="false">
      <c r="A3545" s="91"/>
    </row>
    <row r="3546" customFormat="false" ht="17.6" hidden="false" customHeight="false" outlineLevel="0" collapsed="false">
      <c r="A3546" s="91"/>
    </row>
    <row r="3547" customFormat="false" ht="17.6" hidden="false" customHeight="false" outlineLevel="0" collapsed="false">
      <c r="A3547" s="91"/>
    </row>
    <row r="3548" customFormat="false" ht="17.6" hidden="false" customHeight="false" outlineLevel="0" collapsed="false">
      <c r="A3548" s="91"/>
    </row>
    <row r="3549" customFormat="false" ht="17.6" hidden="false" customHeight="false" outlineLevel="0" collapsed="false">
      <c r="A3549" s="91"/>
    </row>
    <row r="3550" customFormat="false" ht="17.6" hidden="false" customHeight="false" outlineLevel="0" collapsed="false">
      <c r="A3550" s="91"/>
    </row>
    <row r="3551" customFormat="false" ht="17.6" hidden="false" customHeight="false" outlineLevel="0" collapsed="false">
      <c r="A3551" s="91"/>
    </row>
    <row r="3552" customFormat="false" ht="17.6" hidden="false" customHeight="false" outlineLevel="0" collapsed="false">
      <c r="A3552" s="91"/>
    </row>
    <row r="3553" customFormat="false" ht="17.6" hidden="false" customHeight="false" outlineLevel="0" collapsed="false">
      <c r="A3553" s="91"/>
    </row>
    <row r="3554" customFormat="false" ht="17.6" hidden="false" customHeight="false" outlineLevel="0" collapsed="false">
      <c r="A3554" s="91"/>
    </row>
    <row r="3555" customFormat="false" ht="17.6" hidden="false" customHeight="false" outlineLevel="0" collapsed="false">
      <c r="A3555" s="91"/>
    </row>
    <row r="3556" customFormat="false" ht="17.6" hidden="false" customHeight="false" outlineLevel="0" collapsed="false">
      <c r="A3556" s="91"/>
    </row>
    <row r="3557" customFormat="false" ht="17.6" hidden="false" customHeight="false" outlineLevel="0" collapsed="false">
      <c r="A3557" s="91"/>
    </row>
    <row r="3558" customFormat="false" ht="17.6" hidden="false" customHeight="false" outlineLevel="0" collapsed="false">
      <c r="A3558" s="91"/>
    </row>
    <row r="3559" customFormat="false" ht="17.6" hidden="false" customHeight="false" outlineLevel="0" collapsed="false">
      <c r="A3559" s="91"/>
    </row>
    <row r="3560" customFormat="false" ht="17.6" hidden="false" customHeight="false" outlineLevel="0" collapsed="false">
      <c r="A3560" s="91"/>
    </row>
    <row r="3561" customFormat="false" ht="17.6" hidden="false" customHeight="false" outlineLevel="0" collapsed="false">
      <c r="A3561" s="91"/>
    </row>
    <row r="3562" customFormat="false" ht="17.6" hidden="false" customHeight="false" outlineLevel="0" collapsed="false">
      <c r="A3562" s="91"/>
    </row>
    <row r="3563" customFormat="false" ht="17.6" hidden="false" customHeight="false" outlineLevel="0" collapsed="false">
      <c r="A3563" s="91"/>
    </row>
    <row r="3564" customFormat="false" ht="17.6" hidden="false" customHeight="false" outlineLevel="0" collapsed="false">
      <c r="A3564" s="91"/>
    </row>
    <row r="3565" customFormat="false" ht="17.6" hidden="false" customHeight="false" outlineLevel="0" collapsed="false">
      <c r="A3565" s="91"/>
    </row>
    <row r="3566" customFormat="false" ht="17.6" hidden="false" customHeight="false" outlineLevel="0" collapsed="false">
      <c r="A3566" s="91"/>
    </row>
    <row r="3567" customFormat="false" ht="17.6" hidden="false" customHeight="false" outlineLevel="0" collapsed="false">
      <c r="A3567" s="91"/>
    </row>
    <row r="3568" customFormat="false" ht="17.6" hidden="false" customHeight="false" outlineLevel="0" collapsed="false">
      <c r="A3568" s="91"/>
    </row>
    <row r="3569" customFormat="false" ht="17.6" hidden="false" customHeight="false" outlineLevel="0" collapsed="false">
      <c r="A3569" s="91"/>
    </row>
    <row r="3570" customFormat="false" ht="17.6" hidden="false" customHeight="false" outlineLevel="0" collapsed="false">
      <c r="A3570" s="91"/>
    </row>
    <row r="3571" customFormat="false" ht="17.6" hidden="false" customHeight="false" outlineLevel="0" collapsed="false">
      <c r="A3571" s="91"/>
    </row>
    <row r="3572" customFormat="false" ht="17.6" hidden="false" customHeight="false" outlineLevel="0" collapsed="false">
      <c r="A3572" s="91"/>
    </row>
    <row r="3573" customFormat="false" ht="17.6" hidden="false" customHeight="false" outlineLevel="0" collapsed="false">
      <c r="A3573" s="91"/>
    </row>
    <row r="3574" customFormat="false" ht="17.6" hidden="false" customHeight="false" outlineLevel="0" collapsed="false">
      <c r="A3574" s="91"/>
    </row>
    <row r="3575" customFormat="false" ht="17.6" hidden="false" customHeight="false" outlineLevel="0" collapsed="false">
      <c r="A3575" s="91"/>
    </row>
    <row r="3576" customFormat="false" ht="17.6" hidden="false" customHeight="false" outlineLevel="0" collapsed="false">
      <c r="A3576" s="91"/>
    </row>
    <row r="3577" customFormat="false" ht="17.6" hidden="false" customHeight="false" outlineLevel="0" collapsed="false">
      <c r="A3577" s="91"/>
    </row>
    <row r="3578" customFormat="false" ht="17.6" hidden="false" customHeight="false" outlineLevel="0" collapsed="false">
      <c r="A3578" s="91"/>
    </row>
    <row r="3579" customFormat="false" ht="17.6" hidden="false" customHeight="false" outlineLevel="0" collapsed="false">
      <c r="A3579" s="91"/>
    </row>
    <row r="3580" customFormat="false" ht="17.6" hidden="false" customHeight="false" outlineLevel="0" collapsed="false">
      <c r="A3580" s="91"/>
    </row>
    <row r="3581" customFormat="false" ht="17.6" hidden="false" customHeight="false" outlineLevel="0" collapsed="false">
      <c r="A3581" s="91"/>
    </row>
    <row r="3582" customFormat="false" ht="17.6" hidden="false" customHeight="false" outlineLevel="0" collapsed="false">
      <c r="A3582" s="91"/>
    </row>
    <row r="3583" customFormat="false" ht="17.6" hidden="false" customHeight="false" outlineLevel="0" collapsed="false">
      <c r="A3583" s="91"/>
    </row>
    <row r="3584" customFormat="false" ht="17.6" hidden="false" customHeight="false" outlineLevel="0" collapsed="false">
      <c r="A3584" s="91"/>
    </row>
    <row r="3585" customFormat="false" ht="17.6" hidden="false" customHeight="false" outlineLevel="0" collapsed="false">
      <c r="A3585" s="91"/>
    </row>
    <row r="3586" customFormat="false" ht="17.6" hidden="false" customHeight="false" outlineLevel="0" collapsed="false">
      <c r="A3586" s="91"/>
    </row>
    <row r="3587" customFormat="false" ht="17.6" hidden="false" customHeight="false" outlineLevel="0" collapsed="false">
      <c r="A3587" s="91"/>
    </row>
    <row r="3588" customFormat="false" ht="17.6" hidden="false" customHeight="false" outlineLevel="0" collapsed="false">
      <c r="A3588" s="91"/>
    </row>
    <row r="3589" customFormat="false" ht="17.6" hidden="false" customHeight="false" outlineLevel="0" collapsed="false">
      <c r="A3589" s="91"/>
    </row>
    <row r="3590" customFormat="false" ht="17.6" hidden="false" customHeight="false" outlineLevel="0" collapsed="false">
      <c r="A3590" s="91"/>
    </row>
    <row r="3591" customFormat="false" ht="17.6" hidden="false" customHeight="false" outlineLevel="0" collapsed="false">
      <c r="A3591" s="91"/>
    </row>
    <row r="3592" customFormat="false" ht="17.6" hidden="false" customHeight="false" outlineLevel="0" collapsed="false">
      <c r="A3592" s="91"/>
    </row>
    <row r="3593" customFormat="false" ht="17.6" hidden="false" customHeight="false" outlineLevel="0" collapsed="false">
      <c r="A3593" s="91"/>
    </row>
    <row r="3594" customFormat="false" ht="17.6" hidden="false" customHeight="false" outlineLevel="0" collapsed="false">
      <c r="A3594" s="91"/>
    </row>
    <row r="3595" customFormat="false" ht="17.6" hidden="false" customHeight="false" outlineLevel="0" collapsed="false">
      <c r="A3595" s="91"/>
    </row>
    <row r="3596" customFormat="false" ht="17.6" hidden="false" customHeight="false" outlineLevel="0" collapsed="false">
      <c r="A3596" s="91"/>
    </row>
    <row r="3597" customFormat="false" ht="17.6" hidden="false" customHeight="false" outlineLevel="0" collapsed="false">
      <c r="A3597" s="91"/>
    </row>
    <row r="3598" customFormat="false" ht="17.6" hidden="false" customHeight="false" outlineLevel="0" collapsed="false">
      <c r="A3598" s="91"/>
    </row>
    <row r="3599" customFormat="false" ht="17.6" hidden="false" customHeight="false" outlineLevel="0" collapsed="false">
      <c r="A3599" s="91"/>
    </row>
    <row r="3600" customFormat="false" ht="17.6" hidden="false" customHeight="false" outlineLevel="0" collapsed="false">
      <c r="A3600" s="91"/>
    </row>
    <row r="3601" customFormat="false" ht="17.6" hidden="false" customHeight="false" outlineLevel="0" collapsed="false">
      <c r="A3601" s="91"/>
    </row>
    <row r="3602" customFormat="false" ht="17.6" hidden="false" customHeight="false" outlineLevel="0" collapsed="false">
      <c r="A3602" s="91"/>
    </row>
    <row r="3603" customFormat="false" ht="17.6" hidden="false" customHeight="false" outlineLevel="0" collapsed="false">
      <c r="A3603" s="91"/>
    </row>
    <row r="3604" customFormat="false" ht="17.6" hidden="false" customHeight="false" outlineLevel="0" collapsed="false">
      <c r="A3604" s="91"/>
    </row>
    <row r="3605" customFormat="false" ht="17.6" hidden="false" customHeight="false" outlineLevel="0" collapsed="false">
      <c r="A3605" s="91"/>
    </row>
    <row r="3606" customFormat="false" ht="17.6" hidden="false" customHeight="false" outlineLevel="0" collapsed="false">
      <c r="A3606" s="91"/>
    </row>
    <row r="3607" customFormat="false" ht="17.6" hidden="false" customHeight="false" outlineLevel="0" collapsed="false">
      <c r="A3607" s="91"/>
    </row>
    <row r="3608" customFormat="false" ht="17.6" hidden="false" customHeight="false" outlineLevel="0" collapsed="false">
      <c r="A3608" s="91"/>
    </row>
    <row r="3609" customFormat="false" ht="17.6" hidden="false" customHeight="false" outlineLevel="0" collapsed="false">
      <c r="A3609" s="91"/>
    </row>
    <row r="3610" customFormat="false" ht="17.6" hidden="false" customHeight="false" outlineLevel="0" collapsed="false">
      <c r="A3610" s="91"/>
    </row>
    <row r="3611" customFormat="false" ht="17.6" hidden="false" customHeight="false" outlineLevel="0" collapsed="false">
      <c r="A3611" s="91"/>
    </row>
    <row r="3612" customFormat="false" ht="17.6" hidden="false" customHeight="false" outlineLevel="0" collapsed="false">
      <c r="A3612" s="91"/>
    </row>
    <row r="3613" customFormat="false" ht="17.6" hidden="false" customHeight="false" outlineLevel="0" collapsed="false">
      <c r="A3613" s="91"/>
    </row>
    <row r="3614" customFormat="false" ht="17.6" hidden="false" customHeight="false" outlineLevel="0" collapsed="false">
      <c r="A3614" s="91"/>
    </row>
    <row r="3615" customFormat="false" ht="17.6" hidden="false" customHeight="false" outlineLevel="0" collapsed="false">
      <c r="A3615" s="91"/>
    </row>
    <row r="3616" customFormat="false" ht="17.6" hidden="false" customHeight="false" outlineLevel="0" collapsed="false">
      <c r="A3616" s="91"/>
    </row>
    <row r="3617" customFormat="false" ht="17.6" hidden="false" customHeight="false" outlineLevel="0" collapsed="false">
      <c r="A3617" s="91"/>
    </row>
    <row r="3618" customFormat="false" ht="17.6" hidden="false" customHeight="false" outlineLevel="0" collapsed="false">
      <c r="A3618" s="91"/>
    </row>
    <row r="3619" customFormat="false" ht="17.6" hidden="false" customHeight="false" outlineLevel="0" collapsed="false">
      <c r="A3619" s="91"/>
    </row>
    <row r="3620" customFormat="false" ht="17.6" hidden="false" customHeight="false" outlineLevel="0" collapsed="false">
      <c r="A3620" s="91"/>
    </row>
    <row r="3621" customFormat="false" ht="17.6" hidden="false" customHeight="false" outlineLevel="0" collapsed="false">
      <c r="A3621" s="91"/>
    </row>
    <row r="3622" customFormat="false" ht="17.6" hidden="false" customHeight="false" outlineLevel="0" collapsed="false">
      <c r="A3622" s="91"/>
    </row>
    <row r="3623" customFormat="false" ht="17.6" hidden="false" customHeight="false" outlineLevel="0" collapsed="false">
      <c r="A3623" s="91"/>
    </row>
    <row r="3624" customFormat="false" ht="17.6" hidden="false" customHeight="false" outlineLevel="0" collapsed="false">
      <c r="A3624" s="91"/>
    </row>
    <row r="3625" customFormat="false" ht="17.6" hidden="false" customHeight="false" outlineLevel="0" collapsed="false">
      <c r="A3625" s="91"/>
    </row>
    <row r="3626" customFormat="false" ht="17.6" hidden="false" customHeight="false" outlineLevel="0" collapsed="false">
      <c r="A3626" s="91"/>
    </row>
    <row r="3627" customFormat="false" ht="17.6" hidden="false" customHeight="false" outlineLevel="0" collapsed="false">
      <c r="A3627" s="91"/>
    </row>
    <row r="3628" customFormat="false" ht="17.6" hidden="false" customHeight="false" outlineLevel="0" collapsed="false">
      <c r="A3628" s="91"/>
    </row>
    <row r="3629" customFormat="false" ht="17.6" hidden="false" customHeight="false" outlineLevel="0" collapsed="false">
      <c r="A3629" s="91"/>
    </row>
    <row r="3630" customFormat="false" ht="17.6" hidden="false" customHeight="false" outlineLevel="0" collapsed="false">
      <c r="A3630" s="91"/>
    </row>
    <row r="3631" customFormat="false" ht="17.6" hidden="false" customHeight="false" outlineLevel="0" collapsed="false">
      <c r="A3631" s="91"/>
    </row>
    <row r="3632" customFormat="false" ht="17.6" hidden="false" customHeight="false" outlineLevel="0" collapsed="false">
      <c r="A3632" s="91"/>
    </row>
    <row r="3633" customFormat="false" ht="17.6" hidden="false" customHeight="false" outlineLevel="0" collapsed="false">
      <c r="A3633" s="91"/>
    </row>
    <row r="3634" customFormat="false" ht="17.6" hidden="false" customHeight="false" outlineLevel="0" collapsed="false">
      <c r="A3634" s="91"/>
    </row>
    <row r="3635" customFormat="false" ht="17.6" hidden="false" customHeight="false" outlineLevel="0" collapsed="false">
      <c r="A3635" s="91"/>
    </row>
    <row r="3636" customFormat="false" ht="17.6" hidden="false" customHeight="false" outlineLevel="0" collapsed="false">
      <c r="A3636" s="91"/>
    </row>
    <row r="3637" customFormat="false" ht="17.6" hidden="false" customHeight="false" outlineLevel="0" collapsed="false">
      <c r="A3637" s="9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2009-07-30T22:56:11Z</dcterms:created>
  <dc:creator>zq123</dc:creator>
  <dc:description/>
  <dc:language>zh-CN</dc:language>
  <cp:lastModifiedBy>苏纯逸</cp:lastModifiedBy>
  <cp:lastPrinted>2016-07-15T16:35:16Z</cp:lastPrinted>
  <dcterms:modified xsi:type="dcterms:W3CDTF">2026-03-24T04:18:02Z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7CF8A5DA3CBEDBC17A2FC169B96BD39A_43</vt:lpwstr>
  </property>
  <property fmtid="{D5CDD505-2E9C-101B-9397-08002B2CF9AE}" pid="4" name="KSOProductBuildVer">
    <vt:lpwstr>2052-12.1.25195.25195</vt:lpwstr>
  </property>
  <property fmtid="{D5CDD505-2E9C-101B-9397-08002B2CF9AE}" pid="5" name="KSOReadingLayout">
    <vt:bool>0</vt:bool>
  </property>
</Properties>
</file>